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ml.chartshapes+xml"/>
  <Override PartName="/xl/charts/chart7.xml" ContentType="application/vnd.openxmlformats-officedocument.drawingml.chart+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harts/chart8.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8.xml" ContentType="application/vnd.openxmlformats-officedocument.drawing+xml"/>
  <Override PartName="/xl/comments1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omments13.xml" ContentType="application/vnd.openxmlformats-officedocument.spreadsheetml.comments+xml"/>
  <Override PartName="/xl/drawings/drawing9.xml" ContentType="application/vnd.openxmlformats-officedocument.drawing+xml"/>
  <Override PartName="/xl/comments14.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10.xml" ContentType="application/vnd.openxmlformats-officedocument.drawing+xml"/>
  <Override PartName="/xl/comments15.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11.xml" ContentType="application/vnd.openxmlformats-officedocument.drawing+xml"/>
  <Override PartName="/xl/comments16.xml" ContentType="application/vnd.openxmlformats-officedocument.spreadsheetml.comments+xml"/>
  <Override PartName="/xl/charts/chart15.xml" ContentType="application/vnd.openxmlformats-officedocument.drawingml.chart+xml"/>
  <Override PartName="/xl/charts/chart16.xml" ContentType="application/vnd.openxmlformats-officedocument.drawingml.chart+xml"/>
  <Override PartName="/xl/drawings/drawing12.xml" ContentType="application/vnd.openxmlformats-officedocument.drawing+xml"/>
  <Override PartName="/xl/comments17.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drawings/drawing13.xml" ContentType="application/vnd.openxmlformats-officedocument.drawing+xml"/>
  <Override PartName="/xl/comments18.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1" codeName="{51196F13-6AD0-C1B8-E2B4-A1F9AE17003E}"/>
  <workbookPr codeName="ThisWorkbook"/>
  <mc:AlternateContent xmlns:mc="http://schemas.openxmlformats.org/markup-compatibility/2006">
    <mc:Choice Requires="x15">
      <x15ac:absPath xmlns:x15ac="http://schemas.microsoft.com/office/spreadsheetml/2010/11/ac" url="/Users/janohlberger/Work/UW/Thresholds/Data/Rich/"/>
    </mc:Choice>
  </mc:AlternateContent>
  <xr:revisionPtr revIDLastSave="0" documentId="13_ncr:1_{9526C7A9-DA7F-FC40-ADC6-3DED8FB84378}" xr6:coauthVersionLast="36" xr6:coauthVersionMax="36" xr10:uidLastSave="{00000000-0000-0000-0000-000000000000}"/>
  <bookViews>
    <workbookView xWindow="0" yWindow="460" windowWidth="30340" windowHeight="23540" tabRatio="822" activeTab="2" xr2:uid="{00000000-000D-0000-FFFF-FFFF00000000}"/>
  </bookViews>
  <sheets>
    <sheet name="Read_Me" sheetId="16" r:id="rId1"/>
    <sheet name="Chart3" sheetId="45" r:id="rId2"/>
    <sheet name="Database" sheetId="25" r:id="rId3"/>
    <sheet name="Forecasts_Sum_2018" sheetId="35" r:id="rId4"/>
    <sheet name="Forecasts_Sum_Odd" sheetId="29" state="hidden" r:id="rId5"/>
    <sheet name="Lag1_Exp_smooth_Total Run Odd" sheetId="30" state="hidden" r:id="rId6"/>
    <sheet name="Esc-Return_Regression" sheetId="33" r:id="rId7"/>
    <sheet name="Regression_Performance" sheetId="41" r:id="rId8"/>
    <sheet name="Regression_Jackknife" sheetId="5" r:id="rId9"/>
    <sheet name="MeanRuns_EvenOrOdd" sheetId="40" r:id="rId10"/>
    <sheet name="Mean_TotalRun_Performance" sheetId="39" r:id="rId11"/>
    <sheet name="Mean_Harvest_Performance" sheetId="42" r:id="rId12"/>
    <sheet name="Lag1_Exp_smooth_Total Run Even" sheetId="34" r:id="rId13"/>
    <sheet name="Performance Lag1_Even" sheetId="38" r:id="rId14"/>
    <sheet name="Exp_smoothing_w_damping_Total R" sheetId="21" state="hidden" r:id="rId15"/>
    <sheet name="Exp_smoothing damp_Tot odd" sheetId="26" state="hidden" r:id="rId16"/>
    <sheet name="Exp_smoothing damp_Tot_even" sheetId="24" r:id="rId17"/>
    <sheet name="Lag1_Exp_smoothing_Harvest" sheetId="27" state="hidden" r:id="rId18"/>
    <sheet name="RegOut" sheetId="13" r:id="rId19"/>
    <sheet name="Lag1_Exp_smoothing_Total Run" sheetId="22" state="hidden" r:id="rId20"/>
    <sheet name="Sheet1" sheetId="46" r:id="rId21"/>
  </sheets>
  <externalReferences>
    <externalReference r:id="rId22"/>
  </externalReferences>
  <definedNames>
    <definedName name="__123Graph_A" hidden="1">[1]A7!$T$12:$T$83</definedName>
    <definedName name="__123Graph_A3CRWERC" hidden="1">[1]A7!$T$12:$T$83</definedName>
    <definedName name="__123Graph_A3CRWERD" hidden="1">[1]A7!$R$12:$R$83</definedName>
    <definedName name="__123Graph_A4CRWERC" hidden="1">[1]A7!$T$12:$T$83</definedName>
    <definedName name="__123Graph_A4CRWERD" hidden="1">[1]A7!$R$12:$R$83</definedName>
    <definedName name="__123Graph_ABYE_TRN" localSheetId="11" hidden="1">#REF!</definedName>
    <definedName name="__123Graph_ABYE_TRN" localSheetId="7" hidden="1">#REF!</definedName>
    <definedName name="__123Graph_ABYE_TRN" hidden="1">#REF!</definedName>
    <definedName name="__123Graph_ACUMULATIVE" hidden="1">[1]A7!$T$7:$T$85</definedName>
    <definedName name="__123Graph_B3CRWERD" hidden="1">[1]A7!$Q$12:$Q$84</definedName>
    <definedName name="__123Graph_B4CRWERD" hidden="1">[1]A7!$Q$12:$Q$84</definedName>
    <definedName name="__123Graph_BCUMULATIVE" hidden="1">[1]A7!$S$7:$S$86</definedName>
    <definedName name="__123Graph_LBL_ABYE_TRN" localSheetId="11" hidden="1">#REF!</definedName>
    <definedName name="__123Graph_LBL_ABYE_TRN" localSheetId="7" hidden="1">#REF!</definedName>
    <definedName name="__123Graph_LBL_ABYE_TRN" hidden="1">#REF!</definedName>
    <definedName name="__123Graph_X" hidden="1">[1]A7!$P$12:$P$84</definedName>
    <definedName name="__123Graph_X3CRWERC" hidden="1">[1]A7!$P$12:$P$84</definedName>
    <definedName name="__123Graph_X3CRWERD" hidden="1">[1]A7!$P$12:$P$84</definedName>
    <definedName name="__123Graph_X4CRWERC" hidden="1">[1]A7!$P$12:$P$84</definedName>
    <definedName name="__123Graph_X4CRWERD" hidden="1">[1]A7!$P$12:$P$84</definedName>
    <definedName name="__123Graph_XCUMULATIVE" hidden="1">[1]A7!$P$7:$P$85</definedName>
    <definedName name="_1__123Graph_ACHART_1" hidden="1">Regression_Jackknife!$Z$9:$Z$37</definedName>
    <definedName name="_10__123Graph_BCHART_3" localSheetId="12" hidden="1">#REF!</definedName>
    <definedName name="_11__123Graph_BCHART_3" localSheetId="5" hidden="1">#REF!</definedName>
    <definedName name="_12__123Graph_BCHART_3" localSheetId="17" hidden="1">#REF!</definedName>
    <definedName name="_16__123Graph_BCHART_3" localSheetId="11" hidden="1">#REF!</definedName>
    <definedName name="_16__123Graph_BCHART_3" localSheetId="13" hidden="1">#REF!</definedName>
    <definedName name="_16__123Graph_BCHART_3" localSheetId="7" hidden="1">#REF!</definedName>
    <definedName name="_16__123Graph_BCHART_3" hidden="1">#REF!</definedName>
    <definedName name="_17__123Graph_BCHART_7" localSheetId="11" hidden="1">#REF!</definedName>
    <definedName name="_17__123Graph_BCHART_7" localSheetId="7" hidden="1">#REF!</definedName>
    <definedName name="_17__123Graph_BCHART_7" hidden="1">#REF!</definedName>
    <definedName name="_18__123Graph_BCHART_9" localSheetId="11" hidden="1">#REF!</definedName>
    <definedName name="_18__123Graph_BCHART_9" localSheetId="7" hidden="1">#REF!</definedName>
    <definedName name="_18__123Graph_BCHART_9" hidden="1">#REF!</definedName>
    <definedName name="_19__123Graph_CCHART_1" hidden="1">Regression_Jackknife!$AB$9:$AB$37</definedName>
    <definedName name="_2__123Graph_ACHART_10" hidden="1">Regression_Jackknife!$D$9:$D$26</definedName>
    <definedName name="_2__123Graph_AMILES_DAILY" hidden="1">[1]A7!$R$7:$R$85</definedName>
    <definedName name="_20__123Graph_CCHART_11" hidden="1">Regression_Jackknife!$D$10:$D$26</definedName>
    <definedName name="_21__123Graph_CCHART_3" localSheetId="6" hidden="1">#REF!</definedName>
    <definedName name="_22__123Graph_CCHART_3" localSheetId="15" hidden="1">#REF!</definedName>
    <definedName name="_23__123Graph_CCHART_3" localSheetId="3" hidden="1">#REF!</definedName>
    <definedName name="_24__123Graph_CCHART_3" localSheetId="12" hidden="1">#REF!</definedName>
    <definedName name="_25__123Graph_CCHART_3" localSheetId="5" hidden="1">#REF!</definedName>
    <definedName name="_26__123Graph_CCHART_3" localSheetId="17" hidden="1">#REF!</definedName>
    <definedName name="_27__123Graph_CCHART_15" localSheetId="11" hidden="1">Mean_Harvest_Performance!#REF!</definedName>
    <definedName name="_27__123Graph_CCHART_15" localSheetId="7" hidden="1">Regression_Performance!#REF!</definedName>
    <definedName name="_27__123Graph_CCHART_15" hidden="1">Mean_TotalRun_Performance!#REF!</definedName>
    <definedName name="_3__123Graph_ACHART_7" localSheetId="11" hidden="1">#REF!</definedName>
    <definedName name="_3__123Graph_ACHART_7" localSheetId="7" hidden="1">#REF!</definedName>
    <definedName name="_3__123Graph_ACHART_7" hidden="1">#REF!</definedName>
    <definedName name="_3__123Graph_BCHART_1" localSheetId="11" hidden="1">[1]A7!#REF!</definedName>
    <definedName name="_3__123Graph_BCHART_1" localSheetId="7" hidden="1">[1]A7!#REF!</definedName>
    <definedName name="_3__123Graph_BCHART_1" hidden="1">[1]A7!#REF!</definedName>
    <definedName name="_30__123Graph_CCHART_3" localSheetId="11" hidden="1">#REF!</definedName>
    <definedName name="_30__123Graph_CCHART_3" localSheetId="13" hidden="1">#REF!</definedName>
    <definedName name="_30__123Graph_CCHART_3" localSheetId="7" hidden="1">#REF!</definedName>
    <definedName name="_30__123Graph_CCHART_3" hidden="1">#REF!</definedName>
    <definedName name="_31__123Graph_CCHART_7" localSheetId="11" hidden="1">#REF!</definedName>
    <definedName name="_31__123Graph_CCHART_7" localSheetId="7" hidden="1">#REF!</definedName>
    <definedName name="_31__123Graph_CCHART_7" hidden="1">#REF!</definedName>
    <definedName name="_32__123Graph_CCHART_9" localSheetId="11" hidden="1">#REF!</definedName>
    <definedName name="_32__123Graph_CCHART_9" localSheetId="7" hidden="1">#REF!</definedName>
    <definedName name="_32__123Graph_CCHART_9" hidden="1">#REF!</definedName>
    <definedName name="_33__123Graph_DCHART_1" hidden="1">Regression_Jackknife!$AC$9:$AC$37</definedName>
    <definedName name="_34__123Graph_DCHART_3" localSheetId="6" hidden="1">#REF!</definedName>
    <definedName name="_35__123Graph_DCHART_3" localSheetId="15" hidden="1">#REF!</definedName>
    <definedName name="_36__123Graph_DCHART_3" localSheetId="3" hidden="1">#REF!</definedName>
    <definedName name="_37__123Graph_DCHART_3" localSheetId="12" hidden="1">#REF!</definedName>
    <definedName name="_38__123Graph_DCHART_3" localSheetId="5" hidden="1">#REF!</definedName>
    <definedName name="_39__123Graph_DCHART_3" localSheetId="17" hidden="1">#REF!</definedName>
    <definedName name="_4__123Graph_ACHART_8" localSheetId="11" hidden="1">#REF!</definedName>
    <definedName name="_4__123Graph_ACHART_8" localSheetId="7" hidden="1">#REF!</definedName>
    <definedName name="_4__123Graph_ACHART_8" hidden="1">#REF!</definedName>
    <definedName name="_4__123Graph_BMILES_DAILY" hidden="1">[1]A7!$Q$7:$Q$86</definedName>
    <definedName name="_43__123Graph_DCHART_3" localSheetId="11" hidden="1">#REF!</definedName>
    <definedName name="_43__123Graph_DCHART_3" localSheetId="13" hidden="1">#REF!</definedName>
    <definedName name="_43__123Graph_DCHART_3" localSheetId="7" hidden="1">#REF!</definedName>
    <definedName name="_43__123Graph_DCHART_3" hidden="1">#REF!</definedName>
    <definedName name="_44__123Graph_DCHART_7" localSheetId="11" hidden="1">#REF!</definedName>
    <definedName name="_44__123Graph_DCHART_7" localSheetId="7" hidden="1">#REF!</definedName>
    <definedName name="_44__123Graph_DCHART_7" hidden="1">#REF!</definedName>
    <definedName name="_45__123Graph_ECHART_1" hidden="1">Regression_Jackknife!$AD$9:$AD$37</definedName>
    <definedName name="_46__123Graph_ECHART_3" localSheetId="6" hidden="1">#REF!</definedName>
    <definedName name="_47__123Graph_ECHART_3" localSheetId="15" hidden="1">#REF!</definedName>
    <definedName name="_48__123Graph_ECHART_15" localSheetId="11" hidden="1">Mean_Harvest_Performance!#REF!</definedName>
    <definedName name="_48__123Graph_ECHART_15" localSheetId="7" hidden="1">Regression_Performance!#REF!</definedName>
    <definedName name="_48__123Graph_ECHART_15" hidden="1">Mean_TotalRun_Performance!#REF!</definedName>
    <definedName name="_48__123Graph_ECHART_3" localSheetId="3" hidden="1">#REF!</definedName>
    <definedName name="_49__123Graph_ECHART_3" localSheetId="12" hidden="1">#REF!</definedName>
    <definedName name="_5__123Graph_BCHART_1" hidden="1">Regression_Jackknife!$AA$9:$AA$37</definedName>
    <definedName name="_5__123Graph_XCHART_1" hidden="1">[1]A7!$P$9:$P$84</definedName>
    <definedName name="_50__123Graph_ECHART_3" localSheetId="5" hidden="1">#REF!</definedName>
    <definedName name="_51__123Graph_ECHART_3" localSheetId="17" hidden="1">#REF!</definedName>
    <definedName name="_55__123Graph_ECHART_3" localSheetId="11" hidden="1">#REF!</definedName>
    <definedName name="_55__123Graph_ECHART_3" localSheetId="13" hidden="1">#REF!</definedName>
    <definedName name="_55__123Graph_ECHART_3" localSheetId="7" hidden="1">#REF!</definedName>
    <definedName name="_55__123Graph_ECHART_3" hidden="1">#REF!</definedName>
    <definedName name="_56__123Graph_ECHART_7" localSheetId="11" hidden="1">#REF!</definedName>
    <definedName name="_56__123Graph_ECHART_7" localSheetId="7" hidden="1">#REF!</definedName>
    <definedName name="_56__123Graph_ECHART_7" hidden="1">#REF!</definedName>
    <definedName name="_57__123Graph_FCHART_3" localSheetId="6" hidden="1">#REF!</definedName>
    <definedName name="_58__123Graph_FCHART_3" localSheetId="15" hidden="1">#REF!</definedName>
    <definedName name="_59__123Graph_FCHART_3" localSheetId="3" hidden="1">#REF!</definedName>
    <definedName name="_6__123Graph_BCHART_11" hidden="1">Regression_Jackknife!$C$10:$C$26</definedName>
    <definedName name="_6__123Graph_XMILES_DAILY" hidden="1">[1]A7!$P$7:$P$85</definedName>
    <definedName name="_60__123Graph_FCHART_3" localSheetId="12" hidden="1">#REF!</definedName>
    <definedName name="_61__123Graph_FCHART_3" localSheetId="5" hidden="1">#REF!</definedName>
    <definedName name="_62__123Graph_FCHART_3" localSheetId="17" hidden="1">#REF!</definedName>
    <definedName name="_63__123Graph_LBL_CCHART_15" localSheetId="11" hidden="1">Mean_Harvest_Performance!#REF!</definedName>
    <definedName name="_63__123Graph_LBL_CCHART_15" localSheetId="7" hidden="1">Regression_Performance!#REF!</definedName>
    <definedName name="_63__123Graph_LBL_CCHART_15" hidden="1">Mean_TotalRun_Performance!#REF!</definedName>
    <definedName name="_64__123Graph_LBL_ECHART_15" localSheetId="11" hidden="1">Mean_Harvest_Performance!#REF!</definedName>
    <definedName name="_64__123Graph_LBL_ECHART_15" localSheetId="7" hidden="1">Regression_Performance!#REF!</definedName>
    <definedName name="_64__123Graph_LBL_ECHART_15" hidden="1">Mean_TotalRun_Performance!#REF!</definedName>
    <definedName name="_66__123Graph_FCHART_3" localSheetId="11" hidden="1">#REF!</definedName>
    <definedName name="_66__123Graph_FCHART_3" localSheetId="13" hidden="1">#REF!</definedName>
    <definedName name="_66__123Graph_FCHART_3" localSheetId="7" hidden="1">#REF!</definedName>
    <definedName name="_66__123Graph_FCHART_3" hidden="1">#REF!</definedName>
    <definedName name="_67__123Graph_LBL_ACHART_10" hidden="1">Regression_Jackknife!$A$10:$A$26</definedName>
    <definedName name="_68__123Graph_LBL_BCHART_1" hidden="1">Regression_Jackknife!$AE$9:$AE$37</definedName>
    <definedName name="_69__123Graph_LBL_BCHART_7" localSheetId="11" hidden="1">#REF!</definedName>
    <definedName name="_69__123Graph_LBL_BCHART_7" localSheetId="7" hidden="1">#REF!</definedName>
    <definedName name="_69__123Graph_LBL_BCHART_7" hidden="1">#REF!</definedName>
    <definedName name="_7__123Graph_BCHART_3" localSheetId="6" hidden="1">#REF!</definedName>
    <definedName name="_70__123Graph_XCHART_11" hidden="1">Regression_Jackknife!$A$9:$A$26</definedName>
    <definedName name="_71__123Graph_XCHART_3" localSheetId="6" hidden="1">#REF!</definedName>
    <definedName name="_72__123Graph_XCHART_3" localSheetId="15" hidden="1">#REF!</definedName>
    <definedName name="_73__123Graph_XCHART_3" localSheetId="3" hidden="1">#REF!</definedName>
    <definedName name="_74__123Graph_XCHART_3" localSheetId="12" hidden="1">#REF!</definedName>
    <definedName name="_75__123Graph_XCHART_3" localSheetId="5" hidden="1">#REF!</definedName>
    <definedName name="_76__123Graph_XCHART_3" localSheetId="17" hidden="1">#REF!</definedName>
    <definedName name="_8__123Graph_BCHART_3" localSheetId="15" hidden="1">#REF!</definedName>
    <definedName name="_80__123Graph_XCHART_3" localSheetId="11" hidden="1">#REF!</definedName>
    <definedName name="_80__123Graph_XCHART_3" localSheetId="13" hidden="1">#REF!</definedName>
    <definedName name="_80__123Graph_XCHART_3" localSheetId="7" hidden="1">#REF!</definedName>
    <definedName name="_80__123Graph_XCHART_3" hidden="1">#REF!</definedName>
    <definedName name="_81__123Graph_XCHART_8" localSheetId="11" hidden="1">#REF!</definedName>
    <definedName name="_81__123Graph_XCHART_8" localSheetId="7" hidden="1">#REF!</definedName>
    <definedName name="_81__123Graph_XCHART_8" hidden="1">#REF!</definedName>
    <definedName name="_82__123Graph_XCHART_9" localSheetId="11" hidden="1">#REF!</definedName>
    <definedName name="_82__123Graph_XCHART_9" localSheetId="7" hidden="1">#REF!</definedName>
    <definedName name="_82__123Graph_XCHART_9" hidden="1">#REF!</definedName>
    <definedName name="_9__123Graph_BCHART_3" localSheetId="3" hidden="1">#REF!</definedName>
    <definedName name="_Key1" hidden="1">Regression_Jackknife!$B$8</definedName>
    <definedName name="_Order1" hidden="1">255</definedName>
    <definedName name="_Regression_X" hidden="1">Regression_Jackknife!$C$9:$C$26</definedName>
    <definedName name="_Regression_Y" hidden="1">Regression_Jackknife!$D$9:$D$26</definedName>
    <definedName name="AllYrs">Regression_Jackknife!$B$9:$B$35</definedName>
    <definedName name="FirstYR">Regression_Jackknife!$B$9</definedName>
    <definedName name="Forecast_Year">Read_Me!$D$12</definedName>
    <definedName name="MainRegion">Regression_Jackknife!$A$9:$AC$35</definedName>
    <definedName name="MSEAll">Regression_Jackknife!$M$37</definedName>
    <definedName name="MSEcalcAll">Regression_Jackknife!$O$40</definedName>
    <definedName name="MSEcalcL1O">Regression_Jackknife!$O$39</definedName>
    <definedName name="MSEL1O">Regression_Jackknife!$M$35</definedName>
    <definedName name="PartOne">RegOut!$A$6:$E$6</definedName>
    <definedName name="PartTwo">RegOut!$G$6:$H$6</definedName>
    <definedName name="_xlnm.Print_Area" localSheetId="3">Forecasts_Sum_2018!$A$1:$O$29</definedName>
    <definedName name="_xlnm.Print_Area" localSheetId="4">Forecasts_Sum_Odd!$A$1:$O$28</definedName>
    <definedName name="_xlnm.Print_Area" localSheetId="5">'Lag1_Exp_smooth_Total Run Odd'!$A$1:$E$45</definedName>
    <definedName name="_xlnm.Print_Area" localSheetId="19">'Lag1_Exp_smoothing_Total Run'!$A$1:$E$72</definedName>
    <definedName name="ROut">RegOut!$A$9:$H$28</definedName>
    <definedName name="Rslts2All">Regression_Jackknife!$K$37</definedName>
    <definedName name="Rslts2L1O">Regression_Jackknife!$K$35</definedName>
    <definedName name="RsltsAll">Regression_Jackknife!$E$37</definedName>
    <definedName name="RsltsL1O">Regression_Jackknife!$E$35</definedName>
    <definedName name="solver_adj" localSheetId="15" hidden="1">'Exp_smoothing damp_Tot odd'!$J$4:$J$6</definedName>
    <definedName name="solver_adj" localSheetId="16" hidden="1">'Exp_smoothing damp_Tot_even'!$J$4:$J$6</definedName>
    <definedName name="solver_adj" localSheetId="14" hidden="1">'Exp_smoothing_w_damping_Total R'!$J$4:$J$6</definedName>
    <definedName name="solver_adj" localSheetId="12" hidden="1">'Lag1_Exp_smooth_Total Run Even'!$P$3</definedName>
    <definedName name="solver_adj" localSheetId="5" hidden="1">'Lag1_Exp_smooth_Total Run Odd'!$O$3</definedName>
    <definedName name="solver_adj" localSheetId="17" hidden="1">Lag1_Exp_smoothing_Harvest!$O$3</definedName>
    <definedName name="solver_adj" localSheetId="19" hidden="1">'Lag1_Exp_smoothing_Total Run'!$N$3</definedName>
    <definedName name="solver_cvg" localSheetId="15" hidden="1">0.0001</definedName>
    <definedName name="solver_cvg" localSheetId="16" hidden="1">0.0001</definedName>
    <definedName name="solver_cvg" localSheetId="14" hidden="1">0.0001</definedName>
    <definedName name="solver_cvg" localSheetId="12" hidden="1">0.0001</definedName>
    <definedName name="solver_cvg" localSheetId="5" hidden="1">0.0001</definedName>
    <definedName name="solver_cvg" localSheetId="17" hidden="1">0.0001</definedName>
    <definedName name="solver_cvg" localSheetId="19" hidden="1">0.0001</definedName>
    <definedName name="solver_drv" localSheetId="15" hidden="1">1</definedName>
    <definedName name="solver_drv" localSheetId="16" hidden="1">1</definedName>
    <definedName name="solver_drv" localSheetId="14" hidden="1">1</definedName>
    <definedName name="solver_drv" localSheetId="12" hidden="1">1</definedName>
    <definedName name="solver_drv" localSheetId="5" hidden="1">1</definedName>
    <definedName name="solver_drv" localSheetId="17" hidden="1">1</definedName>
    <definedName name="solver_drv" localSheetId="19" hidden="1">1</definedName>
    <definedName name="solver_eng" localSheetId="15" hidden="1">1</definedName>
    <definedName name="solver_eng" localSheetId="16" hidden="1">1</definedName>
    <definedName name="solver_eng" localSheetId="14" hidden="1">1</definedName>
    <definedName name="solver_eng" localSheetId="12" hidden="1">1</definedName>
    <definedName name="solver_eng" localSheetId="5" hidden="1">1</definedName>
    <definedName name="solver_eng" localSheetId="17" hidden="1">1</definedName>
    <definedName name="solver_eng" localSheetId="19" hidden="1">1</definedName>
    <definedName name="solver_est" localSheetId="15" hidden="1">1</definedName>
    <definedName name="solver_est" localSheetId="16" hidden="1">1</definedName>
    <definedName name="solver_est" localSheetId="14" hidden="1">1</definedName>
    <definedName name="solver_est" localSheetId="12" hidden="1">1</definedName>
    <definedName name="solver_est" localSheetId="5" hidden="1">1</definedName>
    <definedName name="solver_est" localSheetId="17" hidden="1">1</definedName>
    <definedName name="solver_est" localSheetId="19" hidden="1">1</definedName>
    <definedName name="solver_itr" localSheetId="15" hidden="1">100</definedName>
    <definedName name="solver_itr" localSheetId="16" hidden="1">100</definedName>
    <definedName name="solver_itr" localSheetId="14" hidden="1">100</definedName>
    <definedName name="solver_itr" localSheetId="12" hidden="1">100</definedName>
    <definedName name="solver_itr" localSheetId="5" hidden="1">100</definedName>
    <definedName name="solver_itr" localSheetId="17" hidden="1">100</definedName>
    <definedName name="solver_itr" localSheetId="19" hidden="1">100</definedName>
    <definedName name="solver_lhs1" localSheetId="15" hidden="1">'Exp_smoothing damp_Tot odd'!$J$4:$J$6</definedName>
    <definedName name="solver_lhs1" localSheetId="16" hidden="1">'Exp_smoothing damp_Tot_even'!$J$4:$J$6</definedName>
    <definedName name="solver_lhs1" localSheetId="14" hidden="1">'Exp_smoothing_w_damping_Total R'!$J$4:$J$6</definedName>
    <definedName name="solver_lhs1" localSheetId="12" hidden="1">'Lag1_Exp_smooth_Total Run Even'!$P$3</definedName>
    <definedName name="solver_lhs1" localSheetId="5" hidden="1">'Lag1_Exp_smooth_Total Run Odd'!$O$3</definedName>
    <definedName name="solver_lhs1" localSheetId="17" hidden="1">Lag1_Exp_smoothing_Harvest!$O$3</definedName>
    <definedName name="solver_lhs1" localSheetId="19" hidden="1">'Lag1_Exp_smoothing_Total Run'!$N$3</definedName>
    <definedName name="solver_lhs2" localSheetId="15" hidden="1">'Exp_smoothing damp_Tot odd'!$J$3</definedName>
    <definedName name="solver_lhs2" localSheetId="16" hidden="1">'Exp_smoothing damp_Tot_even'!$J$3</definedName>
    <definedName name="solver_lhs2" localSheetId="14" hidden="1">'Exp_smoothing_w_damping_Total R'!$J$3</definedName>
    <definedName name="solver_lhs2" localSheetId="12" hidden="1">'Lag1_Exp_smooth_Total Run Even'!$P$3</definedName>
    <definedName name="solver_lhs2" localSheetId="5" hidden="1">'Lag1_Exp_smooth_Total Run Odd'!$O$3</definedName>
    <definedName name="solver_lhs2" localSheetId="17" hidden="1">Lag1_Exp_smoothing_Harvest!$O$3</definedName>
    <definedName name="solver_lhs2" localSheetId="19" hidden="1">'Lag1_Exp_smoothing_Total Run'!$N$3</definedName>
    <definedName name="solver_lin" localSheetId="15" hidden="1">2</definedName>
    <definedName name="solver_lin" localSheetId="16" hidden="1">2</definedName>
    <definedName name="solver_lin" localSheetId="14" hidden="1">2</definedName>
    <definedName name="solver_lin" localSheetId="12" hidden="1">2</definedName>
    <definedName name="solver_lin" localSheetId="5" hidden="1">2</definedName>
    <definedName name="solver_lin" localSheetId="17" hidden="1">2</definedName>
    <definedName name="solver_lin" localSheetId="19" hidden="1">2</definedName>
    <definedName name="solver_mip" localSheetId="15" hidden="1">2147483647</definedName>
    <definedName name="solver_mip" localSheetId="16" hidden="1">2147483647</definedName>
    <definedName name="solver_mip" localSheetId="14" hidden="1">2147483647</definedName>
    <definedName name="solver_mip" localSheetId="12" hidden="1">2147483647</definedName>
    <definedName name="solver_mip" localSheetId="5" hidden="1">2147483647</definedName>
    <definedName name="solver_mip" localSheetId="17" hidden="1">2147483647</definedName>
    <definedName name="solver_mip" localSheetId="19" hidden="1">2147483647</definedName>
    <definedName name="solver_mni" localSheetId="15" hidden="1">30</definedName>
    <definedName name="solver_mni" localSheetId="16" hidden="1">30</definedName>
    <definedName name="solver_mni" localSheetId="14" hidden="1">30</definedName>
    <definedName name="solver_mni" localSheetId="12" hidden="1">30</definedName>
    <definedName name="solver_mni" localSheetId="5" hidden="1">30</definedName>
    <definedName name="solver_mni" localSheetId="17" hidden="1">30</definedName>
    <definedName name="solver_mni" localSheetId="19" hidden="1">30</definedName>
    <definedName name="solver_mrt" localSheetId="15" hidden="1">0.075</definedName>
    <definedName name="solver_mrt" localSheetId="16" hidden="1">0.075</definedName>
    <definedName name="solver_mrt" localSheetId="14" hidden="1">0.075</definedName>
    <definedName name="solver_mrt" localSheetId="12" hidden="1">0.075</definedName>
    <definedName name="solver_mrt" localSheetId="5" hidden="1">0.075</definedName>
    <definedName name="solver_mrt" localSheetId="17" hidden="1">0.075</definedName>
    <definedName name="solver_mrt" localSheetId="19" hidden="1">0.075</definedName>
    <definedName name="solver_msl" localSheetId="15" hidden="1">2</definedName>
    <definedName name="solver_msl" localSheetId="16" hidden="1">2</definedName>
    <definedName name="solver_msl" localSheetId="14" hidden="1">2</definedName>
    <definedName name="solver_msl" localSheetId="12" hidden="1">2</definedName>
    <definedName name="solver_msl" localSheetId="5" hidden="1">2</definedName>
    <definedName name="solver_msl" localSheetId="17" hidden="1">2</definedName>
    <definedName name="solver_msl" localSheetId="19" hidden="1">2</definedName>
    <definedName name="solver_neg" localSheetId="15" hidden="1">2</definedName>
    <definedName name="solver_neg" localSheetId="16" hidden="1">2</definedName>
    <definedName name="solver_neg" localSheetId="14" hidden="1">2</definedName>
    <definedName name="solver_neg" localSheetId="12" hidden="1">2</definedName>
    <definedName name="solver_neg" localSheetId="5" hidden="1">2</definedName>
    <definedName name="solver_neg" localSheetId="17" hidden="1">2</definedName>
    <definedName name="solver_neg" localSheetId="19" hidden="1">2</definedName>
    <definedName name="solver_nod" localSheetId="15" hidden="1">2147483647</definedName>
    <definedName name="solver_nod" localSheetId="16" hidden="1">2147483647</definedName>
    <definedName name="solver_nod" localSheetId="14" hidden="1">2147483647</definedName>
    <definedName name="solver_nod" localSheetId="12" hidden="1">2147483647</definedName>
    <definedName name="solver_nod" localSheetId="5" hidden="1">2147483647</definedName>
    <definedName name="solver_nod" localSheetId="17" hidden="1">2147483647</definedName>
    <definedName name="solver_nod" localSheetId="19" hidden="1">2147483647</definedName>
    <definedName name="solver_num" localSheetId="15" hidden="1">2</definedName>
    <definedName name="solver_num" localSheetId="16" hidden="1">2</definedName>
    <definedName name="solver_num" localSheetId="14" hidden="1">2</definedName>
    <definedName name="solver_num" localSheetId="12" hidden="1">1</definedName>
    <definedName name="solver_num" localSheetId="5" hidden="1">1</definedName>
    <definedName name="solver_num" localSheetId="17" hidden="1">1</definedName>
    <definedName name="solver_num" localSheetId="19" hidden="1">1</definedName>
    <definedName name="solver_nwt" localSheetId="15" hidden="1">1</definedName>
    <definedName name="solver_nwt" localSheetId="16" hidden="1">1</definedName>
    <definedName name="solver_nwt" localSheetId="14" hidden="1">1</definedName>
    <definedName name="solver_nwt" localSheetId="12" hidden="1">1</definedName>
    <definedName name="solver_nwt" localSheetId="5" hidden="1">1</definedName>
    <definedName name="solver_nwt" localSheetId="17" hidden="1">1</definedName>
    <definedName name="solver_nwt" localSheetId="19" hidden="1">1</definedName>
    <definedName name="solver_opt" localSheetId="15" hidden="1">'Exp_smoothing damp_Tot odd'!$M$3</definedName>
    <definedName name="solver_opt" localSheetId="16" hidden="1">'Exp_smoothing damp_Tot_even'!$G$45</definedName>
    <definedName name="solver_opt" localSheetId="14" hidden="1">'Exp_smoothing_w_damping_Total R'!$G$72</definedName>
    <definedName name="solver_opt" localSheetId="12" hidden="1">'Lag1_Exp_smooth_Total Run Even'!$P$4</definedName>
    <definedName name="solver_opt" localSheetId="5" hidden="1">'Lag1_Exp_smooth_Total Run Odd'!$O$4</definedName>
    <definedName name="solver_opt" localSheetId="17" hidden="1">Lag1_Exp_smoothing_Harvest!$G$65</definedName>
    <definedName name="solver_opt" localSheetId="19" hidden="1">'Lag1_Exp_smoothing_Total Run'!$E$69</definedName>
    <definedName name="solver_pre" localSheetId="15" hidden="1">0.000001</definedName>
    <definedName name="solver_pre" localSheetId="16" hidden="1">0.000001</definedName>
    <definedName name="solver_pre" localSheetId="14" hidden="1">0.000001</definedName>
    <definedName name="solver_pre" localSheetId="12" hidden="1">0.000001</definedName>
    <definedName name="solver_pre" localSheetId="5" hidden="1">0.000001</definedName>
    <definedName name="solver_pre" localSheetId="17" hidden="1">0.000001</definedName>
    <definedName name="solver_pre" localSheetId="19" hidden="1">0.000001</definedName>
    <definedName name="solver_rbv" localSheetId="15" hidden="1">1</definedName>
    <definedName name="solver_rbv" localSheetId="16" hidden="1">1</definedName>
    <definedName name="solver_rbv" localSheetId="14" hidden="1">1</definedName>
    <definedName name="solver_rbv" localSheetId="12" hidden="1">1</definedName>
    <definedName name="solver_rbv" localSheetId="5" hidden="1">1</definedName>
    <definedName name="solver_rbv" localSheetId="17" hidden="1">1</definedName>
    <definedName name="solver_rbv" localSheetId="19" hidden="1">1</definedName>
    <definedName name="solver_rel1" localSheetId="15" hidden="1">3</definedName>
    <definedName name="solver_rel1" localSheetId="16" hidden="1">3</definedName>
    <definedName name="solver_rel1" localSheetId="14" hidden="1">3</definedName>
    <definedName name="solver_rel1" localSheetId="12" hidden="1">3</definedName>
    <definedName name="solver_rel1" localSheetId="5" hidden="1">3</definedName>
    <definedName name="solver_rel1" localSheetId="17" hidden="1">3</definedName>
    <definedName name="solver_rel1" localSheetId="19" hidden="1">3</definedName>
    <definedName name="solver_rel2" localSheetId="15" hidden="1">3</definedName>
    <definedName name="solver_rel2" localSheetId="16" hidden="1">3</definedName>
    <definedName name="solver_rel2" localSheetId="14" hidden="1">3</definedName>
    <definedName name="solver_rel2" localSheetId="12" hidden="1">3</definedName>
    <definedName name="solver_rel2" localSheetId="5" hidden="1">3</definedName>
    <definedName name="solver_rel2" localSheetId="17" hidden="1">3</definedName>
    <definedName name="solver_rel2" localSheetId="19" hidden="1">3</definedName>
    <definedName name="solver_rhs1" localSheetId="15" hidden="1">0</definedName>
    <definedName name="solver_rhs1" localSheetId="16" hidden="1">0</definedName>
    <definedName name="solver_rhs1" localSheetId="14" hidden="1">0</definedName>
    <definedName name="solver_rhs1" localSheetId="12" hidden="1">0</definedName>
    <definedName name="solver_rhs1" localSheetId="5" hidden="1">0</definedName>
    <definedName name="solver_rhs1" localSheetId="17" hidden="1">0</definedName>
    <definedName name="solver_rhs1" localSheetId="19" hidden="1">0</definedName>
    <definedName name="solver_rhs2" localSheetId="15" hidden="1">0</definedName>
    <definedName name="solver_rhs2" localSheetId="16" hidden="1">0</definedName>
    <definedName name="solver_rhs2" localSheetId="14" hidden="1">0</definedName>
    <definedName name="solver_rhs2" localSheetId="12" hidden="1">0</definedName>
    <definedName name="solver_rhs2" localSheetId="5" hidden="1">0</definedName>
    <definedName name="solver_rhs2" localSheetId="17" hidden="1">0</definedName>
    <definedName name="solver_rhs2" localSheetId="19" hidden="1">0</definedName>
    <definedName name="solver_rlx" localSheetId="15" hidden="1">1</definedName>
    <definedName name="solver_rlx" localSheetId="16" hidden="1">1</definedName>
    <definedName name="solver_rlx" localSheetId="14" hidden="1">1</definedName>
    <definedName name="solver_rlx" localSheetId="12" hidden="1">1</definedName>
    <definedName name="solver_rlx" localSheetId="5" hidden="1">1</definedName>
    <definedName name="solver_rlx" localSheetId="17" hidden="1">1</definedName>
    <definedName name="solver_rlx" localSheetId="19" hidden="1">1</definedName>
    <definedName name="solver_rsd" localSheetId="15" hidden="1">0</definedName>
    <definedName name="solver_rsd" localSheetId="16" hidden="1">0</definedName>
    <definedName name="solver_rsd" localSheetId="14" hidden="1">0</definedName>
    <definedName name="solver_rsd" localSheetId="12" hidden="1">0</definedName>
    <definedName name="solver_rsd" localSheetId="5" hidden="1">0</definedName>
    <definedName name="solver_rsd" localSheetId="17" hidden="1">0</definedName>
    <definedName name="solver_rsd" localSheetId="19" hidden="1">0</definedName>
    <definedName name="solver_scl" localSheetId="15" hidden="1">2</definedName>
    <definedName name="solver_scl" localSheetId="16" hidden="1">2</definedName>
    <definedName name="solver_scl" localSheetId="14" hidden="1">2</definedName>
    <definedName name="solver_scl" localSheetId="12" hidden="1">2</definedName>
    <definedName name="solver_scl" localSheetId="5" hidden="1">2</definedName>
    <definedName name="solver_scl" localSheetId="17" hidden="1">2</definedName>
    <definedName name="solver_scl" localSheetId="19" hidden="1">2</definedName>
    <definedName name="solver_sho" localSheetId="15" hidden="1">2</definedName>
    <definedName name="solver_sho" localSheetId="16" hidden="1">2</definedName>
    <definedName name="solver_sho" localSheetId="14" hidden="1">2</definedName>
    <definedName name="solver_sho" localSheetId="12" hidden="1">2</definedName>
    <definedName name="solver_sho" localSheetId="5" hidden="1">2</definedName>
    <definedName name="solver_sho" localSheetId="17" hidden="1">2</definedName>
    <definedName name="solver_sho" localSheetId="19" hidden="1">2</definedName>
    <definedName name="solver_ssz" localSheetId="15" hidden="1">100</definedName>
    <definedName name="solver_ssz" localSheetId="16" hidden="1">100</definedName>
    <definedName name="solver_ssz" localSheetId="14" hidden="1">100</definedName>
    <definedName name="solver_ssz" localSheetId="12" hidden="1">100</definedName>
    <definedName name="solver_ssz" localSheetId="5" hidden="1">100</definedName>
    <definedName name="solver_ssz" localSheetId="17" hidden="1">100</definedName>
    <definedName name="solver_ssz" localSheetId="19" hidden="1">100</definedName>
    <definedName name="solver_tim" localSheetId="15" hidden="1">100</definedName>
    <definedName name="solver_tim" localSheetId="16" hidden="1">100</definedName>
    <definedName name="solver_tim" localSheetId="14" hidden="1">100</definedName>
    <definedName name="solver_tim" localSheetId="12" hidden="1">100</definedName>
    <definedName name="solver_tim" localSheetId="5" hidden="1">100</definedName>
    <definedName name="solver_tim" localSheetId="17" hidden="1">100</definedName>
    <definedName name="solver_tim" localSheetId="19" hidden="1">100</definedName>
    <definedName name="solver_tol" localSheetId="15" hidden="1">0.05</definedName>
    <definedName name="solver_tol" localSheetId="16" hidden="1">0.05</definedName>
    <definedName name="solver_tol" localSheetId="14" hidden="1">0.05</definedName>
    <definedName name="solver_tol" localSheetId="12" hidden="1">0.05</definedName>
    <definedName name="solver_tol" localSheetId="5" hidden="1">0.05</definedName>
    <definedName name="solver_tol" localSheetId="17" hidden="1">0.05</definedName>
    <definedName name="solver_tol" localSheetId="19" hidden="1">0.05</definedName>
    <definedName name="solver_typ" localSheetId="15" hidden="1">2</definedName>
    <definedName name="solver_typ" localSheetId="16" hidden="1">2</definedName>
    <definedName name="solver_typ" localSheetId="14" hidden="1">2</definedName>
    <definedName name="solver_typ" localSheetId="12" hidden="1">2</definedName>
    <definedName name="solver_typ" localSheetId="5" hidden="1">2</definedName>
    <definedName name="solver_typ" localSheetId="17" hidden="1">2</definedName>
    <definedName name="solver_typ" localSheetId="19" hidden="1">2</definedName>
    <definedName name="solver_val" localSheetId="15" hidden="1">0</definedName>
    <definedName name="solver_val" localSheetId="16" hidden="1">0</definedName>
    <definedName name="solver_val" localSheetId="14" hidden="1">0</definedName>
    <definedName name="solver_val" localSheetId="12" hidden="1">0</definedName>
    <definedName name="solver_val" localSheetId="5" hidden="1">0</definedName>
    <definedName name="solver_val" localSheetId="17" hidden="1">0</definedName>
    <definedName name="solver_val" localSheetId="19" hidden="1">0</definedName>
    <definedName name="solver_ver" localSheetId="15" hidden="1">3</definedName>
    <definedName name="solver_ver" localSheetId="16" hidden="1">3</definedName>
    <definedName name="solver_ver" localSheetId="14" hidden="1">3</definedName>
    <definedName name="solver_ver" localSheetId="12" hidden="1">3</definedName>
    <definedName name="solver_ver" localSheetId="5" hidden="1">3</definedName>
    <definedName name="solver_ver" localSheetId="17" hidden="1">3</definedName>
    <definedName name="solver_ver" localSheetId="19" hidden="1">3</definedName>
    <definedName name="XRangeAll">Regression_Jackknife!$C$9:$C$35</definedName>
    <definedName name="XRangeL1O">Regression_Jackknife!$C$9:$C$34</definedName>
    <definedName name="YestAll">Regression_Jackknife!$J$37</definedName>
    <definedName name="YestL1O">Regression_Jackknife!$J$35</definedName>
    <definedName name="YRangeAll">Regression_Jackknife!$D$9:$D$35</definedName>
    <definedName name="YRangeL1O">Regression_Jackknife!$D$9:$D$34</definedName>
  </definedNames>
  <calcPr calcId="181029" calcOnSave="0"/>
</workbook>
</file>

<file path=xl/calcChain.xml><?xml version="1.0" encoding="utf-8"?>
<calcChain xmlns="http://schemas.openxmlformats.org/spreadsheetml/2006/main">
  <c r="C135" i="25" l="1"/>
  <c r="C134" i="25"/>
  <c r="C138" i="25"/>
  <c r="C137" i="25"/>
  <c r="C136" i="25"/>
  <c r="T82" i="25" l="1"/>
  <c r="G74" i="25" l="1"/>
  <c r="T131" i="25" l="1"/>
  <c r="J131" i="25"/>
  <c r="G131" i="25"/>
  <c r="H131" i="25" s="1"/>
  <c r="L131" i="25" s="1"/>
  <c r="K131" i="25" l="1"/>
  <c r="AK131" i="25"/>
  <c r="AJ131" i="25"/>
  <c r="T127" i="25"/>
  <c r="T128" i="25"/>
  <c r="T129" i="25"/>
  <c r="T130" i="25"/>
  <c r="T74" i="25"/>
  <c r="V74" i="25" s="1"/>
  <c r="T75" i="25"/>
  <c r="T76" i="25"/>
  <c r="T77" i="25"/>
  <c r="T78" i="25"/>
  <c r="T79" i="25"/>
  <c r="T80" i="25"/>
  <c r="T81" i="25"/>
  <c r="T83" i="25"/>
  <c r="T84" i="25"/>
  <c r="T85" i="25"/>
  <c r="T86" i="25"/>
  <c r="T87" i="25"/>
  <c r="T88" i="25"/>
  <c r="T89" i="25"/>
  <c r="T90" i="25"/>
  <c r="T111" i="25"/>
  <c r="T112" i="25"/>
  <c r="T113" i="25"/>
  <c r="T114" i="25"/>
  <c r="T115" i="25"/>
  <c r="T116" i="25"/>
  <c r="T117" i="25"/>
  <c r="T118" i="25"/>
  <c r="T119" i="25"/>
  <c r="T120" i="25"/>
  <c r="T121" i="25"/>
  <c r="T122" i="25"/>
  <c r="T123" i="25"/>
  <c r="T124" i="25"/>
  <c r="T125" i="25"/>
  <c r="T126" i="25"/>
  <c r="G130" i="25" l="1"/>
  <c r="G46" i="33" l="1"/>
  <c r="F46" i="33"/>
  <c r="B35" i="5" l="1"/>
  <c r="B34" i="5"/>
  <c r="B33" i="5"/>
  <c r="B32" i="5"/>
  <c r="B31" i="5"/>
  <c r="B30" i="5"/>
  <c r="B29" i="5"/>
  <c r="B28" i="5"/>
  <c r="B27" i="5"/>
  <c r="B26" i="5"/>
  <c r="B25" i="5"/>
  <c r="B24" i="5"/>
  <c r="B23" i="5"/>
  <c r="B22" i="5"/>
  <c r="B21" i="5"/>
  <c r="B20" i="5"/>
  <c r="B19" i="5"/>
  <c r="B18" i="5"/>
  <c r="B17" i="5"/>
  <c r="B16" i="5"/>
  <c r="B15" i="5"/>
  <c r="B14" i="5"/>
  <c r="B13" i="5"/>
  <c r="B12" i="5"/>
  <c r="B11" i="5"/>
  <c r="B10" i="5"/>
  <c r="A9" i="5" l="1"/>
  <c r="B9" i="5" s="1"/>
  <c r="G216" i="25" l="1"/>
  <c r="G215" i="25"/>
  <c r="G214" i="25"/>
  <c r="G213" i="25"/>
  <c r="G212" i="25"/>
  <c r="G211" i="25"/>
  <c r="G210" i="25"/>
  <c r="G209" i="25"/>
  <c r="G208" i="25"/>
  <c r="G207" i="25"/>
  <c r="G206" i="25"/>
  <c r="G205" i="25"/>
  <c r="G204" i="25"/>
  <c r="G203" i="25"/>
  <c r="G202" i="25"/>
  <c r="G201" i="25"/>
  <c r="G200" i="25"/>
  <c r="G199" i="25"/>
  <c r="G198" i="25"/>
  <c r="G197" i="25"/>
  <c r="H130" i="25" l="1"/>
  <c r="L130" i="25" s="1"/>
  <c r="J130" i="25"/>
  <c r="K130" i="25" l="1"/>
  <c r="H34" i="35"/>
  <c r="G34" i="35"/>
  <c r="A8" i="42"/>
  <c r="G8" i="42" s="1"/>
  <c r="L8" i="42" s="1"/>
  <c r="Q8" i="42" s="1"/>
  <c r="V8" i="42" s="1"/>
  <c r="AA8" i="42" s="1"/>
  <c r="A1" i="42"/>
  <c r="A8" i="41"/>
  <c r="G8" i="41" s="1"/>
  <c r="M8" i="41" s="1"/>
  <c r="R8" i="41" s="1"/>
  <c r="A1" i="41"/>
  <c r="F25" i="35"/>
  <c r="H47" i="33"/>
  <c r="G26" i="35" s="1"/>
  <c r="G47" i="33"/>
  <c r="F26" i="35" s="1"/>
  <c r="F47" i="33"/>
  <c r="E26" i="35" s="1"/>
  <c r="E25" i="35"/>
  <c r="H46" i="33"/>
  <c r="G25" i="35" s="1"/>
  <c r="C8" i="42" l="1"/>
  <c r="A9" i="42"/>
  <c r="C9" i="42" s="1"/>
  <c r="A9" i="41"/>
  <c r="G9" i="41" s="1"/>
  <c r="M9" i="41" s="1"/>
  <c r="R9" i="41" s="1"/>
  <c r="A10" i="41"/>
  <c r="B52" i="34"/>
  <c r="E11" i="35"/>
  <c r="E12" i="35"/>
  <c r="E13" i="35"/>
  <c r="E14" i="35"/>
  <c r="E15" i="35"/>
  <c r="E10" i="35"/>
  <c r="G9" i="42" l="1"/>
  <c r="L9" i="42" s="1"/>
  <c r="Q9" i="42" s="1"/>
  <c r="V9" i="42" s="1"/>
  <c r="AA9" i="42" s="1"/>
  <c r="A10" i="42"/>
  <c r="C10" i="42" s="1"/>
  <c r="G10" i="41"/>
  <c r="M10" i="41" s="1"/>
  <c r="R10" i="41" s="1"/>
  <c r="A11" i="41"/>
  <c r="A11" i="42" l="1"/>
  <c r="C11" i="42" s="1"/>
  <c r="G10" i="42"/>
  <c r="L10" i="42" s="1"/>
  <c r="Q10" i="42" s="1"/>
  <c r="V10" i="42" s="1"/>
  <c r="AA10" i="42" s="1"/>
  <c r="A12" i="41"/>
  <c r="I12" i="41" s="1"/>
  <c r="G11" i="41"/>
  <c r="M11" i="41" s="1"/>
  <c r="R11" i="41" s="1"/>
  <c r="P24" i="5"/>
  <c r="U24" i="5" s="1"/>
  <c r="F40" i="5"/>
  <c r="F39" i="5"/>
  <c r="P37" i="5"/>
  <c r="U37" i="5" l="1"/>
  <c r="S37" i="5" s="1"/>
  <c r="AD37" i="5"/>
  <c r="AL41" i="5" s="1"/>
  <c r="A12" i="42"/>
  <c r="C12" i="42" s="1"/>
  <c r="G11" i="42"/>
  <c r="L11" i="42" s="1"/>
  <c r="Q11" i="42" s="1"/>
  <c r="V11" i="42" s="1"/>
  <c r="AA11" i="42" s="1"/>
  <c r="A13" i="41"/>
  <c r="I13" i="41" s="1"/>
  <c r="G12" i="41"/>
  <c r="M12" i="41" s="1"/>
  <c r="R12" i="41" s="1"/>
  <c r="Q40" i="5"/>
  <c r="Q39" i="5"/>
  <c r="P28" i="5"/>
  <c r="U28" i="5" s="1"/>
  <c r="P33" i="5"/>
  <c r="U33" i="5" s="1"/>
  <c r="P32" i="5"/>
  <c r="U32" i="5" s="1"/>
  <c r="P31" i="5"/>
  <c r="U31" i="5" s="1"/>
  <c r="P30" i="5"/>
  <c r="U30" i="5" s="1"/>
  <c r="P29" i="5"/>
  <c r="U29" i="5" s="1"/>
  <c r="P25" i="5"/>
  <c r="U25" i="5" s="1"/>
  <c r="P26" i="5"/>
  <c r="U26" i="5" s="1"/>
  <c r="P27" i="5"/>
  <c r="U27" i="5" s="1"/>
  <c r="G12" i="42" l="1"/>
  <c r="L12" i="42" s="1"/>
  <c r="Q12" i="42" s="1"/>
  <c r="V12" i="42" s="1"/>
  <c r="AA12" i="42" s="1"/>
  <c r="A13" i="42"/>
  <c r="C13" i="42" s="1"/>
  <c r="A14" i="41"/>
  <c r="I14" i="41" s="1"/>
  <c r="G13" i="41"/>
  <c r="M13" i="41" s="1"/>
  <c r="R13" i="41" s="1"/>
  <c r="A8" i="39"/>
  <c r="A9" i="39" s="1"/>
  <c r="AD6" i="33"/>
  <c r="U6" i="33"/>
  <c r="A11" i="33"/>
  <c r="G13" i="42" l="1"/>
  <c r="L13" i="42" s="1"/>
  <c r="Q13" i="42" s="1"/>
  <c r="V13" i="42" s="1"/>
  <c r="AA13" i="42" s="1"/>
  <c r="A14" i="42"/>
  <c r="C14" i="42" s="1"/>
  <c r="A15" i="41"/>
  <c r="I15" i="41" s="1"/>
  <c r="G14" i="41"/>
  <c r="M14" i="41" s="1"/>
  <c r="R14" i="41" s="1"/>
  <c r="G8" i="39"/>
  <c r="L8" i="39" s="1"/>
  <c r="Q8" i="39" s="1"/>
  <c r="V8" i="39" s="1"/>
  <c r="AA8" i="39" s="1"/>
  <c r="G9" i="39"/>
  <c r="L9" i="39" s="1"/>
  <c r="Q9" i="39" s="1"/>
  <c r="V9" i="39" s="1"/>
  <c r="AA9" i="39" s="1"/>
  <c r="A10" i="39"/>
  <c r="G14" i="42" l="1"/>
  <c r="L14" i="42" s="1"/>
  <c r="Q14" i="42" s="1"/>
  <c r="V14" i="42" s="1"/>
  <c r="AA14" i="42" s="1"/>
  <c r="A15" i="42"/>
  <c r="C15" i="42" s="1"/>
  <c r="A16" i="41"/>
  <c r="G15" i="41"/>
  <c r="M15" i="41" s="1"/>
  <c r="R15" i="41" s="1"/>
  <c r="G10" i="39"/>
  <c r="L10" i="39" s="1"/>
  <c r="Q10" i="39" s="1"/>
  <c r="V10" i="39" s="1"/>
  <c r="AA10" i="39" s="1"/>
  <c r="A11" i="39"/>
  <c r="A16" i="42" l="1"/>
  <c r="G15" i="42"/>
  <c r="L15" i="42" s="1"/>
  <c r="Q15" i="42" s="1"/>
  <c r="V15" i="42" s="1"/>
  <c r="AA15" i="42" s="1"/>
  <c r="G16" i="41"/>
  <c r="M16" i="41" s="1"/>
  <c r="R16" i="41" s="1"/>
  <c r="A17" i="41"/>
  <c r="G11" i="39"/>
  <c r="L11" i="39" s="1"/>
  <c r="Q11" i="39" s="1"/>
  <c r="V11" i="39" s="1"/>
  <c r="AA11" i="39" s="1"/>
  <c r="A12" i="39"/>
  <c r="G16" i="42" l="1"/>
  <c r="L16" i="42" s="1"/>
  <c r="Q16" i="42" s="1"/>
  <c r="V16" i="42" s="1"/>
  <c r="AA16" i="42" s="1"/>
  <c r="A17" i="42"/>
  <c r="G17" i="41"/>
  <c r="M17" i="41" s="1"/>
  <c r="R17" i="41" s="1"/>
  <c r="A18" i="41"/>
  <c r="G12" i="39"/>
  <c r="L12" i="39" s="1"/>
  <c r="Q12" i="39" s="1"/>
  <c r="V12" i="39" s="1"/>
  <c r="AA12" i="39" s="1"/>
  <c r="A13" i="39"/>
  <c r="A18" i="42" l="1"/>
  <c r="G17" i="42"/>
  <c r="L17" i="42" s="1"/>
  <c r="Q17" i="42" s="1"/>
  <c r="V17" i="42" s="1"/>
  <c r="AA17" i="42" s="1"/>
  <c r="G18" i="41"/>
  <c r="M18" i="41" s="1"/>
  <c r="R18" i="41" s="1"/>
  <c r="A19" i="41"/>
  <c r="A14" i="39"/>
  <c r="G13" i="39"/>
  <c r="L13" i="39" s="1"/>
  <c r="Q13" i="39" s="1"/>
  <c r="V13" i="39" s="1"/>
  <c r="AA13" i="39" s="1"/>
  <c r="G18" i="42" l="1"/>
  <c r="L18" i="42" s="1"/>
  <c r="Q18" i="42" s="1"/>
  <c r="V18" i="42" s="1"/>
  <c r="AA18" i="42" s="1"/>
  <c r="A19" i="42"/>
  <c r="G19" i="41"/>
  <c r="M19" i="41" s="1"/>
  <c r="R19" i="41" s="1"/>
  <c r="A20" i="41"/>
  <c r="G14" i="39"/>
  <c r="L14" i="39" s="1"/>
  <c r="Q14" i="39" s="1"/>
  <c r="V14" i="39" s="1"/>
  <c r="AA14" i="39" s="1"/>
  <c r="A15" i="39"/>
  <c r="A20" i="42" l="1"/>
  <c r="G19" i="42"/>
  <c r="L19" i="42" s="1"/>
  <c r="Q19" i="42" s="1"/>
  <c r="V19" i="42" s="1"/>
  <c r="AA19" i="42" s="1"/>
  <c r="A21" i="41"/>
  <c r="G20" i="41"/>
  <c r="M20" i="41" s="1"/>
  <c r="R20" i="41" s="1"/>
  <c r="A16" i="39"/>
  <c r="G15" i="39"/>
  <c r="L15" i="39" s="1"/>
  <c r="Q15" i="39" s="1"/>
  <c r="V15" i="39" s="1"/>
  <c r="AA15" i="39" s="1"/>
  <c r="A21" i="42" l="1"/>
  <c r="G20" i="42"/>
  <c r="L20" i="42" s="1"/>
  <c r="Q20" i="42" s="1"/>
  <c r="V20" i="42" s="1"/>
  <c r="AA20" i="42" s="1"/>
  <c r="G21" i="41"/>
  <c r="M21" i="41" s="1"/>
  <c r="R21" i="41" s="1"/>
  <c r="A22" i="41"/>
  <c r="A17" i="39"/>
  <c r="G16" i="39"/>
  <c r="L16" i="39" s="1"/>
  <c r="Q16" i="39" s="1"/>
  <c r="V16" i="39" s="1"/>
  <c r="AA16" i="39" s="1"/>
  <c r="A22" i="42" l="1"/>
  <c r="G21" i="42"/>
  <c r="L21" i="42" s="1"/>
  <c r="Q21" i="42" s="1"/>
  <c r="V21" i="42" s="1"/>
  <c r="AA21" i="42" s="1"/>
  <c r="A23" i="41"/>
  <c r="G22" i="41"/>
  <c r="M22" i="41" s="1"/>
  <c r="R22" i="41" s="1"/>
  <c r="A18" i="39"/>
  <c r="G17" i="39"/>
  <c r="L17" i="39" s="1"/>
  <c r="Q17" i="39" s="1"/>
  <c r="V17" i="39" s="1"/>
  <c r="AA17" i="39" s="1"/>
  <c r="G22" i="42" l="1"/>
  <c r="L22" i="42" s="1"/>
  <c r="Q22" i="42" s="1"/>
  <c r="V22" i="42" s="1"/>
  <c r="AA22" i="42" s="1"/>
  <c r="A23" i="42"/>
  <c r="A24" i="41"/>
  <c r="G23" i="41"/>
  <c r="M23" i="41" s="1"/>
  <c r="R23" i="41" s="1"/>
  <c r="A19" i="39"/>
  <c r="G18" i="39"/>
  <c r="L18" i="39" s="1"/>
  <c r="Q18" i="39" s="1"/>
  <c r="V18" i="39" s="1"/>
  <c r="AA18" i="39" s="1"/>
  <c r="G23" i="42" l="1"/>
  <c r="L23" i="42" s="1"/>
  <c r="Q23" i="42" s="1"/>
  <c r="V23" i="42" s="1"/>
  <c r="AA23" i="42" s="1"/>
  <c r="A24" i="42"/>
  <c r="G24" i="41"/>
  <c r="M24" i="41" s="1"/>
  <c r="R24" i="41" s="1"/>
  <c r="A25" i="41"/>
  <c r="A20" i="39"/>
  <c r="G19" i="39"/>
  <c r="L19" i="39" s="1"/>
  <c r="Q19" i="39" s="1"/>
  <c r="V19" i="39" s="1"/>
  <c r="AA19" i="39" s="1"/>
  <c r="A25" i="42" l="1"/>
  <c r="G24" i="42"/>
  <c r="L24" i="42" s="1"/>
  <c r="Q24" i="42" s="1"/>
  <c r="V24" i="42" s="1"/>
  <c r="AA24" i="42" s="1"/>
  <c r="G25" i="41"/>
  <c r="M25" i="41" s="1"/>
  <c r="R25" i="41" s="1"/>
  <c r="A26" i="41"/>
  <c r="I26" i="41" s="1"/>
  <c r="A21" i="39"/>
  <c r="G20" i="39"/>
  <c r="L20" i="39" s="1"/>
  <c r="Q20" i="39" s="1"/>
  <c r="V20" i="39" s="1"/>
  <c r="AA20" i="39" s="1"/>
  <c r="A26" i="42" l="1"/>
  <c r="C26" i="42" s="1"/>
  <c r="G25" i="42"/>
  <c r="L25" i="42" s="1"/>
  <c r="Q25" i="42" s="1"/>
  <c r="V25" i="42" s="1"/>
  <c r="AA25" i="42" s="1"/>
  <c r="G26" i="41"/>
  <c r="M26" i="41" s="1"/>
  <c r="R26" i="41" s="1"/>
  <c r="A27" i="41"/>
  <c r="I27" i="41" s="1"/>
  <c r="A22" i="39"/>
  <c r="G21" i="39"/>
  <c r="L21" i="39" s="1"/>
  <c r="Q21" i="39" s="1"/>
  <c r="V21" i="39" s="1"/>
  <c r="AA21" i="39" s="1"/>
  <c r="G26" i="42" l="1"/>
  <c r="L26" i="42" s="1"/>
  <c r="Q26" i="42" s="1"/>
  <c r="V26" i="42" s="1"/>
  <c r="AA26" i="42" s="1"/>
  <c r="A27" i="42"/>
  <c r="C27" i="42" s="1"/>
  <c r="A28" i="41"/>
  <c r="I28" i="41" s="1"/>
  <c r="G27" i="41"/>
  <c r="M27" i="41" s="1"/>
  <c r="R27" i="41" s="1"/>
  <c r="A23" i="39"/>
  <c r="G22" i="39"/>
  <c r="L22" i="39" s="1"/>
  <c r="Q22" i="39" s="1"/>
  <c r="V22" i="39" s="1"/>
  <c r="AA22" i="39" s="1"/>
  <c r="A28" i="42" l="1"/>
  <c r="C28" i="42" s="1"/>
  <c r="G27" i="42"/>
  <c r="L27" i="42" s="1"/>
  <c r="Q27" i="42" s="1"/>
  <c r="V27" i="42" s="1"/>
  <c r="AA27" i="42" s="1"/>
  <c r="G28" i="41"/>
  <c r="M28" i="41" s="1"/>
  <c r="R28" i="41" s="1"/>
  <c r="A29" i="41"/>
  <c r="I29" i="41" s="1"/>
  <c r="A24" i="39"/>
  <c r="G23" i="39"/>
  <c r="L23" i="39" s="1"/>
  <c r="Q23" i="39" s="1"/>
  <c r="V23" i="39" s="1"/>
  <c r="AA23" i="39" s="1"/>
  <c r="A29" i="42" l="1"/>
  <c r="C29" i="42" s="1"/>
  <c r="G28" i="42"/>
  <c r="L28" i="42" s="1"/>
  <c r="Q28" i="42" s="1"/>
  <c r="V28" i="42" s="1"/>
  <c r="AA28" i="42" s="1"/>
  <c r="A30" i="41"/>
  <c r="I30" i="41" s="1"/>
  <c r="G29" i="41"/>
  <c r="M29" i="41" s="1"/>
  <c r="R29" i="41" s="1"/>
  <c r="A25" i="39"/>
  <c r="G24" i="39"/>
  <c r="L24" i="39" s="1"/>
  <c r="Q24" i="39" s="1"/>
  <c r="V24" i="39" s="1"/>
  <c r="AA24" i="39" s="1"/>
  <c r="G29" i="42" l="1"/>
  <c r="L29" i="42" s="1"/>
  <c r="Q29" i="42" s="1"/>
  <c r="V29" i="42" s="1"/>
  <c r="AA29" i="42" s="1"/>
  <c r="A30" i="42"/>
  <c r="C30" i="42" s="1"/>
  <c r="A31" i="41"/>
  <c r="I31" i="41" s="1"/>
  <c r="G30" i="41"/>
  <c r="M30" i="41" s="1"/>
  <c r="R30" i="41" s="1"/>
  <c r="G25" i="39"/>
  <c r="L25" i="39" s="1"/>
  <c r="Q25" i="39" s="1"/>
  <c r="V25" i="39" s="1"/>
  <c r="AA25" i="39" s="1"/>
  <c r="A26" i="39"/>
  <c r="A31" i="42" l="1"/>
  <c r="C31" i="42" s="1"/>
  <c r="G30" i="42"/>
  <c r="L30" i="42" s="1"/>
  <c r="Q30" i="42" s="1"/>
  <c r="V30" i="42" s="1"/>
  <c r="AA30" i="42" s="1"/>
  <c r="A32" i="41"/>
  <c r="I32" i="41" s="1"/>
  <c r="G31" i="41"/>
  <c r="M31" i="41" s="1"/>
  <c r="R31" i="41" s="1"/>
  <c r="G26" i="39"/>
  <c r="L26" i="39" s="1"/>
  <c r="Q26" i="39" s="1"/>
  <c r="V26" i="39" s="1"/>
  <c r="AA26" i="39" s="1"/>
  <c r="A27" i="39"/>
  <c r="G31" i="42" l="1"/>
  <c r="L31" i="42" s="1"/>
  <c r="Q31" i="42" s="1"/>
  <c r="V31" i="42" s="1"/>
  <c r="AA31" i="42" s="1"/>
  <c r="A32" i="42"/>
  <c r="C32" i="42" s="1"/>
  <c r="G32" i="41"/>
  <c r="M32" i="41" s="1"/>
  <c r="R32" i="41" s="1"/>
  <c r="A33" i="41"/>
  <c r="I33" i="41" s="1"/>
  <c r="A28" i="39"/>
  <c r="G27" i="39"/>
  <c r="L27" i="39" s="1"/>
  <c r="Q27" i="39" s="1"/>
  <c r="V27" i="39" s="1"/>
  <c r="AA27" i="39" s="1"/>
  <c r="A33" i="42" l="1"/>
  <c r="C33" i="42" s="1"/>
  <c r="G32" i="42"/>
  <c r="L32" i="42" s="1"/>
  <c r="Q32" i="42" s="1"/>
  <c r="V32" i="42" s="1"/>
  <c r="AA32" i="42" s="1"/>
  <c r="A34" i="41"/>
  <c r="I34" i="41" s="1"/>
  <c r="G33" i="41"/>
  <c r="M33" i="41" s="1"/>
  <c r="R33" i="41" s="1"/>
  <c r="A29" i="39"/>
  <c r="G28" i="39"/>
  <c r="L28" i="39" s="1"/>
  <c r="Q28" i="39" s="1"/>
  <c r="V28" i="39" s="1"/>
  <c r="AA28" i="39" s="1"/>
  <c r="G33" i="42" l="1"/>
  <c r="L33" i="42" s="1"/>
  <c r="Q33" i="42" s="1"/>
  <c r="V33" i="42" s="1"/>
  <c r="AA33" i="42" s="1"/>
  <c r="A34" i="42"/>
  <c r="G34" i="41"/>
  <c r="M34" i="41" s="1"/>
  <c r="R34" i="41" s="1"/>
  <c r="A35" i="41"/>
  <c r="G29" i="39"/>
  <c r="L29" i="39" s="1"/>
  <c r="Q29" i="39" s="1"/>
  <c r="V29" i="39" s="1"/>
  <c r="AA29" i="39" s="1"/>
  <c r="A30" i="39"/>
  <c r="A1" i="40"/>
  <c r="A1" i="39"/>
  <c r="C34" i="42" l="1"/>
  <c r="A35" i="42"/>
  <c r="G34" i="42"/>
  <c r="L34" i="42" s="1"/>
  <c r="Q34" i="42" s="1"/>
  <c r="V34" i="42" s="1"/>
  <c r="AA34" i="42" s="1"/>
  <c r="G35" i="41"/>
  <c r="M35" i="41" s="1"/>
  <c r="R35" i="41" s="1"/>
  <c r="A8" i="40"/>
  <c r="J54" i="40"/>
  <c r="A31" i="39"/>
  <c r="G30" i="39"/>
  <c r="L30" i="39" s="1"/>
  <c r="Q30" i="39" s="1"/>
  <c r="V30" i="39" s="1"/>
  <c r="AA30" i="39" s="1"/>
  <c r="A36" i="42" l="1"/>
  <c r="G36" i="42" s="1"/>
  <c r="L36" i="42" s="1"/>
  <c r="Q36" i="42" s="1"/>
  <c r="V36" i="42" s="1"/>
  <c r="AA36" i="42" s="1"/>
  <c r="C35" i="42"/>
  <c r="G35" i="42"/>
  <c r="L35" i="42" s="1"/>
  <c r="Q35" i="42" s="1"/>
  <c r="V35" i="42" s="1"/>
  <c r="AA35" i="42" s="1"/>
  <c r="E42" i="40"/>
  <c r="E41" i="40" s="1"/>
  <c r="B42" i="40"/>
  <c r="B41" i="40" s="1"/>
  <c r="H42" i="40"/>
  <c r="H41" i="40" s="1"/>
  <c r="F42" i="40"/>
  <c r="F41" i="40" s="1"/>
  <c r="D42" i="40"/>
  <c r="J8" i="40"/>
  <c r="R8" i="40" s="1"/>
  <c r="Z8" i="40" s="1"/>
  <c r="G42" i="40"/>
  <c r="G41" i="40" s="1"/>
  <c r="A9" i="40"/>
  <c r="C42" i="40"/>
  <c r="C41" i="40" s="1"/>
  <c r="A32" i="39"/>
  <c r="G31" i="39"/>
  <c r="L31" i="39" s="1"/>
  <c r="Q31" i="39" s="1"/>
  <c r="V31" i="39" s="1"/>
  <c r="AA31" i="39" s="1"/>
  <c r="J9" i="40" l="1"/>
  <c r="R9" i="40" s="1"/>
  <c r="Z9" i="40" s="1"/>
  <c r="A10" i="40"/>
  <c r="AE35" i="5"/>
  <c r="A33" i="39"/>
  <c r="G32" i="39"/>
  <c r="L32" i="39" s="1"/>
  <c r="Q32" i="39" s="1"/>
  <c r="V32" i="39" s="1"/>
  <c r="AA32" i="39" s="1"/>
  <c r="A11" i="40" l="1"/>
  <c r="J10" i="40"/>
  <c r="R10" i="40" s="1"/>
  <c r="Z10" i="40" s="1"/>
  <c r="A34" i="39"/>
  <c r="A35" i="39" s="1"/>
  <c r="G33" i="39"/>
  <c r="L33" i="39" s="1"/>
  <c r="Q33" i="39" s="1"/>
  <c r="V33" i="39" s="1"/>
  <c r="AA33" i="39" s="1"/>
  <c r="A36" i="39" l="1"/>
  <c r="G36" i="39" s="1"/>
  <c r="G35" i="39"/>
  <c r="L35" i="39" s="1"/>
  <c r="Q35" i="39" s="1"/>
  <c r="V35" i="39" s="1"/>
  <c r="AA35" i="39" s="1"/>
  <c r="J9" i="42"/>
  <c r="I9" i="42"/>
  <c r="E9" i="42"/>
  <c r="D9" i="42"/>
  <c r="E8" i="42"/>
  <c r="D8" i="42"/>
  <c r="A12" i="40"/>
  <c r="J11" i="40"/>
  <c r="R11" i="40" s="1"/>
  <c r="Z11" i="40" s="1"/>
  <c r="G34" i="39"/>
  <c r="L34" i="39" s="1"/>
  <c r="Q34" i="39" s="1"/>
  <c r="V34" i="39" s="1"/>
  <c r="AA34" i="39" s="1"/>
  <c r="J10" i="42" l="1"/>
  <c r="I10" i="42"/>
  <c r="A13" i="40"/>
  <c r="J12" i="40"/>
  <c r="R12" i="40" s="1"/>
  <c r="Z12" i="40" s="1"/>
  <c r="L36" i="39"/>
  <c r="Q36" i="39" s="1"/>
  <c r="V36" i="39" s="1"/>
  <c r="AA36" i="39" s="1"/>
  <c r="E10" i="42" l="1"/>
  <c r="D10" i="42"/>
  <c r="J13" i="40"/>
  <c r="R13" i="40" s="1"/>
  <c r="Z13" i="40" s="1"/>
  <c r="I11" i="42"/>
  <c r="J11" i="42"/>
  <c r="O10" i="42"/>
  <c r="N10" i="42"/>
  <c r="A14" i="40"/>
  <c r="J14" i="40" s="1"/>
  <c r="R14" i="40" s="1"/>
  <c r="Z14" i="40" s="1"/>
  <c r="A15" i="40" l="1"/>
  <c r="J12" i="42"/>
  <c r="I12" i="42"/>
  <c r="J15" i="40"/>
  <c r="R15" i="40" s="1"/>
  <c r="Z15" i="40" s="1"/>
  <c r="A16" i="40"/>
  <c r="J16" i="40" l="1"/>
  <c r="R16" i="40" s="1"/>
  <c r="Z16" i="40" s="1"/>
  <c r="A17" i="40"/>
  <c r="A18" i="40" l="1"/>
  <c r="J17" i="40"/>
  <c r="R17" i="40" s="1"/>
  <c r="Z17" i="40" s="1"/>
  <c r="A19" i="40" l="1"/>
  <c r="J18" i="40"/>
  <c r="R18" i="40" s="1"/>
  <c r="Z18" i="40" s="1"/>
  <c r="J19" i="40" l="1"/>
  <c r="R19" i="40" s="1"/>
  <c r="Z19" i="40" s="1"/>
  <c r="A20" i="40"/>
  <c r="J20" i="40" l="1"/>
  <c r="R20" i="40" s="1"/>
  <c r="Z20" i="40" s="1"/>
  <c r="A21" i="40"/>
  <c r="J21" i="40" l="1"/>
  <c r="R21" i="40" s="1"/>
  <c r="Z21" i="40" s="1"/>
  <c r="A22" i="40"/>
  <c r="J22" i="40" l="1"/>
  <c r="R22" i="40" s="1"/>
  <c r="Z22" i="40" s="1"/>
  <c r="A23" i="40"/>
  <c r="J23" i="40" l="1"/>
  <c r="R23" i="40" s="1"/>
  <c r="Z23" i="40" s="1"/>
  <c r="A24" i="40"/>
  <c r="AE27" i="5" l="1"/>
  <c r="J24" i="40"/>
  <c r="R24" i="40" s="1"/>
  <c r="Z24" i="40" s="1"/>
  <c r="A25" i="40"/>
  <c r="AE28" i="5" l="1"/>
  <c r="J25" i="40"/>
  <c r="R25" i="40" s="1"/>
  <c r="Z25" i="40" s="1"/>
  <c r="A26" i="40"/>
  <c r="AE29" i="5" l="1"/>
  <c r="J26" i="40"/>
  <c r="R26" i="40" s="1"/>
  <c r="Z26" i="40" s="1"/>
  <c r="A27" i="40"/>
  <c r="AE30" i="5" l="1"/>
  <c r="J27" i="40"/>
  <c r="R27" i="40" s="1"/>
  <c r="Z27" i="40" s="1"/>
  <c r="A28" i="40"/>
  <c r="AE31" i="5" l="1"/>
  <c r="J28" i="40"/>
  <c r="R28" i="40" s="1"/>
  <c r="Z28" i="40" s="1"/>
  <c r="A29" i="40"/>
  <c r="I14" i="38"/>
  <c r="J14" i="38" s="1"/>
  <c r="I15" i="38"/>
  <c r="K15" i="38" s="1"/>
  <c r="I16" i="38"/>
  <c r="J16" i="38" s="1"/>
  <c r="I17" i="38"/>
  <c r="J17" i="38" s="1"/>
  <c r="I18" i="38"/>
  <c r="J18" i="38" s="1"/>
  <c r="I19" i="38"/>
  <c r="K19" i="38" s="1"/>
  <c r="I20" i="38"/>
  <c r="J20" i="38" s="1"/>
  <c r="I21" i="38"/>
  <c r="J21" i="38" s="1"/>
  <c r="I32" i="38"/>
  <c r="I33" i="38"/>
  <c r="I34" i="38"/>
  <c r="I35" i="38"/>
  <c r="I36" i="38"/>
  <c r="I37" i="38"/>
  <c r="I38" i="38"/>
  <c r="I39" i="38"/>
  <c r="I40" i="38"/>
  <c r="AE32" i="5" l="1"/>
  <c r="J29" i="40"/>
  <c r="R29" i="40" s="1"/>
  <c r="Z29" i="40" s="1"/>
  <c r="A30" i="40"/>
  <c r="J15" i="38"/>
  <c r="K14" i="38"/>
  <c r="K20" i="38"/>
  <c r="K16" i="38"/>
  <c r="K21" i="38"/>
  <c r="K17" i="38"/>
  <c r="J19" i="38"/>
  <c r="K18" i="38"/>
  <c r="AE33" i="5" l="1"/>
  <c r="AE34" i="5"/>
  <c r="J30" i="40"/>
  <c r="R30" i="40" s="1"/>
  <c r="Z30" i="40" s="1"/>
  <c r="A31" i="40"/>
  <c r="J189" i="25"/>
  <c r="J192" i="25"/>
  <c r="J191" i="25"/>
  <c r="J190" i="25"/>
  <c r="J31" i="40" l="1"/>
  <c r="R31" i="40" s="1"/>
  <c r="Z31" i="40" s="1"/>
  <c r="A32" i="40"/>
  <c r="G159" i="25"/>
  <c r="G160" i="25"/>
  <c r="G161" i="25"/>
  <c r="G162" i="25"/>
  <c r="G163" i="25"/>
  <c r="G164" i="25"/>
  <c r="G165" i="25"/>
  <c r="G166" i="25"/>
  <c r="G167" i="25"/>
  <c r="G168" i="25"/>
  <c r="G169" i="25"/>
  <c r="G170" i="25"/>
  <c r="G171" i="25"/>
  <c r="G172" i="25"/>
  <c r="G173" i="25"/>
  <c r="G174" i="25"/>
  <c r="G175" i="25"/>
  <c r="G176" i="25"/>
  <c r="G177" i="25"/>
  <c r="G178" i="25"/>
  <c r="G179" i="25"/>
  <c r="G180" i="25"/>
  <c r="G181" i="25"/>
  <c r="G182" i="25"/>
  <c r="G183" i="25"/>
  <c r="G184" i="25"/>
  <c r="G185" i="25"/>
  <c r="G158" i="25"/>
  <c r="F192" i="25"/>
  <c r="F191" i="25"/>
  <c r="F190" i="25"/>
  <c r="F189" i="25"/>
  <c r="F141" i="25"/>
  <c r="F221" i="25" l="1"/>
  <c r="F220" i="25"/>
  <c r="F219" i="25"/>
  <c r="F218" i="25"/>
  <c r="J32" i="40"/>
  <c r="R32" i="40" s="1"/>
  <c r="Z32" i="40" s="1"/>
  <c r="A33" i="40"/>
  <c r="I46" i="38"/>
  <c r="I45" i="38"/>
  <c r="H8" i="38"/>
  <c r="G7" i="38"/>
  <c r="H5" i="38"/>
  <c r="H4" i="38"/>
  <c r="G4" i="38"/>
  <c r="G5" i="38" s="1"/>
  <c r="D4" i="38"/>
  <c r="D5" i="38" s="1"/>
  <c r="H3" i="38"/>
  <c r="A1" i="38"/>
  <c r="J33" i="40" l="1"/>
  <c r="R33" i="40" s="1"/>
  <c r="Z33" i="40" s="1"/>
  <c r="A34" i="40"/>
  <c r="A35" i="40" s="1"/>
  <c r="A36" i="40" s="1"/>
  <c r="I53" i="38"/>
  <c r="H6" i="13"/>
  <c r="G6" i="13"/>
  <c r="E6" i="13"/>
  <c r="D6" i="13"/>
  <c r="C6" i="13"/>
  <c r="B6" i="13"/>
  <c r="A6" i="13"/>
  <c r="N37" i="5"/>
  <c r="O37" i="5" s="1"/>
  <c r="B37" i="5"/>
  <c r="AE37" i="5" s="1"/>
  <c r="AE26" i="5"/>
  <c r="P34" i="5"/>
  <c r="U34" i="5" s="1"/>
  <c r="P35" i="5"/>
  <c r="U35" i="5" s="1"/>
  <c r="AE25" i="5"/>
  <c r="P9" i="5"/>
  <c r="U9" i="5" s="1"/>
  <c r="AE24" i="5"/>
  <c r="P10" i="5"/>
  <c r="U10" i="5" s="1"/>
  <c r="AE23" i="5"/>
  <c r="P11" i="5"/>
  <c r="U11" i="5" s="1"/>
  <c r="AE22" i="5"/>
  <c r="P12" i="5"/>
  <c r="U12" i="5" s="1"/>
  <c r="AE21" i="5"/>
  <c r="P13" i="5"/>
  <c r="U13" i="5" s="1"/>
  <c r="AE20" i="5"/>
  <c r="AE19" i="5"/>
  <c r="P14" i="5"/>
  <c r="U14" i="5" s="1"/>
  <c r="P15" i="5"/>
  <c r="U15" i="5" s="1"/>
  <c r="AE18" i="5"/>
  <c r="P16" i="5"/>
  <c r="U16" i="5" s="1"/>
  <c r="AE17" i="5"/>
  <c r="P17" i="5"/>
  <c r="U17" i="5" s="1"/>
  <c r="AE16" i="5"/>
  <c r="P18" i="5"/>
  <c r="U18" i="5" s="1"/>
  <c r="AE15" i="5"/>
  <c r="P19" i="5"/>
  <c r="U19" i="5" s="1"/>
  <c r="AE14" i="5"/>
  <c r="P20" i="5"/>
  <c r="U20" i="5" s="1"/>
  <c r="AE13" i="5"/>
  <c r="AE12" i="5"/>
  <c r="P21" i="5"/>
  <c r="U21" i="5" s="1"/>
  <c r="P22" i="5"/>
  <c r="U22" i="5" s="1"/>
  <c r="AE11" i="5"/>
  <c r="P23" i="5"/>
  <c r="U23" i="5" s="1"/>
  <c r="AE10" i="5"/>
  <c r="AE9" i="5"/>
  <c r="B1" i="5"/>
  <c r="C67" i="22"/>
  <c r="B20" i="35" s="1"/>
  <c r="J20" i="35" s="1"/>
  <c r="A1" i="22"/>
  <c r="B59" i="27"/>
  <c r="B58" i="27"/>
  <c r="B57" i="27"/>
  <c r="B56" i="27"/>
  <c r="B55" i="27"/>
  <c r="B54" i="27"/>
  <c r="B53" i="27"/>
  <c r="B52" i="27"/>
  <c r="B51" i="27"/>
  <c r="B50" i="27"/>
  <c r="B49" i="27"/>
  <c r="B48" i="27"/>
  <c r="B47" i="27"/>
  <c r="B46" i="27"/>
  <c r="B45" i="27"/>
  <c r="B44" i="27"/>
  <c r="B43" i="27"/>
  <c r="B22" i="27"/>
  <c r="B21" i="27"/>
  <c r="B20" i="27"/>
  <c r="B19" i="27"/>
  <c r="B18" i="27"/>
  <c r="B17" i="27"/>
  <c r="B16" i="27"/>
  <c r="B15" i="27"/>
  <c r="B14" i="27"/>
  <c r="B13" i="27"/>
  <c r="B12" i="27"/>
  <c r="B11" i="27"/>
  <c r="B10" i="27"/>
  <c r="B9" i="27"/>
  <c r="B8" i="27"/>
  <c r="A1" i="27"/>
  <c r="J14" i="24"/>
  <c r="J13" i="24"/>
  <c r="J12" i="24"/>
  <c r="J11" i="24"/>
  <c r="E11" i="24"/>
  <c r="C11" i="24"/>
  <c r="J3" i="24"/>
  <c r="J7" i="24" s="1"/>
  <c r="A1" i="24"/>
  <c r="E14" i="26"/>
  <c r="D14" i="26"/>
  <c r="J13" i="26"/>
  <c r="E13" i="26"/>
  <c r="D13" i="26"/>
  <c r="J12" i="26"/>
  <c r="E12" i="26"/>
  <c r="D12" i="26"/>
  <c r="J11" i="26"/>
  <c r="E11" i="26"/>
  <c r="D11" i="26"/>
  <c r="C11" i="26"/>
  <c r="J7" i="26"/>
  <c r="J3" i="26"/>
  <c r="A1" i="26"/>
  <c r="K73" i="21"/>
  <c r="J16" i="21"/>
  <c r="J15" i="21"/>
  <c r="J14" i="21"/>
  <c r="J13" i="21"/>
  <c r="J12" i="21"/>
  <c r="B7" i="21"/>
  <c r="J3" i="21"/>
  <c r="J7" i="21" s="1"/>
  <c r="A1" i="21"/>
  <c r="A9" i="34"/>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1" i="34"/>
  <c r="A12" i="33"/>
  <c r="C11" i="33"/>
  <c r="D11" i="33" s="1"/>
  <c r="C9" i="5" s="1"/>
  <c r="B11" i="33"/>
  <c r="A1" i="33"/>
  <c r="E51" i="30"/>
  <c r="A9" i="30"/>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1" i="30"/>
  <c r="G26" i="29"/>
  <c r="O26" i="29" s="1"/>
  <c r="F26" i="29"/>
  <c r="N26" i="29" s="1"/>
  <c r="E26" i="29"/>
  <c r="M26" i="29" s="1"/>
  <c r="G25" i="29"/>
  <c r="O25" i="29" s="1"/>
  <c r="F25" i="29"/>
  <c r="N25" i="29" s="1"/>
  <c r="E25" i="29"/>
  <c r="M25" i="29" s="1"/>
  <c r="J5" i="29"/>
  <c r="B5" i="29"/>
  <c r="I1" i="29"/>
  <c r="A1" i="29"/>
  <c r="O26" i="35"/>
  <c r="N26" i="35"/>
  <c r="M26" i="35"/>
  <c r="O25" i="35"/>
  <c r="N25" i="35"/>
  <c r="M25" i="35"/>
  <c r="J5" i="35"/>
  <c r="B5" i="35"/>
  <c r="I1" i="35"/>
  <c r="A1" i="35"/>
  <c r="P144" i="25"/>
  <c r="O144" i="25"/>
  <c r="F144" i="25"/>
  <c r="E144" i="25"/>
  <c r="D144" i="25"/>
  <c r="P143" i="25"/>
  <c r="O143" i="25"/>
  <c r="F143" i="25"/>
  <c r="E143" i="25"/>
  <c r="D143" i="25"/>
  <c r="P142" i="25"/>
  <c r="O142" i="25"/>
  <c r="F142" i="25"/>
  <c r="E142" i="25"/>
  <c r="D142" i="25"/>
  <c r="P141" i="25"/>
  <c r="O141" i="25"/>
  <c r="E141" i="25"/>
  <c r="D141" i="25"/>
  <c r="P140" i="25"/>
  <c r="O140" i="25"/>
  <c r="F140" i="25"/>
  <c r="E140" i="25"/>
  <c r="D140" i="25"/>
  <c r="P139" i="25"/>
  <c r="O139" i="25"/>
  <c r="F139" i="25"/>
  <c r="E139" i="25"/>
  <c r="D139" i="25"/>
  <c r="J129" i="25"/>
  <c r="C35" i="39" s="1"/>
  <c r="G129" i="25"/>
  <c r="H129" i="25" s="1"/>
  <c r="J128" i="25"/>
  <c r="G128" i="25"/>
  <c r="H128" i="25" s="1"/>
  <c r="J127" i="25"/>
  <c r="G127" i="25"/>
  <c r="K127" i="25" s="1"/>
  <c r="J126" i="25"/>
  <c r="G126" i="25"/>
  <c r="H126" i="25" s="1"/>
  <c r="L126" i="25" s="1"/>
  <c r="J125" i="25"/>
  <c r="G125" i="25"/>
  <c r="H125" i="25" s="1"/>
  <c r="L125" i="25" s="1"/>
  <c r="J124" i="25"/>
  <c r="G124" i="25"/>
  <c r="H124" i="25" s="1"/>
  <c r="L124" i="25" s="1"/>
  <c r="J123" i="25"/>
  <c r="G123" i="25"/>
  <c r="K123" i="25" s="1"/>
  <c r="J122" i="25"/>
  <c r="G122" i="25"/>
  <c r="H122" i="25" s="1"/>
  <c r="L122" i="25" s="1"/>
  <c r="J121" i="25"/>
  <c r="G121" i="25"/>
  <c r="H121" i="25" s="1"/>
  <c r="L121" i="25" s="1"/>
  <c r="J120" i="25"/>
  <c r="G120" i="25"/>
  <c r="H120" i="25" s="1"/>
  <c r="L120" i="25" s="1"/>
  <c r="J119" i="25"/>
  <c r="G119" i="25"/>
  <c r="K119" i="25" s="1"/>
  <c r="J118" i="25"/>
  <c r="G118" i="25"/>
  <c r="H118" i="25" s="1"/>
  <c r="L118" i="25" s="1"/>
  <c r="J117" i="25"/>
  <c r="G117" i="25"/>
  <c r="H117" i="25" s="1"/>
  <c r="L117" i="25" s="1"/>
  <c r="J116" i="25"/>
  <c r="G116" i="25"/>
  <c r="H116" i="25" s="1"/>
  <c r="L116" i="25" s="1"/>
  <c r="J115" i="25"/>
  <c r="G115" i="25"/>
  <c r="K115" i="25" s="1"/>
  <c r="J114" i="25"/>
  <c r="G114" i="25"/>
  <c r="H114" i="25" s="1"/>
  <c r="L114" i="25" s="1"/>
  <c r="J113" i="25"/>
  <c r="G113" i="25"/>
  <c r="H113" i="25" s="1"/>
  <c r="L113" i="25" s="1"/>
  <c r="J112" i="25"/>
  <c r="G112" i="25"/>
  <c r="K112" i="25" s="1"/>
  <c r="J111" i="25"/>
  <c r="G111" i="25"/>
  <c r="G110" i="25"/>
  <c r="H110" i="25" s="1"/>
  <c r="C110" i="25"/>
  <c r="T110" i="25" s="1"/>
  <c r="G109" i="25"/>
  <c r="H109" i="25" s="1"/>
  <c r="C109" i="25"/>
  <c r="T109" i="25" s="1"/>
  <c r="G108" i="25"/>
  <c r="H108" i="25" s="1"/>
  <c r="C108" i="25"/>
  <c r="T108" i="25" s="1"/>
  <c r="G107" i="25"/>
  <c r="H107" i="25" s="1"/>
  <c r="C107" i="25"/>
  <c r="T107" i="25" s="1"/>
  <c r="G106" i="25"/>
  <c r="C106" i="25"/>
  <c r="T106" i="25" s="1"/>
  <c r="G105" i="25"/>
  <c r="H105" i="25" s="1"/>
  <c r="C105" i="25"/>
  <c r="T105" i="25" s="1"/>
  <c r="G104" i="25"/>
  <c r="H104" i="25" s="1"/>
  <c r="C104" i="25"/>
  <c r="G103" i="25"/>
  <c r="H103" i="25" s="1"/>
  <c r="C103" i="25"/>
  <c r="T103" i="25" s="1"/>
  <c r="G102" i="25"/>
  <c r="H102" i="25" s="1"/>
  <c r="C102" i="25"/>
  <c r="T102" i="25" s="1"/>
  <c r="G101" i="25"/>
  <c r="H101" i="25" s="1"/>
  <c r="C101" i="25"/>
  <c r="T101" i="25" s="1"/>
  <c r="G100" i="25"/>
  <c r="C100" i="25"/>
  <c r="T100" i="25" s="1"/>
  <c r="G99" i="25"/>
  <c r="H99" i="25" s="1"/>
  <c r="C99" i="25"/>
  <c r="T99" i="25" s="1"/>
  <c r="G98" i="25"/>
  <c r="H98" i="25" s="1"/>
  <c r="C98" i="25"/>
  <c r="T98" i="25" s="1"/>
  <c r="G97" i="25"/>
  <c r="C97" i="25"/>
  <c r="T97" i="25" s="1"/>
  <c r="G96" i="25"/>
  <c r="C96" i="25"/>
  <c r="T96" i="25" s="1"/>
  <c r="G95" i="25"/>
  <c r="H95" i="25" s="1"/>
  <c r="C95" i="25"/>
  <c r="T95" i="25" s="1"/>
  <c r="G94" i="25"/>
  <c r="H94" i="25" s="1"/>
  <c r="C94" i="25"/>
  <c r="T94" i="25" s="1"/>
  <c r="G93" i="25"/>
  <c r="H93" i="25" s="1"/>
  <c r="C93" i="25"/>
  <c r="T93" i="25" s="1"/>
  <c r="G92" i="25"/>
  <c r="C92" i="25"/>
  <c r="T92" i="25" s="1"/>
  <c r="G91" i="25"/>
  <c r="H91" i="25" s="1"/>
  <c r="C91" i="25"/>
  <c r="T91" i="25" s="1"/>
  <c r="J90" i="25"/>
  <c r="G90" i="25"/>
  <c r="J89" i="25"/>
  <c r="G89" i="25"/>
  <c r="H89" i="25" s="1"/>
  <c r="L89" i="25" s="1"/>
  <c r="J88" i="25"/>
  <c r="G88" i="25"/>
  <c r="H88" i="25" s="1"/>
  <c r="L88" i="25" s="1"/>
  <c r="J87" i="25"/>
  <c r="G87" i="25"/>
  <c r="H87" i="25" s="1"/>
  <c r="L87" i="25" s="1"/>
  <c r="J86" i="25"/>
  <c r="G86" i="25"/>
  <c r="J85" i="25"/>
  <c r="G85" i="25"/>
  <c r="H85" i="25" s="1"/>
  <c r="L85" i="25" s="1"/>
  <c r="J84" i="25"/>
  <c r="G84" i="25"/>
  <c r="H84" i="25" s="1"/>
  <c r="L84" i="25" s="1"/>
  <c r="J83" i="25"/>
  <c r="G83" i="25"/>
  <c r="H83" i="25" s="1"/>
  <c r="L83" i="25" s="1"/>
  <c r="J82" i="25"/>
  <c r="G82" i="25"/>
  <c r="H82" i="25" s="1"/>
  <c r="L82" i="25" s="1"/>
  <c r="J81" i="25"/>
  <c r="G81" i="25"/>
  <c r="H81" i="25" s="1"/>
  <c r="L81" i="25" s="1"/>
  <c r="J80" i="25"/>
  <c r="G80" i="25"/>
  <c r="H80" i="25" s="1"/>
  <c r="L80" i="25" s="1"/>
  <c r="J79" i="25"/>
  <c r="G79" i="25"/>
  <c r="H79" i="25" s="1"/>
  <c r="L79" i="25" s="1"/>
  <c r="J78" i="25"/>
  <c r="G78" i="25"/>
  <c r="H78" i="25" s="1"/>
  <c r="L78" i="25" s="1"/>
  <c r="J77" i="25"/>
  <c r="G77" i="25"/>
  <c r="H77" i="25" s="1"/>
  <c r="L77" i="25" s="1"/>
  <c r="J76" i="25"/>
  <c r="G76" i="25"/>
  <c r="H76" i="25" s="1"/>
  <c r="L76" i="25" s="1"/>
  <c r="N76" i="25" s="1"/>
  <c r="U75" i="25"/>
  <c r="S75" i="25"/>
  <c r="Z75" i="25" s="1"/>
  <c r="J75" i="25"/>
  <c r="G75" i="25"/>
  <c r="H75" i="25" s="1"/>
  <c r="L75" i="25" s="1"/>
  <c r="J74" i="25"/>
  <c r="G2" i="25"/>
  <c r="A3" i="25" s="1"/>
  <c r="A1" i="25"/>
  <c r="A7" i="16"/>
  <c r="B8" i="34" l="1"/>
  <c r="C9" i="34" s="1"/>
  <c r="C14" i="38" s="1"/>
  <c r="W74" i="25"/>
  <c r="U76" i="25"/>
  <c r="W75" i="25"/>
  <c r="I28" i="38"/>
  <c r="J28" i="38" s="1"/>
  <c r="T104" i="25"/>
  <c r="L129" i="25"/>
  <c r="N131" i="25"/>
  <c r="J36" i="40"/>
  <c r="R36" i="40" s="1"/>
  <c r="Z36" i="40" s="1"/>
  <c r="B36" i="40"/>
  <c r="C37" i="40" s="1"/>
  <c r="A37" i="40"/>
  <c r="Z76" i="25"/>
  <c r="AB75" i="25"/>
  <c r="AA75" i="25"/>
  <c r="C10" i="41"/>
  <c r="C10" i="39"/>
  <c r="B10" i="40"/>
  <c r="I19" i="41"/>
  <c r="C19" i="42"/>
  <c r="I23" i="41"/>
  <c r="C23" i="42"/>
  <c r="C9" i="41"/>
  <c r="C9" i="39"/>
  <c r="B9" i="40"/>
  <c r="C13" i="41"/>
  <c r="C13" i="39"/>
  <c r="B13" i="40"/>
  <c r="B30" i="27"/>
  <c r="I25" i="38"/>
  <c r="C11" i="41"/>
  <c r="C11" i="39"/>
  <c r="B11" i="40"/>
  <c r="C15" i="41"/>
  <c r="C15" i="39"/>
  <c r="B15" i="40"/>
  <c r="B28" i="27"/>
  <c r="I24" i="38"/>
  <c r="B32" i="27"/>
  <c r="I26" i="38"/>
  <c r="J108" i="25"/>
  <c r="B25" i="34" s="1"/>
  <c r="I30" i="38"/>
  <c r="C29" i="41"/>
  <c r="C29" i="39"/>
  <c r="B29" i="40"/>
  <c r="C33" i="41"/>
  <c r="C33" i="39"/>
  <c r="L128" i="25"/>
  <c r="N130" i="25"/>
  <c r="B25" i="21"/>
  <c r="I25" i="21" s="1"/>
  <c r="I17" i="41"/>
  <c r="C17" i="42"/>
  <c r="I25" i="41"/>
  <c r="C25" i="42"/>
  <c r="B47" i="22"/>
  <c r="C28" i="41"/>
  <c r="C28" i="39"/>
  <c r="B28" i="40"/>
  <c r="B38" i="27"/>
  <c r="I29" i="38"/>
  <c r="I16" i="41"/>
  <c r="C16" i="42"/>
  <c r="C31" i="41"/>
  <c r="C31" i="39"/>
  <c r="B31" i="40"/>
  <c r="B33" i="40"/>
  <c r="J102" i="25"/>
  <c r="B38" i="21" s="1"/>
  <c r="I27" i="38"/>
  <c r="C27" i="41"/>
  <c r="C27" i="39"/>
  <c r="B27" i="40"/>
  <c r="I22" i="41"/>
  <c r="C22" i="42"/>
  <c r="C14" i="41"/>
  <c r="C14" i="39"/>
  <c r="B14" i="40"/>
  <c r="I21" i="41"/>
  <c r="C21" i="42"/>
  <c r="C32" i="41"/>
  <c r="C32" i="39"/>
  <c r="B32" i="40"/>
  <c r="C8" i="41"/>
  <c r="C8" i="39"/>
  <c r="B8" i="40"/>
  <c r="J94" i="25"/>
  <c r="B26" i="22" s="1"/>
  <c r="I23" i="38"/>
  <c r="B42" i="27"/>
  <c r="I31" i="38"/>
  <c r="I54" i="38" s="1"/>
  <c r="C12" i="41"/>
  <c r="C12" i="39"/>
  <c r="B12" i="40"/>
  <c r="B27" i="27"/>
  <c r="I18" i="41"/>
  <c r="C18" i="42"/>
  <c r="I20" i="41"/>
  <c r="C20" i="42"/>
  <c r="I24" i="41"/>
  <c r="C24" i="42"/>
  <c r="B24" i="27"/>
  <c r="I22" i="38"/>
  <c r="C26" i="41"/>
  <c r="C26" i="39"/>
  <c r="C30" i="41"/>
  <c r="C30" i="39"/>
  <c r="B30" i="40"/>
  <c r="C34" i="41"/>
  <c r="C34" i="39"/>
  <c r="C12" i="33"/>
  <c r="D12" i="33" s="1"/>
  <c r="C10" i="5" s="1"/>
  <c r="B12" i="33"/>
  <c r="A13" i="33"/>
  <c r="A14" i="33" s="1"/>
  <c r="C14" i="33" s="1"/>
  <c r="D14" i="33" s="1"/>
  <c r="C12" i="5" s="1"/>
  <c r="J34" i="40"/>
  <c r="R34" i="40" s="1"/>
  <c r="Z34" i="40" s="1"/>
  <c r="B34" i="40"/>
  <c r="L107" i="25"/>
  <c r="N107" i="25" s="1"/>
  <c r="K88" i="25"/>
  <c r="K113" i="25"/>
  <c r="K75" i="25"/>
  <c r="K95" i="25"/>
  <c r="K125" i="25"/>
  <c r="K106" i="25"/>
  <c r="K121" i="25"/>
  <c r="J106" i="25"/>
  <c r="K100" i="25"/>
  <c r="K92" i="25"/>
  <c r="J100" i="25"/>
  <c r="K107" i="25"/>
  <c r="L93" i="25"/>
  <c r="N93" i="25" s="1"/>
  <c r="K79" i="25"/>
  <c r="J92" i="25"/>
  <c r="K117" i="25"/>
  <c r="L102" i="25"/>
  <c r="S76" i="25"/>
  <c r="S77" i="25" s="1"/>
  <c r="S78" i="25" s="1"/>
  <c r="S79" i="25" s="1"/>
  <c r="S80" i="25" s="1"/>
  <c r="S81" i="25" s="1"/>
  <c r="S82" i="25" s="1"/>
  <c r="S83" i="25" s="1"/>
  <c r="S84" i="25" s="1"/>
  <c r="S85" i="25" s="1"/>
  <c r="S86" i="25" s="1"/>
  <c r="S87" i="25" s="1"/>
  <c r="S88" i="25" s="1"/>
  <c r="S89" i="25" s="1"/>
  <c r="S90" i="25" s="1"/>
  <c r="S91" i="25" s="1"/>
  <c r="S92" i="25" s="1"/>
  <c r="S93" i="25" s="1"/>
  <c r="S94" i="25" s="1"/>
  <c r="S95" i="25" s="1"/>
  <c r="S96" i="25" s="1"/>
  <c r="S97" i="25" s="1"/>
  <c r="S98" i="25" s="1"/>
  <c r="S99" i="25" s="1"/>
  <c r="S100" i="25" s="1"/>
  <c r="S101" i="25" s="1"/>
  <c r="S102" i="25" s="1"/>
  <c r="S103" i="25" s="1"/>
  <c r="S104" i="25" s="1"/>
  <c r="S105" i="25" s="1"/>
  <c r="S106" i="25" s="1"/>
  <c r="S107" i="25" s="1"/>
  <c r="S108" i="25" s="1"/>
  <c r="S109" i="25" s="1"/>
  <c r="S110" i="25" s="1"/>
  <c r="S111" i="25" s="1"/>
  <c r="S112" i="25" s="1"/>
  <c r="S113" i="25" s="1"/>
  <c r="S114" i="25" s="1"/>
  <c r="S115" i="25" s="1"/>
  <c r="S116" i="25" s="1"/>
  <c r="S117" i="25" s="1"/>
  <c r="S118" i="25" s="1"/>
  <c r="S119" i="25" s="1"/>
  <c r="S120" i="25" s="1"/>
  <c r="S121" i="25" s="1"/>
  <c r="S122" i="25" s="1"/>
  <c r="S123" i="25" s="1"/>
  <c r="S124" i="25" s="1"/>
  <c r="S125" i="25" s="1"/>
  <c r="S126" i="25" s="1"/>
  <c r="S127" i="25" s="1"/>
  <c r="S128" i="25" s="1"/>
  <c r="S129" i="25" s="1"/>
  <c r="S130" i="25" s="1"/>
  <c r="S131" i="25" s="1"/>
  <c r="L110" i="25"/>
  <c r="N110" i="25" s="1"/>
  <c r="L94" i="25"/>
  <c r="K98" i="25"/>
  <c r="J110" i="25"/>
  <c r="B26" i="40" s="1"/>
  <c r="K118" i="25"/>
  <c r="K120" i="25"/>
  <c r="K126" i="25"/>
  <c r="K89" i="25"/>
  <c r="K110" i="25"/>
  <c r="K114" i="25"/>
  <c r="K122" i="25"/>
  <c r="H106" i="25"/>
  <c r="L106" i="25" s="1"/>
  <c r="N106" i="25" s="1"/>
  <c r="K96" i="25"/>
  <c r="K83" i="25"/>
  <c r="J96" i="25"/>
  <c r="D24" i="38" s="1"/>
  <c r="K77" i="25"/>
  <c r="L95" i="25"/>
  <c r="N95" i="25" s="1"/>
  <c r="L99" i="25"/>
  <c r="K81" i="25"/>
  <c r="N87" i="25"/>
  <c r="K94" i="25"/>
  <c r="H112" i="25"/>
  <c r="L112" i="25" s="1"/>
  <c r="N112" i="25" s="1"/>
  <c r="K128" i="25"/>
  <c r="K85" i="25"/>
  <c r="J146" i="25"/>
  <c r="J150" i="25" s="1"/>
  <c r="J95" i="25"/>
  <c r="L109" i="25"/>
  <c r="N109" i="25" s="1"/>
  <c r="B25" i="29"/>
  <c r="J25" i="29" s="1"/>
  <c r="N128" i="25"/>
  <c r="N84" i="25"/>
  <c r="N85" i="25"/>
  <c r="N77" i="25"/>
  <c r="B15" i="26"/>
  <c r="B15" i="22"/>
  <c r="B12" i="30"/>
  <c r="B19" i="21"/>
  <c r="B36" i="27"/>
  <c r="K104" i="25"/>
  <c r="J104" i="25"/>
  <c r="B17" i="21"/>
  <c r="B14" i="26"/>
  <c r="B11" i="30"/>
  <c r="B13" i="22"/>
  <c r="H92" i="25"/>
  <c r="L92" i="25" s="1"/>
  <c r="N80" i="25"/>
  <c r="B33" i="27"/>
  <c r="J101" i="25"/>
  <c r="B45" i="22"/>
  <c r="B30" i="26"/>
  <c r="B49" i="21"/>
  <c r="B27" i="30"/>
  <c r="N81" i="25"/>
  <c r="L101" i="25"/>
  <c r="H119" i="25"/>
  <c r="L119" i="25" s="1"/>
  <c r="N120" i="25"/>
  <c r="N82" i="25"/>
  <c r="N83" i="25"/>
  <c r="H86" i="25"/>
  <c r="L86" i="25" s="1"/>
  <c r="K86" i="25"/>
  <c r="H90" i="25"/>
  <c r="L90" i="25" s="1"/>
  <c r="K90" i="25"/>
  <c r="B29" i="27"/>
  <c r="J97" i="25"/>
  <c r="C142" i="25"/>
  <c r="B37" i="27"/>
  <c r="J105" i="25"/>
  <c r="K111" i="25"/>
  <c r="H111" i="25"/>
  <c r="L111" i="25" s="1"/>
  <c r="B11" i="22"/>
  <c r="B15" i="21"/>
  <c r="B13" i="26"/>
  <c r="B10" i="30"/>
  <c r="K97" i="25"/>
  <c r="N78" i="25"/>
  <c r="B35" i="27"/>
  <c r="J103" i="25"/>
  <c r="G143" i="25"/>
  <c r="N124" i="25"/>
  <c r="N126" i="25"/>
  <c r="C139" i="25"/>
  <c r="L105" i="25"/>
  <c r="G139" i="25"/>
  <c r="B16" i="26"/>
  <c r="B21" i="21"/>
  <c r="B17" i="22"/>
  <c r="B13" i="30"/>
  <c r="N89" i="25"/>
  <c r="K101" i="25"/>
  <c r="K105" i="25"/>
  <c r="H127" i="25"/>
  <c r="L127" i="25" s="1"/>
  <c r="B11" i="26"/>
  <c r="B8" i="30"/>
  <c r="B9" i="22"/>
  <c r="B12" i="26"/>
  <c r="B9" i="30"/>
  <c r="B13" i="21"/>
  <c r="N79" i="25"/>
  <c r="B21" i="22"/>
  <c r="B18" i="26"/>
  <c r="B15" i="30"/>
  <c r="H96" i="25"/>
  <c r="L96" i="25" s="1"/>
  <c r="B31" i="27"/>
  <c r="K99" i="25"/>
  <c r="J99" i="25"/>
  <c r="L103" i="25"/>
  <c r="N116" i="25"/>
  <c r="N122" i="25"/>
  <c r="B59" i="22"/>
  <c r="B63" i="21"/>
  <c r="B37" i="26"/>
  <c r="B34" i="30"/>
  <c r="C140" i="25"/>
  <c r="B16" i="34"/>
  <c r="D21" i="38"/>
  <c r="B22" i="22"/>
  <c r="B18" i="24"/>
  <c r="B26" i="21"/>
  <c r="B33" i="26"/>
  <c r="B51" i="22"/>
  <c r="B55" i="21"/>
  <c r="B30" i="30"/>
  <c r="D14" i="38"/>
  <c r="B9" i="34"/>
  <c r="B8" i="22"/>
  <c r="B12" i="21"/>
  <c r="B11" i="24"/>
  <c r="B11" i="34"/>
  <c r="D16" i="38"/>
  <c r="B12" i="22"/>
  <c r="B13" i="24"/>
  <c r="B16" i="21"/>
  <c r="B13" i="34"/>
  <c r="D18" i="38"/>
  <c r="B16" i="22"/>
  <c r="B15" i="24"/>
  <c r="B20" i="21"/>
  <c r="H97" i="25"/>
  <c r="L97" i="25" s="1"/>
  <c r="H74" i="25"/>
  <c r="B19" i="22"/>
  <c r="B17" i="26"/>
  <c r="B23" i="21"/>
  <c r="B14" i="30"/>
  <c r="K103" i="25"/>
  <c r="B40" i="27"/>
  <c r="K108" i="25"/>
  <c r="H123" i="25"/>
  <c r="L123" i="25" s="1"/>
  <c r="K124" i="25"/>
  <c r="B14" i="34"/>
  <c r="D19" i="38"/>
  <c r="B18" i="22"/>
  <c r="B16" i="24"/>
  <c r="B22" i="21"/>
  <c r="L104" i="25"/>
  <c r="B34" i="34"/>
  <c r="D39" i="38"/>
  <c r="B62" i="21"/>
  <c r="B36" i="24"/>
  <c r="B58" i="22"/>
  <c r="G144" i="25"/>
  <c r="B43" i="22"/>
  <c r="B29" i="26"/>
  <c r="B47" i="21"/>
  <c r="B26" i="30"/>
  <c r="B49" i="22"/>
  <c r="B32" i="26"/>
  <c r="B53" i="21"/>
  <c r="B29" i="30"/>
  <c r="K76" i="25"/>
  <c r="K78" i="25"/>
  <c r="K80" i="25"/>
  <c r="K82" i="25"/>
  <c r="K84" i="25"/>
  <c r="K87" i="25"/>
  <c r="L91" i="25"/>
  <c r="L98" i="25"/>
  <c r="G140" i="25"/>
  <c r="G141" i="25"/>
  <c r="E11" i="33"/>
  <c r="F11" i="33" s="1"/>
  <c r="B26" i="29"/>
  <c r="J26" i="29" s="1"/>
  <c r="B34" i="27"/>
  <c r="B57" i="22"/>
  <c r="B61" i="21"/>
  <c r="B36" i="26"/>
  <c r="B33" i="30"/>
  <c r="B10" i="34"/>
  <c r="D15" i="38"/>
  <c r="B10" i="22"/>
  <c r="B12" i="24"/>
  <c r="B14" i="21"/>
  <c r="D17" i="38"/>
  <c r="B12" i="34"/>
  <c r="B14" i="24"/>
  <c r="B18" i="21"/>
  <c r="B14" i="22"/>
  <c r="B23" i="27"/>
  <c r="C144" i="25"/>
  <c r="C141" i="25"/>
  <c r="K91" i="25"/>
  <c r="B25" i="27"/>
  <c r="J93" i="25"/>
  <c r="B41" i="27"/>
  <c r="J109" i="25"/>
  <c r="B30" i="34"/>
  <c r="D35" i="38"/>
  <c r="B50" i="22"/>
  <c r="B32" i="24"/>
  <c r="B54" i="21"/>
  <c r="C143" i="25"/>
  <c r="E12" i="33"/>
  <c r="K93" i="25"/>
  <c r="H100" i="25"/>
  <c r="L100" i="25" s="1"/>
  <c r="K102" i="25"/>
  <c r="B39" i="27"/>
  <c r="J107" i="25"/>
  <c r="K109" i="25"/>
  <c r="H115" i="25"/>
  <c r="L115" i="25" s="1"/>
  <c r="K116" i="25"/>
  <c r="N118" i="25"/>
  <c r="B32" i="34"/>
  <c r="D37" i="38"/>
  <c r="B58" i="21"/>
  <c r="B54" i="22"/>
  <c r="B34" i="24"/>
  <c r="K74" i="25"/>
  <c r="B15" i="34"/>
  <c r="D20" i="38"/>
  <c r="B20" i="22"/>
  <c r="B17" i="24"/>
  <c r="B24" i="21"/>
  <c r="J91" i="25"/>
  <c r="B26" i="27"/>
  <c r="J98" i="25"/>
  <c r="L108" i="25"/>
  <c r="D33" i="38"/>
  <c r="B28" i="34"/>
  <c r="B46" i="22"/>
  <c r="B30" i="24"/>
  <c r="B50" i="21"/>
  <c r="B53" i="22"/>
  <c r="B34" i="26"/>
  <c r="B57" i="21"/>
  <c r="B31" i="30"/>
  <c r="K129" i="25"/>
  <c r="G142" i="25"/>
  <c r="B27" i="34"/>
  <c r="D32" i="38"/>
  <c r="B29" i="24"/>
  <c r="B44" i="22"/>
  <c r="B48" i="21"/>
  <c r="B31" i="34"/>
  <c r="D36" i="38"/>
  <c r="B52" i="22"/>
  <c r="B33" i="24"/>
  <c r="B56" i="21"/>
  <c r="B35" i="34"/>
  <c r="D40" i="38"/>
  <c r="B64" i="21"/>
  <c r="B60" i="22"/>
  <c r="J147" i="25"/>
  <c r="J148" i="25" s="1"/>
  <c r="B31" i="26"/>
  <c r="B51" i="21"/>
  <c r="B28" i="30"/>
  <c r="B55" i="22"/>
  <c r="B59" i="21"/>
  <c r="B35" i="26"/>
  <c r="B32" i="30"/>
  <c r="B29" i="34"/>
  <c r="D34" i="38"/>
  <c r="B48" i="22"/>
  <c r="B31" i="24"/>
  <c r="B52" i="21"/>
  <c r="B33" i="34"/>
  <c r="D38" i="38"/>
  <c r="B35" i="24"/>
  <c r="B56" i="22"/>
  <c r="B60" i="21"/>
  <c r="C9" i="27"/>
  <c r="T37" i="5"/>
  <c r="D9" i="34" l="1"/>
  <c r="K150" i="25"/>
  <c r="B30" i="21"/>
  <c r="B18" i="34"/>
  <c r="K28" i="38"/>
  <c r="J37" i="40"/>
  <c r="R37" i="40" s="1"/>
  <c r="Z37" i="40" s="1"/>
  <c r="B37" i="40"/>
  <c r="U77" i="25"/>
  <c r="W76" i="25"/>
  <c r="V76" i="25"/>
  <c r="Z77" i="25"/>
  <c r="AA76" i="25"/>
  <c r="AB76" i="25"/>
  <c r="V75" i="25"/>
  <c r="C34" i="40"/>
  <c r="K34" i="40" s="1"/>
  <c r="D34" i="40"/>
  <c r="T34" i="40" s="1"/>
  <c r="AB34" i="40" s="1"/>
  <c r="E33" i="40"/>
  <c r="U33" i="40" s="1"/>
  <c r="AC33" i="40" s="1"/>
  <c r="D30" i="38"/>
  <c r="D23" i="38"/>
  <c r="B44" i="21"/>
  <c r="I44" i="21" s="1"/>
  <c r="B27" i="24"/>
  <c r="I27" i="24" s="1"/>
  <c r="D27" i="38"/>
  <c r="B34" i="22"/>
  <c r="B20" i="24"/>
  <c r="I20" i="24" s="1"/>
  <c r="B22" i="34"/>
  <c r="B40" i="22"/>
  <c r="J24" i="38"/>
  <c r="K24" i="38"/>
  <c r="C20" i="41"/>
  <c r="C20" i="39"/>
  <c r="B20" i="40"/>
  <c r="C16" i="41"/>
  <c r="C16" i="39"/>
  <c r="B16" i="40"/>
  <c r="G17" i="40" s="1"/>
  <c r="C19" i="41"/>
  <c r="C19" i="39"/>
  <c r="B19" i="40"/>
  <c r="C21" i="41"/>
  <c r="C21" i="39"/>
  <c r="B21" i="40"/>
  <c r="J29" i="38"/>
  <c r="K29" i="38"/>
  <c r="B24" i="24"/>
  <c r="I24" i="24" s="1"/>
  <c r="E32" i="40"/>
  <c r="C33" i="40"/>
  <c r="C30" i="40"/>
  <c r="D31" i="40"/>
  <c r="F33" i="40"/>
  <c r="C27" i="40"/>
  <c r="D28" i="40"/>
  <c r="E29" i="40"/>
  <c r="F30" i="40"/>
  <c r="G31" i="40"/>
  <c r="C29" i="40"/>
  <c r="D30" i="40"/>
  <c r="E31" i="40"/>
  <c r="F32" i="40"/>
  <c r="G33" i="40"/>
  <c r="J25" i="38"/>
  <c r="K25" i="38"/>
  <c r="G34" i="40"/>
  <c r="O34" i="40" s="1"/>
  <c r="C18" i="41"/>
  <c r="C18" i="39"/>
  <c r="B18" i="40"/>
  <c r="C28" i="40"/>
  <c r="D29" i="40"/>
  <c r="F31" i="40"/>
  <c r="E30" i="40"/>
  <c r="G32" i="40"/>
  <c r="F16" i="40"/>
  <c r="C16" i="40"/>
  <c r="C23" i="41"/>
  <c r="C23" i="39"/>
  <c r="B23" i="40"/>
  <c r="F34" i="40"/>
  <c r="V34" i="40" s="1"/>
  <c r="AD34" i="40" s="1"/>
  <c r="J22" i="38"/>
  <c r="K22" i="38"/>
  <c r="G6" i="38"/>
  <c r="G8" i="38" s="1"/>
  <c r="C22" i="41"/>
  <c r="C22" i="39"/>
  <c r="B22" i="40"/>
  <c r="K30" i="38"/>
  <c r="J30" i="38"/>
  <c r="C14" i="40"/>
  <c r="K14" i="40" s="1"/>
  <c r="D15" i="40"/>
  <c r="C9" i="40"/>
  <c r="E11" i="40"/>
  <c r="F12" i="40"/>
  <c r="G13" i="40"/>
  <c r="C15" i="40"/>
  <c r="D16" i="40"/>
  <c r="C11" i="40"/>
  <c r="D12" i="40"/>
  <c r="E13" i="40"/>
  <c r="F14" i="40"/>
  <c r="G15" i="40"/>
  <c r="C32" i="40"/>
  <c r="D33" i="40"/>
  <c r="C25" i="41"/>
  <c r="C25" i="39"/>
  <c r="B25" i="40"/>
  <c r="D27" i="40" s="1"/>
  <c r="C24" i="41"/>
  <c r="C24" i="39"/>
  <c r="B24" i="40"/>
  <c r="J23" i="38"/>
  <c r="K23" i="38"/>
  <c r="C17" i="41"/>
  <c r="C17" i="39"/>
  <c r="B17" i="40"/>
  <c r="C31" i="40"/>
  <c r="D32" i="40"/>
  <c r="D13" i="40"/>
  <c r="C13" i="40"/>
  <c r="D14" i="40"/>
  <c r="E15" i="40"/>
  <c r="K27" i="38"/>
  <c r="J27" i="38"/>
  <c r="C12" i="40"/>
  <c r="F15" i="40"/>
  <c r="E14" i="40"/>
  <c r="G16" i="40"/>
  <c r="D10" i="40"/>
  <c r="C10" i="40"/>
  <c r="S10" i="40" s="1"/>
  <c r="AA10" i="40" s="1"/>
  <c r="D11" i="40"/>
  <c r="E12" i="40"/>
  <c r="G14" i="40"/>
  <c r="F13" i="40"/>
  <c r="J26" i="38"/>
  <c r="K26" i="38"/>
  <c r="A15" i="33"/>
  <c r="E15" i="33" s="1"/>
  <c r="F15" i="33" s="1"/>
  <c r="D13" i="5" s="1"/>
  <c r="F35" i="40"/>
  <c r="C13" i="33"/>
  <c r="D13" i="33" s="1"/>
  <c r="C11" i="5" s="1"/>
  <c r="E14" i="33"/>
  <c r="F14" i="33" s="1"/>
  <c r="D12" i="5" s="1"/>
  <c r="E13" i="33"/>
  <c r="B14" i="33"/>
  <c r="B13" i="33"/>
  <c r="G35" i="40"/>
  <c r="C15" i="33"/>
  <c r="B15" i="33"/>
  <c r="A16" i="33"/>
  <c r="J35" i="40"/>
  <c r="R35" i="40" s="1"/>
  <c r="Z35" i="40" s="1"/>
  <c r="B35" i="40"/>
  <c r="D36" i="40" s="1"/>
  <c r="L34" i="40"/>
  <c r="D35" i="40"/>
  <c r="C35" i="40"/>
  <c r="E34" i="40"/>
  <c r="S34" i="40"/>
  <c r="AA34" i="40" s="1"/>
  <c r="B28" i="24"/>
  <c r="I28" i="24" s="1"/>
  <c r="D26" i="38"/>
  <c r="N88" i="25"/>
  <c r="B24" i="34"/>
  <c r="B28" i="21"/>
  <c r="I28" i="21" s="1"/>
  <c r="B19" i="24"/>
  <c r="I19" i="24" s="1"/>
  <c r="B24" i="22"/>
  <c r="D22" i="38"/>
  <c r="B17" i="34"/>
  <c r="E14" i="38"/>
  <c r="B21" i="24"/>
  <c r="I21" i="24" s="1"/>
  <c r="N113" i="25"/>
  <c r="B19" i="34"/>
  <c r="B26" i="24"/>
  <c r="I26" i="24" s="1"/>
  <c r="B42" i="21"/>
  <c r="I42" i="21" s="1"/>
  <c r="B38" i="22"/>
  <c r="D29" i="38"/>
  <c r="D31" i="38"/>
  <c r="D54" i="38" s="1"/>
  <c r="F14" i="38"/>
  <c r="B26" i="34"/>
  <c r="B21" i="34"/>
  <c r="N94" i="25"/>
  <c r="G150" i="25"/>
  <c r="B23" i="24"/>
  <c r="I23" i="24" s="1"/>
  <c r="B36" i="21"/>
  <c r="I36" i="21" s="1"/>
  <c r="B32" i="22"/>
  <c r="B32" i="21"/>
  <c r="I32" i="21" s="1"/>
  <c r="B27" i="22"/>
  <c r="N114" i="25"/>
  <c r="N102" i="25"/>
  <c r="N129" i="25"/>
  <c r="B31" i="21"/>
  <c r="I31" i="21" s="1"/>
  <c r="B46" i="21"/>
  <c r="I46" i="21" s="1"/>
  <c r="D53" i="38"/>
  <c r="B18" i="30"/>
  <c r="B28" i="22"/>
  <c r="B21" i="26"/>
  <c r="I21" i="26" s="1"/>
  <c r="B42" i="22"/>
  <c r="I57" i="21"/>
  <c r="I16" i="21"/>
  <c r="N90" i="25"/>
  <c r="B66" i="27"/>
  <c r="I48" i="21"/>
  <c r="I34" i="26"/>
  <c r="F12" i="33"/>
  <c r="D10" i="5" s="1"/>
  <c r="G12" i="33"/>
  <c r="H12" i="33" s="1"/>
  <c r="B68" i="27"/>
  <c r="I15" i="24"/>
  <c r="I13" i="24"/>
  <c r="C9" i="22"/>
  <c r="C10" i="22" s="1"/>
  <c r="I37" i="26"/>
  <c r="I13" i="21"/>
  <c r="I13" i="26"/>
  <c r="N119" i="25"/>
  <c r="B24" i="26"/>
  <c r="B37" i="21"/>
  <c r="B33" i="22"/>
  <c r="B21" i="30"/>
  <c r="B67" i="27"/>
  <c r="I35" i="24"/>
  <c r="I51" i="21"/>
  <c r="I33" i="24"/>
  <c r="I50" i="21"/>
  <c r="I17" i="24"/>
  <c r="I34" i="24"/>
  <c r="N123" i="25"/>
  <c r="C10" i="34"/>
  <c r="I33" i="26"/>
  <c r="I63" i="21"/>
  <c r="C9" i="30"/>
  <c r="I21" i="21"/>
  <c r="I15" i="21"/>
  <c r="B37" i="22"/>
  <c r="B26" i="26"/>
  <c r="B41" i="21"/>
  <c r="B23" i="30"/>
  <c r="N86" i="25"/>
  <c r="F9" i="34"/>
  <c r="B69" i="27"/>
  <c r="I31" i="26"/>
  <c r="I29" i="24"/>
  <c r="I30" i="24"/>
  <c r="B27" i="26"/>
  <c r="B43" i="21"/>
  <c r="B39" i="22"/>
  <c r="B24" i="30"/>
  <c r="B25" i="22"/>
  <c r="B29" i="21"/>
  <c r="B17" i="30"/>
  <c r="B20" i="26"/>
  <c r="I36" i="24"/>
  <c r="H142" i="25"/>
  <c r="H139" i="25"/>
  <c r="H141" i="25"/>
  <c r="H140" i="25"/>
  <c r="H143" i="25"/>
  <c r="H144" i="25"/>
  <c r="L74" i="25"/>
  <c r="N96" i="25"/>
  <c r="I18" i="26"/>
  <c r="I11" i="26"/>
  <c r="F11" i="26"/>
  <c r="C12" i="26"/>
  <c r="G11" i="26"/>
  <c r="I16" i="26"/>
  <c r="N99" i="25"/>
  <c r="G14" i="38"/>
  <c r="I19" i="21"/>
  <c r="I60" i="21"/>
  <c r="N108" i="25"/>
  <c r="I14" i="24"/>
  <c r="I36" i="26"/>
  <c r="I56" i="21"/>
  <c r="D25" i="38"/>
  <c r="B20" i="34"/>
  <c r="B22" i="24"/>
  <c r="B30" i="22"/>
  <c r="B34" i="21"/>
  <c r="N115" i="25"/>
  <c r="I58" i="21"/>
  <c r="I62" i="21"/>
  <c r="I14" i="26"/>
  <c r="B65" i="27"/>
  <c r="I64" i="21"/>
  <c r="G11" i="33"/>
  <c r="H11" i="33" s="1"/>
  <c r="N98" i="25"/>
  <c r="I16" i="24"/>
  <c r="B29" i="22"/>
  <c r="B33" i="21"/>
  <c r="B19" i="30"/>
  <c r="B22" i="26"/>
  <c r="I49" i="21"/>
  <c r="B23" i="34"/>
  <c r="D28" i="38"/>
  <c r="B36" i="22"/>
  <c r="B25" i="24"/>
  <c r="B40" i="21"/>
  <c r="B63" i="27"/>
  <c r="E20" i="29" s="1"/>
  <c r="M20" i="29" s="1"/>
  <c r="I59" i="21"/>
  <c r="N91" i="25"/>
  <c r="I17" i="26"/>
  <c r="N103" i="25"/>
  <c r="I12" i="26"/>
  <c r="N105" i="25"/>
  <c r="B35" i="22"/>
  <c r="B25" i="26"/>
  <c r="B39" i="21"/>
  <c r="B22" i="30"/>
  <c r="N125" i="25"/>
  <c r="I30" i="26"/>
  <c r="N92" i="25"/>
  <c r="I53" i="21"/>
  <c r="I20" i="21"/>
  <c r="C13" i="21"/>
  <c r="C14" i="21" s="1"/>
  <c r="I12" i="21"/>
  <c r="I18" i="24"/>
  <c r="I24" i="21"/>
  <c r="B41" i="22"/>
  <c r="B28" i="26"/>
  <c r="B25" i="30"/>
  <c r="B45" i="21"/>
  <c r="I61" i="21"/>
  <c r="I32" i="26"/>
  <c r="E9" i="27"/>
  <c r="C10" i="27"/>
  <c r="B23" i="22"/>
  <c r="B19" i="26"/>
  <c r="B27" i="21"/>
  <c r="B16" i="30"/>
  <c r="I54" i="21"/>
  <c r="N121" i="25"/>
  <c r="I22" i="21"/>
  <c r="N127" i="25"/>
  <c r="I38" i="21"/>
  <c r="I35" i="26"/>
  <c r="K144" i="25"/>
  <c r="K143" i="25"/>
  <c r="K140" i="25"/>
  <c r="K139" i="25"/>
  <c r="K142" i="25"/>
  <c r="K141" i="25"/>
  <c r="I32" i="24"/>
  <c r="I14" i="21"/>
  <c r="I47" i="21"/>
  <c r="I23" i="21"/>
  <c r="N97" i="25"/>
  <c r="B10" i="29"/>
  <c r="J10" i="29" s="1"/>
  <c r="I17" i="21"/>
  <c r="N117" i="25"/>
  <c r="E9" i="34"/>
  <c r="I52" i="21"/>
  <c r="N100" i="25"/>
  <c r="I12" i="24"/>
  <c r="I31" i="24"/>
  <c r="I18" i="21"/>
  <c r="I29" i="26"/>
  <c r="N104" i="25"/>
  <c r="G11" i="24"/>
  <c r="I11" i="24"/>
  <c r="F11" i="24"/>
  <c r="C12" i="24"/>
  <c r="D11" i="24"/>
  <c r="I55" i="21"/>
  <c r="I26" i="21"/>
  <c r="B23" i="26"/>
  <c r="B35" i="21"/>
  <c r="B31" i="22"/>
  <c r="B20" i="30"/>
  <c r="N111" i="25"/>
  <c r="N101" i="25"/>
  <c r="I15" i="26"/>
  <c r="I30" i="21"/>
  <c r="U78" i="25" l="1"/>
  <c r="W77" i="25"/>
  <c r="V77" i="25"/>
  <c r="R123" i="25"/>
  <c r="L139" i="25"/>
  <c r="Z78" i="25"/>
  <c r="AA77" i="25"/>
  <c r="AB77" i="25"/>
  <c r="H36" i="40"/>
  <c r="X36" i="40" s="1"/>
  <c r="AF36" i="40" s="1"/>
  <c r="D37" i="40"/>
  <c r="C36" i="40"/>
  <c r="H37" i="40"/>
  <c r="M33" i="40"/>
  <c r="F36" i="40"/>
  <c r="F37" i="40"/>
  <c r="J60" i="40" s="1"/>
  <c r="B13" i="35" s="1"/>
  <c r="J13" i="35" s="1"/>
  <c r="P36" i="40"/>
  <c r="E37" i="40"/>
  <c r="E36" i="40"/>
  <c r="G37" i="40"/>
  <c r="J61" i="40" s="1"/>
  <c r="B14" i="35" s="1"/>
  <c r="J14" i="35" s="1"/>
  <c r="T36" i="40"/>
  <c r="AB36" i="40" s="1"/>
  <c r="L36" i="40"/>
  <c r="G36" i="40"/>
  <c r="B29" i="39"/>
  <c r="E29" i="39" s="1"/>
  <c r="F17" i="40"/>
  <c r="N17" i="40" s="1"/>
  <c r="E16" i="40"/>
  <c r="U16" i="40" s="1"/>
  <c r="AC16" i="40" s="1"/>
  <c r="D17" i="40"/>
  <c r="T17" i="40" s="1"/>
  <c r="AB17" i="40" s="1"/>
  <c r="N34" i="40"/>
  <c r="H18" i="40"/>
  <c r="X18" i="40" s="1"/>
  <c r="AF18" i="40" s="1"/>
  <c r="G18" i="40"/>
  <c r="W18" i="40" s="1"/>
  <c r="AE18" i="40" s="1"/>
  <c r="V16" i="40"/>
  <c r="AD16" i="40" s="1"/>
  <c r="W34" i="40"/>
  <c r="AE34" i="40" s="1"/>
  <c r="L27" i="40"/>
  <c r="T27" i="40"/>
  <c r="AB27" i="40" s="1"/>
  <c r="C25" i="40"/>
  <c r="D26" i="40"/>
  <c r="F28" i="40"/>
  <c r="E27" i="40"/>
  <c r="G29" i="40"/>
  <c r="H34" i="40"/>
  <c r="K10" i="40"/>
  <c r="M12" i="40"/>
  <c r="U12" i="40"/>
  <c r="AC12" i="40" s="1"/>
  <c r="K12" i="40"/>
  <c r="S12" i="40"/>
  <c r="AA12" i="40" s="1"/>
  <c r="T13" i="40"/>
  <c r="AB13" i="40" s="1"/>
  <c r="L13" i="40"/>
  <c r="T12" i="40"/>
  <c r="AB12" i="40" s="1"/>
  <c r="L12" i="40"/>
  <c r="S15" i="40"/>
  <c r="AA15" i="40" s="1"/>
  <c r="K15" i="40"/>
  <c r="C24" i="40"/>
  <c r="B24" i="39" s="1"/>
  <c r="D25" i="40"/>
  <c r="E26" i="40"/>
  <c r="F27" i="40"/>
  <c r="H33" i="40"/>
  <c r="L17" i="40"/>
  <c r="G28" i="40"/>
  <c r="V32" i="40"/>
  <c r="AD32" i="40" s="1"/>
  <c r="N32" i="40"/>
  <c r="S27" i="40"/>
  <c r="AA27" i="40" s="1"/>
  <c r="K27" i="40"/>
  <c r="B31" i="42"/>
  <c r="H35" i="40"/>
  <c r="P35" i="40" s="1"/>
  <c r="T11" i="40"/>
  <c r="AB11" i="40" s="1"/>
  <c r="L11" i="40"/>
  <c r="L32" i="40"/>
  <c r="T32" i="40"/>
  <c r="AB32" i="40" s="1"/>
  <c r="S11" i="40"/>
  <c r="AA11" i="40" s="1"/>
  <c r="K11" i="40"/>
  <c r="S14" i="40"/>
  <c r="AA14" i="40" s="1"/>
  <c r="K16" i="40"/>
  <c r="S16" i="40"/>
  <c r="AA16" i="40" s="1"/>
  <c r="C19" i="40"/>
  <c r="D20" i="40"/>
  <c r="E21" i="40"/>
  <c r="F22" i="40"/>
  <c r="H28" i="40"/>
  <c r="U31" i="40"/>
  <c r="AC31" i="40" s="1"/>
  <c r="M31" i="40"/>
  <c r="T33" i="40"/>
  <c r="AB33" i="40" s="1"/>
  <c r="L33" i="40"/>
  <c r="C22" i="40"/>
  <c r="D23" i="40"/>
  <c r="F25" i="40"/>
  <c r="E24" i="40"/>
  <c r="G26" i="40"/>
  <c r="H31" i="40"/>
  <c r="L10" i="40"/>
  <c r="T10" i="40"/>
  <c r="AB10" i="40" s="1"/>
  <c r="H22" i="40"/>
  <c r="K32" i="40"/>
  <c r="S32" i="40"/>
  <c r="AA32" i="40" s="1"/>
  <c r="H24" i="40"/>
  <c r="W13" i="40"/>
  <c r="AE13" i="40" s="1"/>
  <c r="O13" i="40"/>
  <c r="T15" i="40"/>
  <c r="AB15" i="40" s="1"/>
  <c r="L15" i="40"/>
  <c r="C18" i="40"/>
  <c r="B18" i="39" s="1"/>
  <c r="D19" i="40"/>
  <c r="F21" i="40"/>
  <c r="E20" i="40"/>
  <c r="G22" i="40"/>
  <c r="H27" i="40"/>
  <c r="H20" i="40"/>
  <c r="N12" i="40"/>
  <c r="V12" i="40"/>
  <c r="AD12" i="40" s="1"/>
  <c r="M30" i="40"/>
  <c r="U30" i="40"/>
  <c r="AC30" i="40" s="1"/>
  <c r="H19" i="40"/>
  <c r="O16" i="40"/>
  <c r="W16" i="40"/>
  <c r="AE16" i="40" s="1"/>
  <c r="M15" i="40"/>
  <c r="U15" i="40"/>
  <c r="AC15" i="40" s="1"/>
  <c r="W15" i="40"/>
  <c r="AE15" i="40" s="1"/>
  <c r="O15" i="40"/>
  <c r="E17" i="40"/>
  <c r="M11" i="40"/>
  <c r="U11" i="40"/>
  <c r="AC11" i="40" s="1"/>
  <c r="G20" i="40"/>
  <c r="V31" i="40"/>
  <c r="AD31" i="40" s="1"/>
  <c r="N31" i="40"/>
  <c r="V30" i="40"/>
  <c r="AD30" i="40" s="1"/>
  <c r="N30" i="40"/>
  <c r="S33" i="40"/>
  <c r="AA33" i="40" s="1"/>
  <c r="K33" i="40"/>
  <c r="C20" i="40"/>
  <c r="D21" i="40"/>
  <c r="F23" i="40"/>
  <c r="N23" i="40" s="1"/>
  <c r="E22" i="40"/>
  <c r="G24" i="40"/>
  <c r="H29" i="40"/>
  <c r="K31" i="40"/>
  <c r="S31" i="40"/>
  <c r="AA31" i="40" s="1"/>
  <c r="L30" i="40"/>
  <c r="T30" i="40"/>
  <c r="AB30" i="40" s="1"/>
  <c r="N33" i="40"/>
  <c r="V33" i="40"/>
  <c r="AD33" i="40" s="1"/>
  <c r="O32" i="40"/>
  <c r="W32" i="40"/>
  <c r="AE32" i="40" s="1"/>
  <c r="K29" i="40"/>
  <c r="S29" i="40"/>
  <c r="AA29" i="40" s="1"/>
  <c r="L31" i="40"/>
  <c r="T31" i="40"/>
  <c r="AB31" i="40" s="1"/>
  <c r="C21" i="40"/>
  <c r="D22" i="40"/>
  <c r="E23" i="40"/>
  <c r="F24" i="40"/>
  <c r="G25" i="40"/>
  <c r="H30" i="40"/>
  <c r="H21" i="40"/>
  <c r="O17" i="40"/>
  <c r="W17" i="40"/>
  <c r="AE17" i="40" s="1"/>
  <c r="G19" i="40"/>
  <c r="H25" i="40"/>
  <c r="O31" i="40"/>
  <c r="W31" i="40"/>
  <c r="AE31" i="40" s="1"/>
  <c r="S30" i="40"/>
  <c r="AA30" i="40" s="1"/>
  <c r="K30" i="40"/>
  <c r="N13" i="40"/>
  <c r="V13" i="40"/>
  <c r="AD13" i="40" s="1"/>
  <c r="M14" i="40"/>
  <c r="U14" i="40"/>
  <c r="AC14" i="40" s="1"/>
  <c r="T14" i="40"/>
  <c r="AB14" i="40" s="1"/>
  <c r="L14" i="40"/>
  <c r="C26" i="40"/>
  <c r="E28" i="40"/>
  <c r="F29" i="40"/>
  <c r="G30" i="40"/>
  <c r="V14" i="40"/>
  <c r="AD14" i="40" s="1"/>
  <c r="N14" i="40"/>
  <c r="F18" i="40"/>
  <c r="S9" i="40"/>
  <c r="AA9" i="40" s="1"/>
  <c r="K9" i="40"/>
  <c r="E18" i="40"/>
  <c r="L29" i="40"/>
  <c r="T29" i="40"/>
  <c r="AB29" i="40" s="1"/>
  <c r="M29" i="40"/>
  <c r="U29" i="40"/>
  <c r="AC29" i="40" s="1"/>
  <c r="M32" i="40"/>
  <c r="U32" i="40"/>
  <c r="AC32" i="40" s="1"/>
  <c r="W14" i="40"/>
  <c r="AE14" i="40" s="1"/>
  <c r="O14" i="40"/>
  <c r="N15" i="40"/>
  <c r="V15" i="40"/>
  <c r="AD15" i="40" s="1"/>
  <c r="S13" i="40"/>
  <c r="AA13" i="40" s="1"/>
  <c r="K13" i="40"/>
  <c r="M13" i="40"/>
  <c r="U13" i="40"/>
  <c r="AC13" i="40" s="1"/>
  <c r="T16" i="40"/>
  <c r="AB16" i="40" s="1"/>
  <c r="L16" i="40"/>
  <c r="H23" i="40"/>
  <c r="G23" i="40"/>
  <c r="C23" i="40"/>
  <c r="D24" i="40"/>
  <c r="F26" i="40"/>
  <c r="E25" i="40"/>
  <c r="G27" i="40"/>
  <c r="H32" i="40"/>
  <c r="F19" i="40"/>
  <c r="K28" i="40"/>
  <c r="S28" i="40"/>
  <c r="AA28" i="40" s="1"/>
  <c r="W33" i="40"/>
  <c r="AE33" i="40" s="1"/>
  <c r="O33" i="40"/>
  <c r="L28" i="40"/>
  <c r="T28" i="40"/>
  <c r="AB28" i="40" s="1"/>
  <c r="N16" i="40"/>
  <c r="C17" i="40"/>
  <c r="D18" i="40"/>
  <c r="E19" i="40"/>
  <c r="F20" i="40"/>
  <c r="G21" i="40"/>
  <c r="H26" i="40"/>
  <c r="B26" i="39"/>
  <c r="E26" i="39" s="1"/>
  <c r="B29" i="42"/>
  <c r="B11" i="39"/>
  <c r="D11" i="39" s="1"/>
  <c r="B34" i="42"/>
  <c r="B33" i="42"/>
  <c r="B32" i="42"/>
  <c r="B32" i="39"/>
  <c r="E32" i="39" s="1"/>
  <c r="B69" i="21"/>
  <c r="E18" i="29" s="1"/>
  <c r="M18" i="29" s="1"/>
  <c r="O15" i="33"/>
  <c r="N35" i="40"/>
  <c r="B43" i="40"/>
  <c r="F13" i="33"/>
  <c r="D11" i="5" s="1"/>
  <c r="O35" i="40"/>
  <c r="G13" i="33"/>
  <c r="H13" i="33" s="1"/>
  <c r="J15" i="33"/>
  <c r="G14" i="33"/>
  <c r="H14" i="33" s="1"/>
  <c r="J16" i="33"/>
  <c r="O16" i="33"/>
  <c r="D15" i="33"/>
  <c r="C13" i="5" s="1"/>
  <c r="I15" i="33"/>
  <c r="L15" i="33" s="1"/>
  <c r="B12" i="39"/>
  <c r="D12" i="39" s="1"/>
  <c r="B10" i="39"/>
  <c r="D10" i="39" s="1"/>
  <c r="B33" i="39"/>
  <c r="E33" i="39" s="1"/>
  <c r="B34" i="39"/>
  <c r="E34" i="39" s="1"/>
  <c r="B14" i="39"/>
  <c r="E14" i="39" s="1"/>
  <c r="G15" i="33"/>
  <c r="H15" i="33" s="1"/>
  <c r="B15" i="39"/>
  <c r="V35" i="40"/>
  <c r="AD35" i="40" s="1"/>
  <c r="B13" i="39"/>
  <c r="B30" i="39"/>
  <c r="B9" i="39"/>
  <c r="B31" i="39"/>
  <c r="B28" i="39"/>
  <c r="B16" i="39"/>
  <c r="B27" i="39"/>
  <c r="A17" i="33"/>
  <c r="B16" i="33"/>
  <c r="C16" i="33"/>
  <c r="E16" i="33"/>
  <c r="M34" i="40"/>
  <c r="U34" i="40"/>
  <c r="AC34" i="40" s="1"/>
  <c r="K35" i="40"/>
  <c r="S35" i="40"/>
  <c r="AA35" i="40" s="1"/>
  <c r="L35" i="40"/>
  <c r="T35" i="40"/>
  <c r="AB35" i="40" s="1"/>
  <c r="B44" i="40"/>
  <c r="B48" i="40"/>
  <c r="H35" i="42"/>
  <c r="B45" i="40"/>
  <c r="B36" i="39"/>
  <c r="E35" i="40"/>
  <c r="B47" i="40"/>
  <c r="J59" i="40"/>
  <c r="B12" i="35" s="1"/>
  <c r="B46" i="40"/>
  <c r="W35" i="40"/>
  <c r="AE35" i="40" s="1"/>
  <c r="B46" i="24"/>
  <c r="B47" i="34"/>
  <c r="B12" i="29"/>
  <c r="J12" i="29" s="1"/>
  <c r="D55" i="38"/>
  <c r="B40" i="34"/>
  <c r="R92" i="25"/>
  <c r="B42" i="24"/>
  <c r="R101" i="25"/>
  <c r="R111" i="25"/>
  <c r="B39" i="30"/>
  <c r="E21" i="29" s="1"/>
  <c r="M21" i="29" s="1"/>
  <c r="R103" i="25"/>
  <c r="R119" i="25"/>
  <c r="R100" i="25"/>
  <c r="R115" i="25"/>
  <c r="R97" i="25"/>
  <c r="B74" i="21"/>
  <c r="B71" i="22"/>
  <c r="R104" i="25"/>
  <c r="R127" i="25"/>
  <c r="B41" i="26"/>
  <c r="E19" i="29" s="1"/>
  <c r="M19" i="29" s="1"/>
  <c r="D56" i="38"/>
  <c r="B44" i="26"/>
  <c r="B42" i="30"/>
  <c r="R91" i="25"/>
  <c r="R98" i="25"/>
  <c r="R96" i="25"/>
  <c r="R105" i="25"/>
  <c r="R108" i="25"/>
  <c r="F10" i="22"/>
  <c r="D10" i="22"/>
  <c r="E10" i="22"/>
  <c r="G10" i="22"/>
  <c r="C11" i="27"/>
  <c r="G10" i="27"/>
  <c r="F10" i="27"/>
  <c r="E10" i="27"/>
  <c r="D10" i="27"/>
  <c r="B44" i="30"/>
  <c r="I37" i="21"/>
  <c r="I35" i="21"/>
  <c r="I45" i="21"/>
  <c r="I28" i="26"/>
  <c r="B75" i="21"/>
  <c r="I33" i="21"/>
  <c r="B46" i="26"/>
  <c r="I43" i="21"/>
  <c r="B46" i="30"/>
  <c r="I24" i="26"/>
  <c r="E9" i="22"/>
  <c r="I23" i="26"/>
  <c r="B76" i="21"/>
  <c r="B11" i="29"/>
  <c r="J11" i="29" s="1"/>
  <c r="B43" i="26"/>
  <c r="L144" i="25"/>
  <c r="L141" i="25"/>
  <c r="L143" i="25"/>
  <c r="R113" i="25"/>
  <c r="R74" i="25"/>
  <c r="R121" i="25"/>
  <c r="R88" i="25"/>
  <c r="R75" i="25"/>
  <c r="L142" i="25"/>
  <c r="R114" i="25"/>
  <c r="L140" i="25"/>
  <c r="R110" i="25"/>
  <c r="R95" i="25"/>
  <c r="R122" i="25"/>
  <c r="R120" i="25"/>
  <c r="R82" i="25"/>
  <c r="R83" i="25"/>
  <c r="R79" i="25"/>
  <c r="R87" i="25"/>
  <c r="R125" i="25"/>
  <c r="R118" i="25"/>
  <c r="R117" i="25"/>
  <c r="R94" i="25"/>
  <c r="R112" i="25"/>
  <c r="R106" i="25"/>
  <c r="R107" i="25"/>
  <c r="R76" i="25"/>
  <c r="R84" i="25"/>
  <c r="R126" i="25"/>
  <c r="R85" i="25"/>
  <c r="R80" i="25"/>
  <c r="R89" i="25"/>
  <c r="R128" i="25"/>
  <c r="R116" i="25"/>
  <c r="R78" i="25"/>
  <c r="R99" i="25"/>
  <c r="R109" i="25"/>
  <c r="R93" i="25"/>
  <c r="R102" i="25"/>
  <c r="R77" i="25"/>
  <c r="R81" i="25"/>
  <c r="R124" i="25"/>
  <c r="I27" i="26"/>
  <c r="R86" i="25"/>
  <c r="B43" i="30"/>
  <c r="B73" i="22"/>
  <c r="R90" i="25"/>
  <c r="B69" i="22"/>
  <c r="B43" i="34"/>
  <c r="G12" i="24"/>
  <c r="D12" i="24"/>
  <c r="E12" i="24"/>
  <c r="F12" i="24"/>
  <c r="B73" i="21"/>
  <c r="B45" i="26"/>
  <c r="I26" i="26"/>
  <c r="B70" i="22"/>
  <c r="B13" i="29"/>
  <c r="J13" i="29" s="1"/>
  <c r="C13" i="24"/>
  <c r="I40" i="21"/>
  <c r="B15" i="29"/>
  <c r="J15" i="29" s="1"/>
  <c r="B46" i="34"/>
  <c r="B66" i="22"/>
  <c r="C11" i="22"/>
  <c r="I27" i="21"/>
  <c r="B44" i="34"/>
  <c r="G14" i="21"/>
  <c r="F14" i="21"/>
  <c r="D14" i="21"/>
  <c r="E14" i="21"/>
  <c r="I19" i="26"/>
  <c r="B72" i="21"/>
  <c r="I25" i="24"/>
  <c r="G12" i="26"/>
  <c r="F12" i="26"/>
  <c r="B49" i="24"/>
  <c r="I39" i="21"/>
  <c r="I29" i="21"/>
  <c r="I41" i="21"/>
  <c r="B72" i="22"/>
  <c r="B47" i="24"/>
  <c r="I25" i="26"/>
  <c r="C13" i="26"/>
  <c r="I22" i="26"/>
  <c r="I34" i="21"/>
  <c r="B47" i="26"/>
  <c r="I20" i="26"/>
  <c r="E9" i="30"/>
  <c r="D9" i="30"/>
  <c r="F9" i="30"/>
  <c r="B45" i="24"/>
  <c r="B48" i="24"/>
  <c r="C15" i="21"/>
  <c r="G13" i="21"/>
  <c r="E13" i="21"/>
  <c r="F13" i="21"/>
  <c r="D13" i="21"/>
  <c r="B14" i="29"/>
  <c r="J14" i="29" s="1"/>
  <c r="I22" i="24"/>
  <c r="C10" i="30"/>
  <c r="B45" i="30"/>
  <c r="C15" i="38"/>
  <c r="E10" i="34"/>
  <c r="H10" i="34"/>
  <c r="D10" i="34"/>
  <c r="F10" i="34"/>
  <c r="C11" i="34"/>
  <c r="I10" i="34"/>
  <c r="B45" i="34"/>
  <c r="D29" i="39" l="1"/>
  <c r="M16" i="40"/>
  <c r="Z79" i="25"/>
  <c r="AA78" i="25"/>
  <c r="AB78" i="25"/>
  <c r="U79" i="25"/>
  <c r="V78" i="25"/>
  <c r="W78" i="25"/>
  <c r="B23" i="39"/>
  <c r="D23" i="39" s="1"/>
  <c r="X35" i="40"/>
  <c r="AF35" i="40" s="1"/>
  <c r="V17" i="40"/>
  <c r="AD17" i="40" s="1"/>
  <c r="AB41" i="40"/>
  <c r="AB47" i="40"/>
  <c r="B21" i="39"/>
  <c r="U36" i="40"/>
  <c r="AC36" i="40" s="1"/>
  <c r="M36" i="40"/>
  <c r="K36" i="40"/>
  <c r="S36" i="40"/>
  <c r="AA36" i="40" s="1"/>
  <c r="AA42" i="40" s="1"/>
  <c r="W36" i="40"/>
  <c r="AE36" i="40" s="1"/>
  <c r="AE47" i="40" s="1"/>
  <c r="O36" i="40"/>
  <c r="V36" i="40"/>
  <c r="AD36" i="40" s="1"/>
  <c r="AD41" i="40" s="1"/>
  <c r="N36" i="40"/>
  <c r="B17" i="39"/>
  <c r="AB48" i="40"/>
  <c r="AB42" i="40"/>
  <c r="B22" i="39"/>
  <c r="D22" i="39" s="1"/>
  <c r="B25" i="39"/>
  <c r="D25" i="39" s="1"/>
  <c r="W35" i="39"/>
  <c r="X35" i="39" s="1"/>
  <c r="H35" i="39"/>
  <c r="J35" i="39" s="1"/>
  <c r="R35" i="42"/>
  <c r="S35" i="42" s="1"/>
  <c r="B35" i="39"/>
  <c r="E35" i="39" s="1"/>
  <c r="W35" i="42"/>
  <c r="Y35" i="42" s="1"/>
  <c r="B20" i="39"/>
  <c r="E20" i="39" s="1"/>
  <c r="B19" i="39"/>
  <c r="D19" i="39" s="1"/>
  <c r="R35" i="39"/>
  <c r="S35" i="39" s="1"/>
  <c r="B35" i="42"/>
  <c r="D35" i="42" s="1"/>
  <c r="J143" i="25"/>
  <c r="J140" i="25"/>
  <c r="J139" i="25"/>
  <c r="J142" i="25"/>
  <c r="J144" i="25"/>
  <c r="J141" i="25"/>
  <c r="P18" i="40"/>
  <c r="F47" i="40"/>
  <c r="D26" i="39"/>
  <c r="O18" i="40"/>
  <c r="F46" i="40"/>
  <c r="G47" i="40"/>
  <c r="F43" i="40"/>
  <c r="N15" i="33"/>
  <c r="H45" i="40"/>
  <c r="F45" i="40"/>
  <c r="D44" i="40"/>
  <c r="D47" i="40"/>
  <c r="O19" i="40"/>
  <c r="W19" i="40"/>
  <c r="AE19" i="40" s="1"/>
  <c r="G43" i="40"/>
  <c r="D45" i="40"/>
  <c r="W21" i="40"/>
  <c r="AE21" i="40" s="1"/>
  <c r="O21" i="40"/>
  <c r="N26" i="40"/>
  <c r="V26" i="40"/>
  <c r="AD26" i="40" s="1"/>
  <c r="N18" i="40"/>
  <c r="V18" i="40"/>
  <c r="AD18" i="40" s="1"/>
  <c r="V24" i="40"/>
  <c r="AD24" i="40" s="1"/>
  <c r="N24" i="40"/>
  <c r="P20" i="40"/>
  <c r="X20" i="40"/>
  <c r="AF20" i="40" s="1"/>
  <c r="S22" i="40"/>
  <c r="AA22" i="40" s="1"/>
  <c r="K22" i="40"/>
  <c r="N22" i="40"/>
  <c r="V22" i="40"/>
  <c r="AD22" i="40" s="1"/>
  <c r="O28" i="40"/>
  <c r="W28" i="40"/>
  <c r="AE28" i="40" s="1"/>
  <c r="V23" i="40"/>
  <c r="AD23" i="40" s="1"/>
  <c r="T26" i="40"/>
  <c r="AB26" i="40" s="1"/>
  <c r="L26" i="40"/>
  <c r="W22" i="40"/>
  <c r="AE22" i="40" s="1"/>
  <c r="O22" i="40"/>
  <c r="D43" i="40"/>
  <c r="X26" i="40"/>
  <c r="AF26" i="40" s="1"/>
  <c r="P26" i="40"/>
  <c r="M25" i="40"/>
  <c r="U25" i="40"/>
  <c r="AC25" i="40" s="1"/>
  <c r="O25" i="40"/>
  <c r="W25" i="40"/>
  <c r="AE25" i="40" s="1"/>
  <c r="U22" i="40"/>
  <c r="AC22" i="40" s="1"/>
  <c r="M22" i="40"/>
  <c r="L23" i="40"/>
  <c r="T23" i="40"/>
  <c r="AB23" i="40" s="1"/>
  <c r="X28" i="40"/>
  <c r="AF28" i="40" s="1"/>
  <c r="P28" i="40"/>
  <c r="E47" i="40"/>
  <c r="M35" i="39"/>
  <c r="M35" i="42"/>
  <c r="V20" i="40"/>
  <c r="AD20" i="40" s="1"/>
  <c r="N20" i="40"/>
  <c r="T24" i="40"/>
  <c r="AB24" i="40" s="1"/>
  <c r="L24" i="40"/>
  <c r="P25" i="40"/>
  <c r="X25" i="40"/>
  <c r="AF25" i="40" s="1"/>
  <c r="M23" i="40"/>
  <c r="U23" i="40"/>
  <c r="AC23" i="40" s="1"/>
  <c r="T21" i="40"/>
  <c r="AB21" i="40" s="1"/>
  <c r="L21" i="40"/>
  <c r="W20" i="40"/>
  <c r="AE20" i="40" s="1"/>
  <c r="O20" i="40"/>
  <c r="P27" i="40"/>
  <c r="X27" i="40"/>
  <c r="AF27" i="40" s="1"/>
  <c r="M21" i="40"/>
  <c r="U21" i="40"/>
  <c r="AC21" i="40" s="1"/>
  <c r="F44" i="40"/>
  <c r="K25" i="40"/>
  <c r="S25" i="40"/>
  <c r="AA25" i="40" s="1"/>
  <c r="K17" i="40"/>
  <c r="S17" i="40"/>
  <c r="AA17" i="40" s="1"/>
  <c r="V19" i="40"/>
  <c r="AD19" i="40" s="1"/>
  <c r="N19" i="40"/>
  <c r="X23" i="40"/>
  <c r="AF23" i="40" s="1"/>
  <c r="P23" i="40"/>
  <c r="N29" i="40"/>
  <c r="V29" i="40"/>
  <c r="AD29" i="40" s="1"/>
  <c r="G46" i="40"/>
  <c r="M17" i="40"/>
  <c r="U17" i="40"/>
  <c r="AC17" i="40" s="1"/>
  <c r="N21" i="40"/>
  <c r="V21" i="40"/>
  <c r="AD21" i="40" s="1"/>
  <c r="O26" i="40"/>
  <c r="W26" i="40"/>
  <c r="AE26" i="40" s="1"/>
  <c r="N27" i="40"/>
  <c r="V27" i="40"/>
  <c r="AD27" i="40" s="1"/>
  <c r="P34" i="40"/>
  <c r="X34" i="40"/>
  <c r="AF34" i="40" s="1"/>
  <c r="M19" i="40"/>
  <c r="U19" i="40"/>
  <c r="AC19" i="40" s="1"/>
  <c r="I35" i="42"/>
  <c r="J35" i="42"/>
  <c r="AB35" i="42"/>
  <c r="AB35" i="39"/>
  <c r="G45" i="40"/>
  <c r="U20" i="40"/>
  <c r="AC20" i="40" s="1"/>
  <c r="M20" i="40"/>
  <c r="P31" i="40"/>
  <c r="X31" i="40"/>
  <c r="AF31" i="40" s="1"/>
  <c r="J58" i="40"/>
  <c r="B11" i="35" s="1"/>
  <c r="J11" i="35" s="1"/>
  <c r="H36" i="39"/>
  <c r="H43" i="40"/>
  <c r="X32" i="40"/>
  <c r="AF32" i="40" s="1"/>
  <c r="P32" i="40"/>
  <c r="M18" i="40"/>
  <c r="U18" i="40"/>
  <c r="AC18" i="40" s="1"/>
  <c r="M28" i="40"/>
  <c r="U28" i="40"/>
  <c r="AC28" i="40" s="1"/>
  <c r="X21" i="40"/>
  <c r="AF21" i="40" s="1"/>
  <c r="P21" i="40"/>
  <c r="P29" i="40"/>
  <c r="X29" i="40"/>
  <c r="AF29" i="40" s="1"/>
  <c r="T19" i="40"/>
  <c r="AB19" i="40" s="1"/>
  <c r="L19" i="40"/>
  <c r="M24" i="40"/>
  <c r="U24" i="40"/>
  <c r="AC24" i="40" s="1"/>
  <c r="U26" i="40"/>
  <c r="AC26" i="40" s="1"/>
  <c r="M26" i="40"/>
  <c r="W29" i="40"/>
  <c r="AE29" i="40" s="1"/>
  <c r="O29" i="40"/>
  <c r="K23" i="40"/>
  <c r="S23" i="40"/>
  <c r="AA23" i="40" s="1"/>
  <c r="T22" i="40"/>
  <c r="AB22" i="40" s="1"/>
  <c r="L22" i="40"/>
  <c r="K20" i="40"/>
  <c r="S20" i="40"/>
  <c r="AA20" i="40" s="1"/>
  <c r="L20" i="40"/>
  <c r="T20" i="40"/>
  <c r="AB20" i="40" s="1"/>
  <c r="H47" i="40"/>
  <c r="L18" i="40"/>
  <c r="T18" i="40"/>
  <c r="AB18" i="40" s="1"/>
  <c r="W23" i="40"/>
  <c r="AE23" i="40" s="1"/>
  <c r="O23" i="40"/>
  <c r="O30" i="40"/>
  <c r="W30" i="40"/>
  <c r="AE30" i="40" s="1"/>
  <c r="K21" i="40"/>
  <c r="S21" i="40"/>
  <c r="AA21" i="40" s="1"/>
  <c r="P19" i="40"/>
  <c r="X19" i="40"/>
  <c r="AF19" i="40" s="1"/>
  <c r="P24" i="40"/>
  <c r="X24" i="40"/>
  <c r="AF24" i="40" s="1"/>
  <c r="S19" i="40"/>
  <c r="AA19" i="40" s="1"/>
  <c r="K19" i="40"/>
  <c r="X33" i="40"/>
  <c r="AF33" i="40" s="1"/>
  <c r="P33" i="40"/>
  <c r="D48" i="40"/>
  <c r="H46" i="40"/>
  <c r="G44" i="40"/>
  <c r="D46" i="40"/>
  <c r="H44" i="40"/>
  <c r="H48" i="40"/>
  <c r="G48" i="40"/>
  <c r="F48" i="40"/>
  <c r="O27" i="40"/>
  <c r="W27" i="40"/>
  <c r="AE27" i="40" s="1"/>
  <c r="S26" i="40"/>
  <c r="AA26" i="40" s="1"/>
  <c r="K26" i="40"/>
  <c r="X30" i="40"/>
  <c r="AF30" i="40" s="1"/>
  <c r="P30" i="40"/>
  <c r="W24" i="40"/>
  <c r="AE24" i="40" s="1"/>
  <c r="O24" i="40"/>
  <c r="K18" i="40"/>
  <c r="S18" i="40"/>
  <c r="AA18" i="40" s="1"/>
  <c r="X22" i="40"/>
  <c r="AF22" i="40" s="1"/>
  <c r="P22" i="40"/>
  <c r="N25" i="40"/>
  <c r="V25" i="40"/>
  <c r="AD25" i="40" s="1"/>
  <c r="T25" i="40"/>
  <c r="AB25" i="40" s="1"/>
  <c r="L25" i="40"/>
  <c r="U27" i="40"/>
  <c r="AC27" i="40" s="1"/>
  <c r="M27" i="40"/>
  <c r="S24" i="40"/>
  <c r="AA24" i="40" s="1"/>
  <c r="K24" i="40"/>
  <c r="N28" i="40"/>
  <c r="V28" i="40"/>
  <c r="AD28" i="40" s="1"/>
  <c r="D32" i="39"/>
  <c r="E11" i="39"/>
  <c r="B25" i="42"/>
  <c r="B27" i="42"/>
  <c r="B26" i="42"/>
  <c r="B28" i="42"/>
  <c r="B30" i="42"/>
  <c r="D33" i="39"/>
  <c r="J12" i="35"/>
  <c r="Y39" i="35" s="1"/>
  <c r="Y44" i="35" s="1"/>
  <c r="J57" i="40"/>
  <c r="B10" i="35" s="1"/>
  <c r="J10" i="35" s="1"/>
  <c r="B36" i="42"/>
  <c r="E10" i="39"/>
  <c r="H34" i="42"/>
  <c r="R25" i="42"/>
  <c r="R33" i="42"/>
  <c r="M29" i="42"/>
  <c r="R34" i="42"/>
  <c r="M34" i="42"/>
  <c r="W33" i="42"/>
  <c r="M27" i="42"/>
  <c r="R32" i="42"/>
  <c r="AB33" i="42"/>
  <c r="H27" i="42"/>
  <c r="H30" i="42"/>
  <c r="W34" i="42"/>
  <c r="AB31" i="42"/>
  <c r="AB32" i="42"/>
  <c r="M31" i="42"/>
  <c r="M28" i="42"/>
  <c r="AB27" i="42"/>
  <c r="W31" i="42"/>
  <c r="R27" i="42"/>
  <c r="AB30" i="42"/>
  <c r="W25" i="42"/>
  <c r="W26" i="42"/>
  <c r="H28" i="42"/>
  <c r="R26" i="42"/>
  <c r="M32" i="42"/>
  <c r="H25" i="42"/>
  <c r="H26" i="42"/>
  <c r="W30" i="42"/>
  <c r="W32" i="42"/>
  <c r="M30" i="42"/>
  <c r="M26" i="42"/>
  <c r="W29" i="42"/>
  <c r="R29" i="42"/>
  <c r="AB29" i="42"/>
  <c r="AB36" i="42"/>
  <c r="R31" i="42"/>
  <c r="H32" i="42"/>
  <c r="AB28" i="42"/>
  <c r="H31" i="42"/>
  <c r="M33" i="42"/>
  <c r="M25" i="42"/>
  <c r="R36" i="42"/>
  <c r="H33" i="42"/>
  <c r="R30" i="42"/>
  <c r="AB34" i="42"/>
  <c r="AB25" i="42"/>
  <c r="R28" i="42"/>
  <c r="W27" i="42"/>
  <c r="W36" i="42"/>
  <c r="W28" i="42"/>
  <c r="M36" i="42"/>
  <c r="H36" i="42"/>
  <c r="H29" i="42"/>
  <c r="AB26" i="42"/>
  <c r="J62" i="40"/>
  <c r="B15" i="35" s="1"/>
  <c r="J15" i="35" s="1"/>
  <c r="E12" i="39"/>
  <c r="O17" i="33"/>
  <c r="J17" i="33"/>
  <c r="M15" i="33"/>
  <c r="K15" i="33"/>
  <c r="D16" i="33"/>
  <c r="I16" i="33"/>
  <c r="D34" i="39"/>
  <c r="D14" i="39"/>
  <c r="E9" i="39"/>
  <c r="D9" i="39"/>
  <c r="D17" i="39"/>
  <c r="E17" i="39"/>
  <c r="E24" i="39"/>
  <c r="D24" i="39"/>
  <c r="D13" i="39"/>
  <c r="E13" i="39"/>
  <c r="D28" i="39"/>
  <c r="E28" i="39"/>
  <c r="E15" i="39"/>
  <c r="D15" i="39"/>
  <c r="D16" i="39"/>
  <c r="E16" i="39"/>
  <c r="D30" i="39"/>
  <c r="E30" i="39"/>
  <c r="D31" i="39"/>
  <c r="E31" i="39"/>
  <c r="AB21" i="39"/>
  <c r="AD21" i="39" s="1"/>
  <c r="M36" i="39"/>
  <c r="W33" i="39"/>
  <c r="Y33" i="39" s="1"/>
  <c r="R18" i="39"/>
  <c r="T18" i="39" s="1"/>
  <c r="W14" i="39"/>
  <c r="Y14" i="39" s="1"/>
  <c r="R29" i="39"/>
  <c r="T29" i="39" s="1"/>
  <c r="W27" i="39"/>
  <c r="Y27" i="39" s="1"/>
  <c r="W18" i="39"/>
  <c r="Y18" i="39" s="1"/>
  <c r="M20" i="39"/>
  <c r="O20" i="39" s="1"/>
  <c r="B8" i="39"/>
  <c r="AB17" i="39"/>
  <c r="AD17" i="39" s="1"/>
  <c r="R31" i="39"/>
  <c r="T31" i="39" s="1"/>
  <c r="W26" i="39"/>
  <c r="Y26" i="39" s="1"/>
  <c r="M31" i="39"/>
  <c r="O31" i="39" s="1"/>
  <c r="R27" i="39"/>
  <c r="T27" i="39" s="1"/>
  <c r="W24" i="39"/>
  <c r="Y24" i="39" s="1"/>
  <c r="W29" i="39"/>
  <c r="Y29" i="39" s="1"/>
  <c r="R34" i="39"/>
  <c r="T34" i="39" s="1"/>
  <c r="M12" i="39"/>
  <c r="O12" i="39" s="1"/>
  <c r="M33" i="39"/>
  <c r="O33" i="39" s="1"/>
  <c r="AB22" i="39"/>
  <c r="AD22" i="39" s="1"/>
  <c r="R26" i="39"/>
  <c r="T26" i="39" s="1"/>
  <c r="AB20" i="39"/>
  <c r="AD20" i="39" s="1"/>
  <c r="M26" i="39"/>
  <c r="O26" i="39" s="1"/>
  <c r="M15" i="39"/>
  <c r="O15" i="39" s="1"/>
  <c r="AB31" i="39"/>
  <c r="AD31" i="39" s="1"/>
  <c r="M28" i="39"/>
  <c r="O28" i="39" s="1"/>
  <c r="R11" i="39"/>
  <c r="T11" i="39" s="1"/>
  <c r="M21" i="39"/>
  <c r="O21" i="39" s="1"/>
  <c r="M19" i="39"/>
  <c r="O19" i="39" s="1"/>
  <c r="W15" i="39"/>
  <c r="Y15" i="39" s="1"/>
  <c r="R25" i="39"/>
  <c r="T25" i="39" s="1"/>
  <c r="AB24" i="39"/>
  <c r="AD24" i="39" s="1"/>
  <c r="AB34" i="39"/>
  <c r="AD34" i="39" s="1"/>
  <c r="M25" i="39"/>
  <c r="O25" i="39" s="1"/>
  <c r="M34" i="39"/>
  <c r="O34" i="39" s="1"/>
  <c r="R36" i="39"/>
  <c r="R14" i="39"/>
  <c r="T14" i="39" s="1"/>
  <c r="AB26" i="39"/>
  <c r="AD26" i="39" s="1"/>
  <c r="R20" i="39"/>
  <c r="T20" i="39" s="1"/>
  <c r="W12" i="39"/>
  <c r="Y12" i="39" s="1"/>
  <c r="AB27" i="39"/>
  <c r="AD27" i="39" s="1"/>
  <c r="AB19" i="39"/>
  <c r="AD19" i="39" s="1"/>
  <c r="W20" i="39"/>
  <c r="Y20" i="39" s="1"/>
  <c r="R15" i="39"/>
  <c r="T15" i="39" s="1"/>
  <c r="AB29" i="39"/>
  <c r="AD29" i="39" s="1"/>
  <c r="W22" i="39"/>
  <c r="Y22" i="39" s="1"/>
  <c r="R16" i="39"/>
  <c r="T16" i="39" s="1"/>
  <c r="AB18" i="39"/>
  <c r="AD18" i="39" s="1"/>
  <c r="AB25" i="39"/>
  <c r="AD25" i="39" s="1"/>
  <c r="AB33" i="39"/>
  <c r="AD33" i="39" s="1"/>
  <c r="W34" i="39"/>
  <c r="Y34" i="39" s="1"/>
  <c r="M14" i="39"/>
  <c r="O14" i="39" s="1"/>
  <c r="M23" i="39"/>
  <c r="O23" i="39" s="1"/>
  <c r="M11" i="39"/>
  <c r="O11" i="39" s="1"/>
  <c r="R12" i="39"/>
  <c r="T12" i="39" s="1"/>
  <c r="M30" i="39"/>
  <c r="O30" i="39" s="1"/>
  <c r="M27" i="39"/>
  <c r="O27" i="39" s="1"/>
  <c r="M17" i="39"/>
  <c r="O17" i="39" s="1"/>
  <c r="M18" i="39"/>
  <c r="O18" i="39" s="1"/>
  <c r="W30" i="39"/>
  <c r="Y30" i="39" s="1"/>
  <c r="M29" i="39"/>
  <c r="O29" i="39" s="1"/>
  <c r="R22" i="39"/>
  <c r="T22" i="39" s="1"/>
  <c r="AB36" i="39"/>
  <c r="W25" i="39"/>
  <c r="Y25" i="39" s="1"/>
  <c r="R30" i="39"/>
  <c r="T30" i="39" s="1"/>
  <c r="M16" i="39"/>
  <c r="O16" i="39" s="1"/>
  <c r="R17" i="39"/>
  <c r="T17" i="39" s="1"/>
  <c r="R19" i="39"/>
  <c r="T19" i="39" s="1"/>
  <c r="R32" i="39"/>
  <c r="T32" i="39" s="1"/>
  <c r="W23" i="39"/>
  <c r="Y23" i="39" s="1"/>
  <c r="W19" i="39"/>
  <c r="Y19" i="39" s="1"/>
  <c r="M32" i="39"/>
  <c r="O32" i="39" s="1"/>
  <c r="W28" i="39"/>
  <c r="Y28" i="39" s="1"/>
  <c r="W16" i="39"/>
  <c r="Y16" i="39" s="1"/>
  <c r="M24" i="39"/>
  <c r="O24" i="39" s="1"/>
  <c r="AB28" i="39"/>
  <c r="AD28" i="39" s="1"/>
  <c r="AB23" i="39"/>
  <c r="AD23" i="39" s="1"/>
  <c r="R28" i="39"/>
  <c r="T28" i="39" s="1"/>
  <c r="R21" i="39"/>
  <c r="T21" i="39" s="1"/>
  <c r="W17" i="39"/>
  <c r="Y17" i="39" s="1"/>
  <c r="M13" i="39"/>
  <c r="O13" i="39" s="1"/>
  <c r="M22" i="39"/>
  <c r="O22" i="39" s="1"/>
  <c r="W36" i="39"/>
  <c r="M10" i="39"/>
  <c r="O10" i="39" s="1"/>
  <c r="W13" i="39"/>
  <c r="Y13" i="39" s="1"/>
  <c r="W31" i="39"/>
  <c r="Y31" i="39" s="1"/>
  <c r="R23" i="39"/>
  <c r="T23" i="39" s="1"/>
  <c r="AB30" i="39"/>
  <c r="AD30" i="39" s="1"/>
  <c r="R24" i="39"/>
  <c r="T24" i="39" s="1"/>
  <c r="R13" i="39"/>
  <c r="T13" i="39" s="1"/>
  <c r="R33" i="39"/>
  <c r="T33" i="39" s="1"/>
  <c r="W21" i="39"/>
  <c r="Y21" i="39" s="1"/>
  <c r="AB32" i="39"/>
  <c r="AD32" i="39" s="1"/>
  <c r="H9" i="39"/>
  <c r="J9" i="39" s="1"/>
  <c r="H10" i="39"/>
  <c r="J10" i="39" s="1"/>
  <c r="W32" i="39"/>
  <c r="Y32" i="39" s="1"/>
  <c r="H12" i="39"/>
  <c r="J12" i="39" s="1"/>
  <c r="D18" i="39"/>
  <c r="E18" i="39"/>
  <c r="D27" i="39"/>
  <c r="E27" i="39"/>
  <c r="E48" i="40"/>
  <c r="D21" i="39"/>
  <c r="E21" i="39"/>
  <c r="G16" i="33"/>
  <c r="H16" i="33" s="1"/>
  <c r="F16" i="33"/>
  <c r="D14" i="5" s="1"/>
  <c r="B17" i="33"/>
  <c r="A18" i="33"/>
  <c r="C17" i="33"/>
  <c r="E17" i="33"/>
  <c r="M35" i="40"/>
  <c r="E44" i="40"/>
  <c r="E45" i="40"/>
  <c r="U35" i="40"/>
  <c r="AC35" i="40" s="1"/>
  <c r="AC47" i="40" s="1"/>
  <c r="C45" i="40"/>
  <c r="C44" i="40"/>
  <c r="C47" i="40"/>
  <c r="C43" i="40"/>
  <c r="C46" i="40"/>
  <c r="C48" i="40"/>
  <c r="E43" i="40"/>
  <c r="E46" i="40"/>
  <c r="H26" i="39"/>
  <c r="J26" i="39" s="1"/>
  <c r="H20" i="39"/>
  <c r="J20" i="39" s="1"/>
  <c r="H16" i="39"/>
  <c r="J16" i="39" s="1"/>
  <c r="H24" i="39"/>
  <c r="J24" i="39" s="1"/>
  <c r="H13" i="39"/>
  <c r="J13" i="39" s="1"/>
  <c r="H11" i="39"/>
  <c r="J11" i="39" s="1"/>
  <c r="H21" i="39"/>
  <c r="J21" i="39" s="1"/>
  <c r="H31" i="39"/>
  <c r="J31" i="39" s="1"/>
  <c r="H14" i="39"/>
  <c r="J14" i="39" s="1"/>
  <c r="H27" i="39"/>
  <c r="J27" i="39" s="1"/>
  <c r="H25" i="39"/>
  <c r="J25" i="39" s="1"/>
  <c r="H28" i="39"/>
  <c r="J28" i="39" s="1"/>
  <c r="H34" i="39"/>
  <c r="J34" i="39" s="1"/>
  <c r="H19" i="39"/>
  <c r="J19" i="39" s="1"/>
  <c r="H29" i="39"/>
  <c r="J29" i="39" s="1"/>
  <c r="H17" i="39"/>
  <c r="J17" i="39" s="1"/>
  <c r="H32" i="39"/>
  <c r="J32" i="39" s="1"/>
  <c r="H15" i="39"/>
  <c r="J15" i="39" s="1"/>
  <c r="H22" i="39"/>
  <c r="J22" i="39" s="1"/>
  <c r="H30" i="39"/>
  <c r="J30" i="39" s="1"/>
  <c r="H33" i="39"/>
  <c r="J33" i="39" s="1"/>
  <c r="H18" i="39"/>
  <c r="J18" i="39" s="1"/>
  <c r="H23" i="39"/>
  <c r="J23" i="39" s="1"/>
  <c r="G11" i="22"/>
  <c r="F11" i="22"/>
  <c r="E11" i="22"/>
  <c r="D11" i="22"/>
  <c r="C12" i="22"/>
  <c r="D11" i="27"/>
  <c r="F11" i="27"/>
  <c r="E11" i="27"/>
  <c r="G11" i="27"/>
  <c r="C12" i="27"/>
  <c r="D11" i="34"/>
  <c r="C16" i="38"/>
  <c r="H11" i="34"/>
  <c r="E11" i="34"/>
  <c r="F11" i="34"/>
  <c r="C12" i="34"/>
  <c r="I11" i="34"/>
  <c r="G15" i="21"/>
  <c r="E15" i="21"/>
  <c r="F15" i="21"/>
  <c r="D15" i="21"/>
  <c r="C16" i="21"/>
  <c r="E15" i="38"/>
  <c r="G15" i="38"/>
  <c r="F15" i="38"/>
  <c r="G13" i="24"/>
  <c r="F13" i="24"/>
  <c r="E13" i="24"/>
  <c r="D13" i="24"/>
  <c r="C14" i="24"/>
  <c r="G10" i="30"/>
  <c r="E10" i="30"/>
  <c r="D10" i="30"/>
  <c r="H10" i="30"/>
  <c r="F10" i="30"/>
  <c r="C11" i="30"/>
  <c r="F13" i="26"/>
  <c r="G13" i="26"/>
  <c r="C14" i="26"/>
  <c r="D20" i="39" l="1"/>
  <c r="E23" i="39"/>
  <c r="U80" i="25"/>
  <c r="V79" i="25"/>
  <c r="W79" i="25"/>
  <c r="Z80" i="25"/>
  <c r="AB79" i="25"/>
  <c r="AA79" i="25"/>
  <c r="AA44" i="40"/>
  <c r="AA41" i="40"/>
  <c r="E22" i="39"/>
  <c r="N58" i="40"/>
  <c r="F11" i="35" s="1"/>
  <c r="AA47" i="40"/>
  <c r="AA48" i="40"/>
  <c r="O57" i="40" s="1"/>
  <c r="G10" i="35" s="1"/>
  <c r="E19" i="39"/>
  <c r="E25" i="39"/>
  <c r="E41" i="39" s="1"/>
  <c r="E42" i="39" s="1"/>
  <c r="E43" i="39" s="1"/>
  <c r="I35" i="39"/>
  <c r="AD47" i="40"/>
  <c r="AC49" i="40"/>
  <c r="AC43" i="40"/>
  <c r="AF47" i="40"/>
  <c r="AF41" i="40"/>
  <c r="AF42" i="40"/>
  <c r="N62" i="40" s="1"/>
  <c r="F15" i="35" s="1"/>
  <c r="AF48" i="40"/>
  <c r="O62" i="40" s="1"/>
  <c r="G15" i="35" s="1"/>
  <c r="AA49" i="40"/>
  <c r="AA43" i="40"/>
  <c r="AE48" i="40"/>
  <c r="AE42" i="40"/>
  <c r="N61" i="40" s="1"/>
  <c r="F14" i="35" s="1"/>
  <c r="AB49" i="40"/>
  <c r="AB43" i="40"/>
  <c r="AC41" i="40"/>
  <c r="AE43" i="40"/>
  <c r="AE49" i="40"/>
  <c r="AD42" i="40"/>
  <c r="AD48" i="40"/>
  <c r="T35" i="42"/>
  <c r="AF49" i="40"/>
  <c r="AF43" i="40"/>
  <c r="AC48" i="40"/>
  <c r="AC42" i="40"/>
  <c r="N59" i="40" s="1"/>
  <c r="F12" i="35" s="1"/>
  <c r="AE41" i="40"/>
  <c r="N57" i="40"/>
  <c r="F10" i="35" s="1"/>
  <c r="AD43" i="40"/>
  <c r="AD49" i="40"/>
  <c r="E35" i="42"/>
  <c r="D35" i="39"/>
  <c r="D41" i="39" s="1"/>
  <c r="D42" i="39" s="1"/>
  <c r="T35" i="39"/>
  <c r="X35" i="42"/>
  <c r="Y35" i="39"/>
  <c r="Y41" i="39" s="1"/>
  <c r="N16" i="33"/>
  <c r="P16" i="33" s="1"/>
  <c r="C14" i="5"/>
  <c r="O58" i="40"/>
  <c r="G11" i="35" s="1"/>
  <c r="K43" i="40"/>
  <c r="O61" i="40"/>
  <c r="G14" i="35" s="1"/>
  <c r="AA50" i="40"/>
  <c r="L43" i="40"/>
  <c r="AB50" i="40"/>
  <c r="K41" i="40"/>
  <c r="AE44" i="40"/>
  <c r="N41" i="40"/>
  <c r="O42" i="40"/>
  <c r="K42" i="40"/>
  <c r="O60" i="40"/>
  <c r="G13" i="35" s="1"/>
  <c r="N60" i="40"/>
  <c r="F13" i="35" s="1"/>
  <c r="O43" i="40"/>
  <c r="P41" i="40"/>
  <c r="L41" i="40"/>
  <c r="AD50" i="40"/>
  <c r="AF50" i="40"/>
  <c r="AB44" i="40"/>
  <c r="AE50" i="40"/>
  <c r="O35" i="39"/>
  <c r="N35" i="39"/>
  <c r="P42" i="40"/>
  <c r="AD44" i="40"/>
  <c r="O59" i="40"/>
  <c r="G12" i="35" s="1"/>
  <c r="O41" i="40"/>
  <c r="L42" i="40"/>
  <c r="P43" i="40"/>
  <c r="N43" i="40"/>
  <c r="M41" i="40"/>
  <c r="AD35" i="39"/>
  <c r="AC35" i="39"/>
  <c r="AF44" i="40"/>
  <c r="AC35" i="42"/>
  <c r="AD35" i="42"/>
  <c r="N35" i="42"/>
  <c r="O35" i="42"/>
  <c r="N42" i="40"/>
  <c r="P15" i="33"/>
  <c r="Q15" i="33"/>
  <c r="S15" i="33"/>
  <c r="T28" i="42"/>
  <c r="S28" i="42"/>
  <c r="O12" i="42"/>
  <c r="N12" i="42"/>
  <c r="Y31" i="42"/>
  <c r="X31" i="42"/>
  <c r="T34" i="42"/>
  <c r="S34" i="42"/>
  <c r="D20" i="42"/>
  <c r="E20" i="42"/>
  <c r="J24" i="42"/>
  <c r="I24" i="42"/>
  <c r="AD25" i="42"/>
  <c r="AC25" i="42"/>
  <c r="D21" i="42"/>
  <c r="E21" i="42"/>
  <c r="Y22" i="42"/>
  <c r="X22" i="42"/>
  <c r="X15" i="42"/>
  <c r="Y15" i="42"/>
  <c r="S22" i="42"/>
  <c r="T22" i="42"/>
  <c r="J25" i="42"/>
  <c r="I25" i="42"/>
  <c r="N17" i="42"/>
  <c r="O17" i="42"/>
  <c r="T19" i="42"/>
  <c r="S19" i="42"/>
  <c r="Y26" i="42"/>
  <c r="X26" i="42"/>
  <c r="T12" i="42"/>
  <c r="S12" i="42"/>
  <c r="T13" i="42"/>
  <c r="S13" i="42"/>
  <c r="J20" i="42"/>
  <c r="I20" i="42"/>
  <c r="J23" i="42"/>
  <c r="I23" i="42"/>
  <c r="AC18" i="42"/>
  <c r="AD18" i="42"/>
  <c r="T20" i="42"/>
  <c r="S20" i="42"/>
  <c r="N16" i="42"/>
  <c r="O16" i="42"/>
  <c r="S21" i="42"/>
  <c r="T21" i="42"/>
  <c r="X17" i="42"/>
  <c r="Y17" i="42"/>
  <c r="AC34" i="42"/>
  <c r="AD34" i="42"/>
  <c r="E26" i="42"/>
  <c r="D26" i="42"/>
  <c r="I31" i="42"/>
  <c r="J31" i="42"/>
  <c r="AC29" i="42"/>
  <c r="AD29" i="42"/>
  <c r="Y32" i="42"/>
  <c r="X32" i="42"/>
  <c r="D13" i="42"/>
  <c r="E13" i="42"/>
  <c r="O19" i="42"/>
  <c r="N19" i="42"/>
  <c r="X23" i="42"/>
  <c r="Y23" i="42"/>
  <c r="AD20" i="42"/>
  <c r="AC20" i="42"/>
  <c r="S27" i="42"/>
  <c r="T27" i="42"/>
  <c r="AD27" i="42"/>
  <c r="AC27" i="42"/>
  <c r="AD31" i="42"/>
  <c r="AC31" i="42"/>
  <c r="AC33" i="42"/>
  <c r="AD33" i="42"/>
  <c r="X33" i="42"/>
  <c r="Y33" i="42"/>
  <c r="N29" i="42"/>
  <c r="O29" i="42"/>
  <c r="Y16" i="42"/>
  <c r="X16" i="42"/>
  <c r="E11" i="42"/>
  <c r="D11" i="42"/>
  <c r="AD26" i="42"/>
  <c r="AC26" i="42"/>
  <c r="D15" i="42"/>
  <c r="E15" i="42"/>
  <c r="O20" i="42"/>
  <c r="N20" i="42"/>
  <c r="E30" i="42"/>
  <c r="D30" i="42"/>
  <c r="O14" i="42"/>
  <c r="N14" i="42"/>
  <c r="T24" i="42"/>
  <c r="S24" i="42"/>
  <c r="J14" i="42"/>
  <c r="I14" i="42"/>
  <c r="D33" i="42"/>
  <c r="E33" i="42"/>
  <c r="E24" i="42"/>
  <c r="D24" i="42"/>
  <c r="T17" i="42"/>
  <c r="S17" i="42"/>
  <c r="J13" i="42"/>
  <c r="I13" i="42"/>
  <c r="X34" i="42"/>
  <c r="Y34" i="42"/>
  <c r="Y19" i="42"/>
  <c r="X19" i="42"/>
  <c r="X27" i="42"/>
  <c r="Y27" i="42"/>
  <c r="N18" i="42"/>
  <c r="O18" i="42"/>
  <c r="N25" i="42"/>
  <c r="O25" i="42"/>
  <c r="J32" i="42"/>
  <c r="I32" i="42"/>
  <c r="O21" i="42"/>
  <c r="N21" i="42"/>
  <c r="Y30" i="42"/>
  <c r="X30" i="42"/>
  <c r="O23" i="42"/>
  <c r="N23" i="42"/>
  <c r="S26" i="42"/>
  <c r="T26" i="42"/>
  <c r="D25" i="42"/>
  <c r="E25" i="42"/>
  <c r="X13" i="42"/>
  <c r="Y13" i="42"/>
  <c r="Y24" i="42"/>
  <c r="X24" i="42"/>
  <c r="Y12" i="42"/>
  <c r="X12" i="42"/>
  <c r="E32" i="42"/>
  <c r="D32" i="42"/>
  <c r="T32" i="42"/>
  <c r="S32" i="42"/>
  <c r="O11" i="42"/>
  <c r="N11" i="42"/>
  <c r="E28" i="42"/>
  <c r="D28" i="42"/>
  <c r="E29" i="42"/>
  <c r="D29" i="42"/>
  <c r="N13" i="42"/>
  <c r="O13" i="42"/>
  <c r="J26" i="42"/>
  <c r="I26" i="42"/>
  <c r="J16" i="42"/>
  <c r="I16" i="42"/>
  <c r="J27" i="42"/>
  <c r="I27" i="42"/>
  <c r="I15" i="42"/>
  <c r="J15" i="42"/>
  <c r="Y28" i="42"/>
  <c r="X28" i="42"/>
  <c r="AD28" i="42"/>
  <c r="AC28" i="42"/>
  <c r="J18" i="42"/>
  <c r="I18" i="42"/>
  <c r="X25" i="42"/>
  <c r="Y25" i="42"/>
  <c r="Y14" i="42"/>
  <c r="X14" i="42"/>
  <c r="E23" i="42"/>
  <c r="D23" i="42"/>
  <c r="E16" i="42"/>
  <c r="D16" i="42"/>
  <c r="I19" i="42"/>
  <c r="J19" i="42"/>
  <c r="I21" i="42"/>
  <c r="J21" i="42"/>
  <c r="N31" i="42"/>
  <c r="O31" i="42"/>
  <c r="D22" i="42"/>
  <c r="E22" i="42"/>
  <c r="AD17" i="42"/>
  <c r="AC17" i="42"/>
  <c r="J17" i="42"/>
  <c r="I17" i="42"/>
  <c r="D12" i="42"/>
  <c r="E12" i="42"/>
  <c r="T30" i="42"/>
  <c r="S30" i="42"/>
  <c r="E19" i="42"/>
  <c r="D19" i="42"/>
  <c r="T31" i="42"/>
  <c r="S31" i="42"/>
  <c r="Y29" i="42"/>
  <c r="X29" i="42"/>
  <c r="O22" i="42"/>
  <c r="N22" i="42"/>
  <c r="O24" i="42"/>
  <c r="N24" i="42"/>
  <c r="J28" i="42"/>
  <c r="I28" i="42"/>
  <c r="AD22" i="42"/>
  <c r="AC22" i="42"/>
  <c r="AC30" i="42"/>
  <c r="AD30" i="42"/>
  <c r="D17" i="42"/>
  <c r="E17" i="42"/>
  <c r="E27" i="42"/>
  <c r="D27" i="42"/>
  <c r="I30" i="42"/>
  <c r="J30" i="42"/>
  <c r="O27" i="42"/>
  <c r="N27" i="42"/>
  <c r="AC21" i="42"/>
  <c r="AD21" i="42"/>
  <c r="T33" i="42"/>
  <c r="S33" i="42"/>
  <c r="I33" i="42"/>
  <c r="J33" i="42"/>
  <c r="O30" i="42"/>
  <c r="N30" i="42"/>
  <c r="D18" i="42"/>
  <c r="E18" i="42"/>
  <c r="AD23" i="42"/>
  <c r="AC23" i="42"/>
  <c r="S25" i="42"/>
  <c r="T25" i="42"/>
  <c r="X21" i="42"/>
  <c r="Y21" i="42"/>
  <c r="S29" i="42"/>
  <c r="T29" i="42"/>
  <c r="AD24" i="42"/>
  <c r="AC24" i="42"/>
  <c r="N28" i="42"/>
  <c r="O28" i="42"/>
  <c r="I34" i="42"/>
  <c r="J34" i="42"/>
  <c r="I29" i="42"/>
  <c r="J29" i="42"/>
  <c r="J22" i="42"/>
  <c r="I22" i="42"/>
  <c r="T14" i="42"/>
  <c r="S14" i="42"/>
  <c r="Y18" i="42"/>
  <c r="X18" i="42"/>
  <c r="E14" i="42"/>
  <c r="D14" i="42"/>
  <c r="X20" i="42"/>
  <c r="Y20" i="42"/>
  <c r="N33" i="42"/>
  <c r="O33" i="42"/>
  <c r="E34" i="42"/>
  <c r="D34" i="42"/>
  <c r="O26" i="42"/>
  <c r="N26" i="42"/>
  <c r="S15" i="42"/>
  <c r="T15" i="42"/>
  <c r="O32" i="42"/>
  <c r="N32" i="42"/>
  <c r="S23" i="42"/>
  <c r="T23" i="42"/>
  <c r="O15" i="42"/>
  <c r="N15" i="42"/>
  <c r="AC19" i="42"/>
  <c r="AD19" i="42"/>
  <c r="S16" i="42"/>
  <c r="T16" i="42"/>
  <c r="AC32" i="42"/>
  <c r="AD32" i="42"/>
  <c r="E31" i="42"/>
  <c r="D31" i="42"/>
  <c r="T18" i="42"/>
  <c r="S18" i="42"/>
  <c r="O34" i="42"/>
  <c r="N34" i="42"/>
  <c r="T11" i="42"/>
  <c r="S11" i="42"/>
  <c r="O18" i="33"/>
  <c r="J18" i="33"/>
  <c r="R15" i="33"/>
  <c r="L16" i="33"/>
  <c r="M16" i="33" s="1"/>
  <c r="K16" i="33"/>
  <c r="D17" i="33"/>
  <c r="I17" i="33"/>
  <c r="E8" i="39"/>
  <c r="D8" i="39"/>
  <c r="I17" i="39"/>
  <c r="X28" i="39"/>
  <c r="AC25" i="39"/>
  <c r="AC31" i="39"/>
  <c r="I23" i="39"/>
  <c r="AC30" i="39"/>
  <c r="AC18" i="39"/>
  <c r="I18" i="39"/>
  <c r="S21" i="39"/>
  <c r="S16" i="39"/>
  <c r="N26" i="39"/>
  <c r="I34" i="39"/>
  <c r="X15" i="39"/>
  <c r="I32" i="39"/>
  <c r="I14" i="39"/>
  <c r="I20" i="39"/>
  <c r="S13" i="39"/>
  <c r="N22" i="39"/>
  <c r="X16" i="39"/>
  <c r="N16" i="39"/>
  <c r="N17" i="39"/>
  <c r="AC33" i="39"/>
  <c r="AC19" i="39"/>
  <c r="N25" i="39"/>
  <c r="N28" i="39"/>
  <c r="N12" i="39"/>
  <c r="AC17" i="39"/>
  <c r="X33" i="39"/>
  <c r="N13" i="39"/>
  <c r="N32" i="39"/>
  <c r="X12" i="39"/>
  <c r="X29" i="39"/>
  <c r="S23" i="39"/>
  <c r="S12" i="39"/>
  <c r="X31" i="39"/>
  <c r="S22" i="39"/>
  <c r="X22" i="39"/>
  <c r="AC20" i="39"/>
  <c r="X27" i="39"/>
  <c r="I30" i="39"/>
  <c r="I28" i="39"/>
  <c r="I13" i="39"/>
  <c r="AC32" i="39"/>
  <c r="X13" i="39"/>
  <c r="AC23" i="39"/>
  <c r="S32" i="39"/>
  <c r="N29" i="39"/>
  <c r="N23" i="39"/>
  <c r="AC29" i="39"/>
  <c r="S14" i="39"/>
  <c r="N19" i="39"/>
  <c r="S26" i="39"/>
  <c r="N31" i="39"/>
  <c r="S29" i="39"/>
  <c r="I31" i="39"/>
  <c r="I12" i="39"/>
  <c r="S30" i="39"/>
  <c r="AC27" i="39"/>
  <c r="S34" i="39"/>
  <c r="I29" i="39"/>
  <c r="X17" i="39"/>
  <c r="N30" i="39"/>
  <c r="N15" i="39"/>
  <c r="AC21" i="39"/>
  <c r="I19" i="39"/>
  <c r="X19" i="39"/>
  <c r="S20" i="39"/>
  <c r="X24" i="39"/>
  <c r="I33" i="39"/>
  <c r="I9" i="39"/>
  <c r="S28" i="39"/>
  <c r="N11" i="39"/>
  <c r="AC26" i="39"/>
  <c r="S27" i="39"/>
  <c r="I22" i="39"/>
  <c r="I25" i="39"/>
  <c r="I24" i="39"/>
  <c r="X21" i="39"/>
  <c r="N10" i="39"/>
  <c r="AC28" i="39"/>
  <c r="S19" i="39"/>
  <c r="X30" i="39"/>
  <c r="N14" i="39"/>
  <c r="S15" i="39"/>
  <c r="N21" i="39"/>
  <c r="AC22" i="39"/>
  <c r="X26" i="39"/>
  <c r="X14" i="39"/>
  <c r="I26" i="39"/>
  <c r="S24" i="39"/>
  <c r="N27" i="39"/>
  <c r="AC34" i="39"/>
  <c r="X32" i="39"/>
  <c r="X25" i="39"/>
  <c r="AC24" i="39"/>
  <c r="N20" i="39"/>
  <c r="I21" i="39"/>
  <c r="I10" i="39"/>
  <c r="S25" i="39"/>
  <c r="X18" i="39"/>
  <c r="I11" i="39"/>
  <c r="X23" i="39"/>
  <c r="I15" i="39"/>
  <c r="I27" i="39"/>
  <c r="I16" i="39"/>
  <c r="S33" i="39"/>
  <c r="N24" i="39"/>
  <c r="S17" i="39"/>
  <c r="N18" i="39"/>
  <c r="X34" i="39"/>
  <c r="X20" i="39"/>
  <c r="N34" i="39"/>
  <c r="S11" i="39"/>
  <c r="N33" i="39"/>
  <c r="S31" i="39"/>
  <c r="S18" i="39"/>
  <c r="G17" i="33"/>
  <c r="H17" i="33" s="1"/>
  <c r="F17" i="33"/>
  <c r="D15" i="5" s="1"/>
  <c r="C18" i="33"/>
  <c r="A19" i="33"/>
  <c r="B18" i="33"/>
  <c r="E18" i="33"/>
  <c r="M43" i="40"/>
  <c r="M42" i="40"/>
  <c r="AC44" i="40"/>
  <c r="AC50" i="40"/>
  <c r="E11" i="29"/>
  <c r="M11" i="29" s="1"/>
  <c r="E15" i="29"/>
  <c r="M15" i="29" s="1"/>
  <c r="E14" i="29"/>
  <c r="M14" i="29" s="1"/>
  <c r="G16" i="21"/>
  <c r="F16" i="21"/>
  <c r="E16" i="21"/>
  <c r="D16" i="21"/>
  <c r="C17" i="21"/>
  <c r="H12" i="34"/>
  <c r="I12" i="34"/>
  <c r="F12" i="34"/>
  <c r="C13" i="34"/>
  <c r="D12" i="34"/>
  <c r="E12" i="34"/>
  <c r="C17" i="38"/>
  <c r="E12" i="22"/>
  <c r="F12" i="22"/>
  <c r="D12" i="22"/>
  <c r="G12" i="22"/>
  <c r="C13" i="22"/>
  <c r="E12" i="29"/>
  <c r="M12" i="29" s="1"/>
  <c r="E10" i="29"/>
  <c r="M10" i="29" s="1"/>
  <c r="E13" i="29"/>
  <c r="M13" i="29" s="1"/>
  <c r="E16" i="38"/>
  <c r="F16" i="38"/>
  <c r="G16" i="38"/>
  <c r="F12" i="27"/>
  <c r="G12" i="27"/>
  <c r="E12" i="27"/>
  <c r="D12" i="27"/>
  <c r="C13" i="27"/>
  <c r="G14" i="26"/>
  <c r="J14" i="26"/>
  <c r="F14" i="26"/>
  <c r="C15" i="26"/>
  <c r="G11" i="30"/>
  <c r="H11" i="30"/>
  <c r="D11" i="30"/>
  <c r="E11" i="30"/>
  <c r="F11" i="30"/>
  <c r="C12" i="30"/>
  <c r="G14" i="24"/>
  <c r="F14" i="24"/>
  <c r="E14" i="24"/>
  <c r="D14" i="24"/>
  <c r="C15" i="24"/>
  <c r="M12" i="35"/>
  <c r="Z81" i="25" l="1"/>
  <c r="AA80" i="25"/>
  <c r="AB80" i="25"/>
  <c r="Q16" i="33"/>
  <c r="U81" i="25"/>
  <c r="W80" i="25"/>
  <c r="V80" i="25"/>
  <c r="D44" i="39"/>
  <c r="D45" i="39" s="1"/>
  <c r="D46" i="39" s="1"/>
  <c r="E46" i="39" s="1"/>
  <c r="S16" i="33"/>
  <c r="R16" i="33"/>
  <c r="N17" i="33"/>
  <c r="P17" i="33" s="1"/>
  <c r="C15" i="5"/>
  <c r="O41" i="42"/>
  <c r="O42" i="42" s="1"/>
  <c r="O43" i="42" s="1"/>
  <c r="N44" i="42"/>
  <c r="N45" i="42" s="1"/>
  <c r="N41" i="42"/>
  <c r="N42" i="42" s="1"/>
  <c r="E41" i="42"/>
  <c r="E42" i="42" s="1"/>
  <c r="E43" i="42" s="1"/>
  <c r="Y41" i="42"/>
  <c r="Y42" i="42" s="1"/>
  <c r="Y43" i="42" s="1"/>
  <c r="I44" i="42"/>
  <c r="I45" i="42" s="1"/>
  <c r="I41" i="42"/>
  <c r="I42" i="42" s="1"/>
  <c r="X44" i="42"/>
  <c r="X45" i="42" s="1"/>
  <c r="X41" i="42"/>
  <c r="X42" i="42" s="1"/>
  <c r="J41" i="42"/>
  <c r="J42" i="42" s="1"/>
  <c r="J43" i="42" s="1"/>
  <c r="D44" i="42"/>
  <c r="D45" i="42" s="1"/>
  <c r="D41" i="42"/>
  <c r="D42" i="42" s="1"/>
  <c r="T41" i="42"/>
  <c r="T42" i="42" s="1"/>
  <c r="T43" i="42" s="1"/>
  <c r="S44" i="42"/>
  <c r="S45" i="42" s="1"/>
  <c r="S41" i="42"/>
  <c r="S42" i="42" s="1"/>
  <c r="AC44" i="42"/>
  <c r="AC45" i="42" s="1"/>
  <c r="AC41" i="42"/>
  <c r="AC42" i="42" s="1"/>
  <c r="AD41" i="42"/>
  <c r="AD42" i="42" s="1"/>
  <c r="AD43" i="42" s="1"/>
  <c r="O19" i="33"/>
  <c r="J19" i="33"/>
  <c r="L17" i="33"/>
  <c r="M17" i="33" s="1"/>
  <c r="K17" i="33"/>
  <c r="D18" i="33"/>
  <c r="I18" i="33"/>
  <c r="AD41" i="39"/>
  <c r="AD42" i="39" s="1"/>
  <c r="AD43" i="39" s="1"/>
  <c r="T41" i="39"/>
  <c r="T42" i="39" s="1"/>
  <c r="T43" i="39" s="1"/>
  <c r="J41" i="39"/>
  <c r="J42" i="39" s="1"/>
  <c r="J43" i="39" s="1"/>
  <c r="O41" i="39"/>
  <c r="O42" i="39" s="1"/>
  <c r="O43" i="39" s="1"/>
  <c r="AC41" i="39"/>
  <c r="AC42" i="39" s="1"/>
  <c r="AC44" i="39"/>
  <c r="AC45" i="39" s="1"/>
  <c r="X41" i="39"/>
  <c r="X42" i="39" s="1"/>
  <c r="X44" i="39"/>
  <c r="X45" i="39" s="1"/>
  <c r="I41" i="39"/>
  <c r="I42" i="39" s="1"/>
  <c r="I44" i="39"/>
  <c r="I45" i="39" s="1"/>
  <c r="N41" i="39"/>
  <c r="N42" i="39" s="1"/>
  <c r="N44" i="39"/>
  <c r="N45" i="39" s="1"/>
  <c r="Y42" i="39"/>
  <c r="Y43" i="39" s="1"/>
  <c r="S44" i="39"/>
  <c r="S45" i="39" s="1"/>
  <c r="S41" i="39"/>
  <c r="S42" i="39" s="1"/>
  <c r="A20" i="33"/>
  <c r="C19" i="33"/>
  <c r="B19" i="33"/>
  <c r="E19" i="33"/>
  <c r="G18" i="33"/>
  <c r="H18" i="33" s="1"/>
  <c r="F18" i="33"/>
  <c r="D16" i="5" s="1"/>
  <c r="N15" i="35"/>
  <c r="J15" i="26"/>
  <c r="G15" i="26"/>
  <c r="D15" i="26"/>
  <c r="F15" i="26"/>
  <c r="E15" i="26"/>
  <c r="C16" i="26"/>
  <c r="E13" i="34"/>
  <c r="C14" i="34"/>
  <c r="I13" i="34"/>
  <c r="C18" i="38"/>
  <c r="D13" i="34"/>
  <c r="F13" i="34"/>
  <c r="H13" i="34"/>
  <c r="G12" i="30"/>
  <c r="H12" i="30"/>
  <c r="E12" i="30"/>
  <c r="D12" i="30"/>
  <c r="F12" i="30"/>
  <c r="C13" i="30"/>
  <c r="G13" i="22"/>
  <c r="F13" i="22"/>
  <c r="D13" i="22"/>
  <c r="E13" i="22"/>
  <c r="C14" i="22"/>
  <c r="M13" i="35"/>
  <c r="D13" i="27"/>
  <c r="G13" i="27"/>
  <c r="F13" i="27"/>
  <c r="E13" i="27"/>
  <c r="C14" i="27"/>
  <c r="G17" i="38"/>
  <c r="F17" i="38"/>
  <c r="E17" i="38"/>
  <c r="M14" i="35"/>
  <c r="M15" i="35"/>
  <c r="M10" i="35"/>
  <c r="M11" i="35"/>
  <c r="G17" i="21"/>
  <c r="J17" i="21"/>
  <c r="F17" i="21"/>
  <c r="E17" i="21"/>
  <c r="D17" i="21"/>
  <c r="C18" i="21"/>
  <c r="N12" i="35"/>
  <c r="AA39" i="35" s="1"/>
  <c r="F12" i="29"/>
  <c r="N12" i="29" s="1"/>
  <c r="O12" i="35"/>
  <c r="G12" i="29"/>
  <c r="O12" i="29" s="1"/>
  <c r="J15" i="24"/>
  <c r="G15" i="24"/>
  <c r="D15" i="24"/>
  <c r="F15" i="24"/>
  <c r="E15" i="24"/>
  <c r="C16" i="24"/>
  <c r="U82" i="25" l="1"/>
  <c r="W81" i="25"/>
  <c r="V81" i="25"/>
  <c r="Z82" i="25"/>
  <c r="AA81" i="25"/>
  <c r="AB81" i="25"/>
  <c r="R17" i="33"/>
  <c r="Q17" i="33"/>
  <c r="S17" i="33"/>
  <c r="N18" i="33"/>
  <c r="S18" i="33" s="1"/>
  <c r="C16" i="5"/>
  <c r="D46" i="42"/>
  <c r="E46" i="42" s="1"/>
  <c r="AC46" i="42"/>
  <c r="AD46" i="42" s="1"/>
  <c r="X46" i="42"/>
  <c r="C54" i="42" s="1"/>
  <c r="S46" i="42"/>
  <c r="I46" i="42"/>
  <c r="N46" i="42"/>
  <c r="O20" i="33"/>
  <c r="J20" i="33"/>
  <c r="L18" i="33"/>
  <c r="M18" i="33" s="1"/>
  <c r="K18" i="33"/>
  <c r="D19" i="33"/>
  <c r="I19" i="33"/>
  <c r="C50" i="39"/>
  <c r="S46" i="39"/>
  <c r="C53" i="39" s="1"/>
  <c r="N46" i="39"/>
  <c r="I46" i="39"/>
  <c r="X46" i="39"/>
  <c r="AC46" i="39"/>
  <c r="G19" i="33"/>
  <c r="H19" i="33" s="1"/>
  <c r="F19" i="33"/>
  <c r="D17" i="5" s="1"/>
  <c r="A21" i="33"/>
  <c r="C20" i="33"/>
  <c r="B20" i="33"/>
  <c r="E20" i="33"/>
  <c r="F15" i="29"/>
  <c r="N15" i="29" s="1"/>
  <c r="O11" i="35"/>
  <c r="G11" i="29"/>
  <c r="O11" i="29" s="1"/>
  <c r="E14" i="34"/>
  <c r="D14" i="34"/>
  <c r="H14" i="34"/>
  <c r="C19" i="38"/>
  <c r="C15" i="34"/>
  <c r="I14" i="34"/>
  <c r="F14" i="34"/>
  <c r="G14" i="22"/>
  <c r="E14" i="22"/>
  <c r="D14" i="22"/>
  <c r="F14" i="22"/>
  <c r="C15" i="22"/>
  <c r="E18" i="38"/>
  <c r="G18" i="38"/>
  <c r="F18" i="38"/>
  <c r="F11" i="29"/>
  <c r="N11" i="29" s="1"/>
  <c r="N11" i="35"/>
  <c r="G18" i="21"/>
  <c r="J18" i="21"/>
  <c r="E18" i="21"/>
  <c r="D18" i="21"/>
  <c r="F18" i="21"/>
  <c r="C19" i="21"/>
  <c r="N10" i="35"/>
  <c r="F10" i="29"/>
  <c r="N10" i="29" s="1"/>
  <c r="G14" i="27"/>
  <c r="F14" i="27"/>
  <c r="E14" i="27"/>
  <c r="D14" i="27"/>
  <c r="C15" i="27"/>
  <c r="O10" i="35"/>
  <c r="G10" i="29"/>
  <c r="O10" i="29" s="1"/>
  <c r="N13" i="35"/>
  <c r="F13" i="29"/>
  <c r="N13" i="29" s="1"/>
  <c r="F16" i="26"/>
  <c r="E16" i="26"/>
  <c r="D16" i="26"/>
  <c r="G16" i="26"/>
  <c r="J16" i="26"/>
  <c r="C17" i="26"/>
  <c r="G13" i="30"/>
  <c r="F13" i="30"/>
  <c r="E13" i="30"/>
  <c r="H13" i="30"/>
  <c r="D13" i="30"/>
  <c r="C14" i="30"/>
  <c r="G15" i="29"/>
  <c r="O15" i="29" s="1"/>
  <c r="O15" i="35"/>
  <c r="J16" i="24"/>
  <c r="G16" i="24"/>
  <c r="F16" i="24"/>
  <c r="E16" i="24"/>
  <c r="D16" i="24"/>
  <c r="C17" i="24"/>
  <c r="O14" i="35"/>
  <c r="G14" i="29"/>
  <c r="O14" i="29" s="1"/>
  <c r="N14" i="35"/>
  <c r="F14" i="29"/>
  <c r="N14" i="29" s="1"/>
  <c r="G13" i="29"/>
  <c r="O13" i="29" s="1"/>
  <c r="O13" i="35"/>
  <c r="Z83" i="25" l="1"/>
  <c r="AA82" i="25"/>
  <c r="AB82" i="25"/>
  <c r="U83" i="25"/>
  <c r="V82" i="25"/>
  <c r="W82" i="25"/>
  <c r="P18" i="33"/>
  <c r="Z44" i="35"/>
  <c r="X44" i="35"/>
  <c r="R18" i="33"/>
  <c r="N19" i="33"/>
  <c r="P19" i="33" s="1"/>
  <c r="C17" i="5"/>
  <c r="Q18" i="33"/>
  <c r="O46" i="39"/>
  <c r="N57" i="39"/>
  <c r="N56" i="39"/>
  <c r="C50" i="42"/>
  <c r="Y46" i="42"/>
  <c r="T46" i="39"/>
  <c r="C55" i="42"/>
  <c r="J46" i="42"/>
  <c r="C51" i="42"/>
  <c r="T46" i="42"/>
  <c r="C53" i="42"/>
  <c r="C52" i="42"/>
  <c r="O46" i="42"/>
  <c r="K60" i="40"/>
  <c r="C13" i="35" s="1"/>
  <c r="L60" i="40"/>
  <c r="D13" i="35" s="1"/>
  <c r="K57" i="40"/>
  <c r="C10" i="35" s="1"/>
  <c r="L57" i="40"/>
  <c r="D10" i="35" s="1"/>
  <c r="O21" i="33"/>
  <c r="J21" i="33"/>
  <c r="L19" i="33"/>
  <c r="M19" i="33" s="1"/>
  <c r="K19" i="33"/>
  <c r="D20" i="33"/>
  <c r="I20" i="33"/>
  <c r="AD46" i="39"/>
  <c r="C55" i="39"/>
  <c r="C52" i="39"/>
  <c r="Y46" i="39"/>
  <c r="C54" i="39"/>
  <c r="J46" i="39"/>
  <c r="C51" i="39"/>
  <c r="G20" i="33"/>
  <c r="H20" i="33" s="1"/>
  <c r="F20" i="33"/>
  <c r="D18" i="5" s="1"/>
  <c r="C21" i="33"/>
  <c r="B21" i="33"/>
  <c r="A22" i="33"/>
  <c r="E21" i="33"/>
  <c r="G19" i="21"/>
  <c r="J19" i="21"/>
  <c r="F19" i="21"/>
  <c r="D19" i="21"/>
  <c r="E19" i="21"/>
  <c r="C20" i="21"/>
  <c r="F15" i="34"/>
  <c r="E15" i="34"/>
  <c r="C20" i="38"/>
  <c r="H15" i="34"/>
  <c r="D15" i="34"/>
  <c r="C16" i="34"/>
  <c r="I15" i="34"/>
  <c r="D15" i="27"/>
  <c r="F15" i="27"/>
  <c r="G15" i="27"/>
  <c r="E15" i="27"/>
  <c r="C16" i="27"/>
  <c r="F19" i="38"/>
  <c r="G19" i="38"/>
  <c r="E19" i="38"/>
  <c r="D15" i="22"/>
  <c r="F15" i="22"/>
  <c r="E15" i="22"/>
  <c r="G15" i="22"/>
  <c r="C16" i="22"/>
  <c r="D17" i="26"/>
  <c r="J17" i="26"/>
  <c r="G17" i="26"/>
  <c r="F17" i="26"/>
  <c r="E17" i="26"/>
  <c r="C18" i="26"/>
  <c r="J17" i="24"/>
  <c r="G17" i="24"/>
  <c r="F17" i="24"/>
  <c r="E17" i="24"/>
  <c r="D17" i="24"/>
  <c r="C18" i="24"/>
  <c r="G14" i="30"/>
  <c r="E14" i="30"/>
  <c r="H14" i="30"/>
  <c r="F14" i="30"/>
  <c r="D14" i="30"/>
  <c r="C15" i="30"/>
  <c r="U84" i="25" l="1"/>
  <c r="V83" i="25"/>
  <c r="W83" i="25"/>
  <c r="Z84" i="25"/>
  <c r="AB83" i="25"/>
  <c r="AA83" i="25"/>
  <c r="S19" i="33"/>
  <c r="R19" i="33"/>
  <c r="Q19" i="33"/>
  <c r="N20" i="33"/>
  <c r="S20" i="33" s="1"/>
  <c r="C18" i="5"/>
  <c r="K62" i="40"/>
  <c r="C15" i="35" s="1"/>
  <c r="L62" i="40"/>
  <c r="D15" i="35" s="1"/>
  <c r="K61" i="40"/>
  <c r="C14" i="35" s="1"/>
  <c r="L61" i="40"/>
  <c r="D14" i="35" s="1"/>
  <c r="K59" i="40"/>
  <c r="C12" i="35" s="1"/>
  <c r="L59" i="40"/>
  <c r="D12" i="35" s="1"/>
  <c r="L58" i="40"/>
  <c r="D11" i="35" s="1"/>
  <c r="K58" i="40"/>
  <c r="C11" i="35" s="1"/>
  <c r="O22" i="33"/>
  <c r="J22" i="33"/>
  <c r="L20" i="33"/>
  <c r="M20" i="33" s="1"/>
  <c r="K20" i="33"/>
  <c r="D21" i="33"/>
  <c r="I21" i="33"/>
  <c r="G21" i="33"/>
  <c r="H21" i="33" s="1"/>
  <c r="F21" i="33"/>
  <c r="D19" i="5" s="1"/>
  <c r="C22" i="33"/>
  <c r="B22" i="33"/>
  <c r="A23" i="33"/>
  <c r="E22" i="33"/>
  <c r="E16" i="22"/>
  <c r="G16" i="22"/>
  <c r="D16" i="22"/>
  <c r="F16" i="22"/>
  <c r="C17" i="22"/>
  <c r="G20" i="21"/>
  <c r="D20" i="21"/>
  <c r="F20" i="21"/>
  <c r="E20" i="21"/>
  <c r="J20" i="21"/>
  <c r="C21" i="21"/>
  <c r="E18" i="26"/>
  <c r="J18" i="26"/>
  <c r="G18" i="26"/>
  <c r="F18" i="26"/>
  <c r="D18" i="26"/>
  <c r="C19" i="26"/>
  <c r="J18" i="24"/>
  <c r="G18" i="24"/>
  <c r="E18" i="24"/>
  <c r="F18" i="24"/>
  <c r="D18" i="24"/>
  <c r="C19" i="24"/>
  <c r="F16" i="27"/>
  <c r="E16" i="27"/>
  <c r="D16" i="27"/>
  <c r="G16" i="27"/>
  <c r="C17" i="27"/>
  <c r="F20" i="38"/>
  <c r="G20" i="38"/>
  <c r="E20" i="38"/>
  <c r="G15" i="30"/>
  <c r="D15" i="30"/>
  <c r="H15" i="30"/>
  <c r="F15" i="30"/>
  <c r="E15" i="30"/>
  <c r="C16" i="30"/>
  <c r="C21" i="38"/>
  <c r="E16" i="34"/>
  <c r="C17" i="34"/>
  <c r="I16" i="34"/>
  <c r="H16" i="34"/>
  <c r="F16" i="34"/>
  <c r="D16" i="34"/>
  <c r="Z85" i="25" l="1"/>
  <c r="AA84" i="25"/>
  <c r="AB84" i="25"/>
  <c r="U85" i="25"/>
  <c r="W84" i="25"/>
  <c r="V84" i="25"/>
  <c r="P20" i="33"/>
  <c r="R20" i="33"/>
  <c r="Q20" i="33"/>
  <c r="N21" i="33"/>
  <c r="S21" i="33" s="1"/>
  <c r="C19" i="5"/>
  <c r="J23" i="33"/>
  <c r="O23" i="33"/>
  <c r="L21" i="33"/>
  <c r="M21" i="33" s="1"/>
  <c r="K21" i="33"/>
  <c r="D22" i="33"/>
  <c r="I22" i="33"/>
  <c r="G22" i="33"/>
  <c r="H22" i="33" s="1"/>
  <c r="F22" i="33"/>
  <c r="D20" i="5" s="1"/>
  <c r="A24" i="33"/>
  <c r="C23" i="33"/>
  <c r="B23" i="33"/>
  <c r="E23" i="33"/>
  <c r="E21" i="38"/>
  <c r="G21" i="38"/>
  <c r="F21" i="38"/>
  <c r="G17" i="27"/>
  <c r="D17" i="27"/>
  <c r="F17" i="27"/>
  <c r="E17" i="27"/>
  <c r="C18" i="27"/>
  <c r="J19" i="24"/>
  <c r="G19" i="24"/>
  <c r="D19" i="24"/>
  <c r="F19" i="24"/>
  <c r="E19" i="24"/>
  <c r="C20" i="24"/>
  <c r="G21" i="21"/>
  <c r="E21" i="21"/>
  <c r="F21" i="21"/>
  <c r="D21" i="21"/>
  <c r="J21" i="21"/>
  <c r="C22" i="21"/>
  <c r="G17" i="22"/>
  <c r="F17" i="22"/>
  <c r="E17" i="22"/>
  <c r="D17" i="22"/>
  <c r="C18" i="22"/>
  <c r="G16" i="30"/>
  <c r="H16" i="30"/>
  <c r="F16" i="30"/>
  <c r="E16" i="30"/>
  <c r="D16" i="30"/>
  <c r="C17" i="30"/>
  <c r="F19" i="26"/>
  <c r="D19" i="26"/>
  <c r="G19" i="26"/>
  <c r="E19" i="26"/>
  <c r="J19" i="26"/>
  <c r="C20" i="26"/>
  <c r="C18" i="34"/>
  <c r="C22" i="38"/>
  <c r="H17" i="34"/>
  <c r="I17" i="34"/>
  <c r="D17" i="34"/>
  <c r="E17" i="34"/>
  <c r="F17" i="34"/>
  <c r="Z86" i="25" l="1"/>
  <c r="AA85" i="25"/>
  <c r="AB85" i="25"/>
  <c r="U86" i="25"/>
  <c r="V85" i="25"/>
  <c r="W85" i="25"/>
  <c r="P21" i="33"/>
  <c r="Q21" i="33"/>
  <c r="R21" i="33"/>
  <c r="N22" i="33"/>
  <c r="R22" i="33" s="1"/>
  <c r="C20" i="5"/>
  <c r="J24" i="33"/>
  <c r="O24" i="33"/>
  <c r="L22" i="33"/>
  <c r="M22" i="33" s="1"/>
  <c r="K22" i="33"/>
  <c r="D23" i="33"/>
  <c r="I23" i="33"/>
  <c r="A25" i="33"/>
  <c r="C24" i="33"/>
  <c r="B24" i="33"/>
  <c r="E24" i="33"/>
  <c r="G23" i="33"/>
  <c r="H23" i="33" s="1"/>
  <c r="F23" i="33"/>
  <c r="D21" i="5" s="1"/>
  <c r="J20" i="24"/>
  <c r="G20" i="24"/>
  <c r="F20" i="24"/>
  <c r="E20" i="24"/>
  <c r="D20" i="24"/>
  <c r="C21" i="24"/>
  <c r="E18" i="27"/>
  <c r="G18" i="27"/>
  <c r="F18" i="27"/>
  <c r="C19" i="27"/>
  <c r="D18" i="27"/>
  <c r="G20" i="26"/>
  <c r="E20" i="26"/>
  <c r="J20" i="26"/>
  <c r="F20" i="26"/>
  <c r="D20" i="26"/>
  <c r="C21" i="26"/>
  <c r="G17" i="30"/>
  <c r="F17" i="30"/>
  <c r="H17" i="30"/>
  <c r="D17" i="30"/>
  <c r="E17" i="30"/>
  <c r="C18" i="30"/>
  <c r="D18" i="22"/>
  <c r="F18" i="22"/>
  <c r="E18" i="22"/>
  <c r="G18" i="22"/>
  <c r="C19" i="22"/>
  <c r="G22" i="21"/>
  <c r="F22" i="21"/>
  <c r="D22" i="21"/>
  <c r="J22" i="21"/>
  <c r="E22" i="21"/>
  <c r="C23" i="21"/>
  <c r="G22" i="38"/>
  <c r="F22" i="38"/>
  <c r="E22" i="38"/>
  <c r="C23" i="38"/>
  <c r="I18" i="34"/>
  <c r="F18" i="34"/>
  <c r="E18" i="34"/>
  <c r="C19" i="34"/>
  <c r="D18" i="34"/>
  <c r="H18" i="34"/>
  <c r="U87" i="25" l="1"/>
  <c r="V86" i="25"/>
  <c r="W86" i="25"/>
  <c r="Z87" i="25"/>
  <c r="AA86" i="25"/>
  <c r="AB86" i="25"/>
  <c r="P22" i="33"/>
  <c r="S22" i="33"/>
  <c r="Q22" i="33"/>
  <c r="N23" i="33"/>
  <c r="P23" i="33" s="1"/>
  <c r="C21" i="5"/>
  <c r="J25" i="33"/>
  <c r="O25" i="33"/>
  <c r="L23" i="33"/>
  <c r="M23" i="33" s="1"/>
  <c r="K23" i="33"/>
  <c r="D24" i="33"/>
  <c r="I24" i="33"/>
  <c r="F24" i="33"/>
  <c r="D22" i="5" s="1"/>
  <c r="G24" i="33"/>
  <c r="H24" i="33" s="1"/>
  <c r="B25" i="33"/>
  <c r="A26" i="33"/>
  <c r="C25" i="33"/>
  <c r="E25" i="33"/>
  <c r="G19" i="22"/>
  <c r="E19" i="22"/>
  <c r="F19" i="22"/>
  <c r="D19" i="22"/>
  <c r="C20" i="22"/>
  <c r="G23" i="21"/>
  <c r="E23" i="21"/>
  <c r="J23" i="21"/>
  <c r="F23" i="21"/>
  <c r="D23" i="21"/>
  <c r="C24" i="21"/>
  <c r="D19" i="27"/>
  <c r="G19" i="27"/>
  <c r="F19" i="27"/>
  <c r="E19" i="27"/>
  <c r="C20" i="27"/>
  <c r="C24" i="38"/>
  <c r="H19" i="34"/>
  <c r="E19" i="34"/>
  <c r="D19" i="34"/>
  <c r="I19" i="34"/>
  <c r="C20" i="34"/>
  <c r="F19" i="34"/>
  <c r="J21" i="26"/>
  <c r="F21" i="26"/>
  <c r="E21" i="26"/>
  <c r="D21" i="26"/>
  <c r="G21" i="26"/>
  <c r="C22" i="26"/>
  <c r="J21" i="24"/>
  <c r="G21" i="24"/>
  <c r="F21" i="24"/>
  <c r="E21" i="24"/>
  <c r="D21" i="24"/>
  <c r="C22" i="24"/>
  <c r="E23" i="38"/>
  <c r="F23" i="38"/>
  <c r="G23" i="38"/>
  <c r="G18" i="30"/>
  <c r="E18" i="30"/>
  <c r="D18" i="30"/>
  <c r="F18" i="30"/>
  <c r="H18" i="30"/>
  <c r="C19" i="30"/>
  <c r="Z88" i="25" l="1"/>
  <c r="AB87" i="25"/>
  <c r="AA87" i="25"/>
  <c r="U88" i="25"/>
  <c r="W87" i="25"/>
  <c r="V87" i="25"/>
  <c r="S23" i="33"/>
  <c r="R23" i="33"/>
  <c r="Q23" i="33"/>
  <c r="N24" i="33"/>
  <c r="P24" i="33" s="1"/>
  <c r="C22" i="5"/>
  <c r="O26" i="33"/>
  <c r="J26" i="33"/>
  <c r="L24" i="33"/>
  <c r="M24" i="33" s="1"/>
  <c r="K24" i="33"/>
  <c r="D25" i="33"/>
  <c r="I25" i="33"/>
  <c r="F25" i="33"/>
  <c r="D23" i="5" s="1"/>
  <c r="G25" i="33"/>
  <c r="H25" i="33" s="1"/>
  <c r="C26" i="33"/>
  <c r="A27" i="33"/>
  <c r="B26" i="33"/>
  <c r="E26" i="33"/>
  <c r="G24" i="21"/>
  <c r="J24" i="21"/>
  <c r="F24" i="21"/>
  <c r="E24" i="21"/>
  <c r="D24" i="21"/>
  <c r="C25" i="21"/>
  <c r="G19" i="30"/>
  <c r="H19" i="30"/>
  <c r="D19" i="30"/>
  <c r="E19" i="30"/>
  <c r="F19" i="30"/>
  <c r="C20" i="30"/>
  <c r="G24" i="38"/>
  <c r="F24" i="38"/>
  <c r="E24" i="38"/>
  <c r="J22" i="24"/>
  <c r="G22" i="24"/>
  <c r="F22" i="24"/>
  <c r="E22" i="24"/>
  <c r="D22" i="24"/>
  <c r="C23" i="24"/>
  <c r="F20" i="27"/>
  <c r="C21" i="27"/>
  <c r="G20" i="27"/>
  <c r="E20" i="27"/>
  <c r="D20" i="27"/>
  <c r="G22" i="26"/>
  <c r="F22" i="26"/>
  <c r="E22" i="26"/>
  <c r="D22" i="26"/>
  <c r="J22" i="26"/>
  <c r="C23" i="26"/>
  <c r="H20" i="34"/>
  <c r="E20" i="34"/>
  <c r="I20" i="34"/>
  <c r="F20" i="34"/>
  <c r="C21" i="34"/>
  <c r="D20" i="34"/>
  <c r="C25" i="38"/>
  <c r="E20" i="22"/>
  <c r="F20" i="22"/>
  <c r="D20" i="22"/>
  <c r="G20" i="22"/>
  <c r="C21" i="22"/>
  <c r="U89" i="25" l="1"/>
  <c r="W88" i="25"/>
  <c r="V88" i="25"/>
  <c r="Z89" i="25"/>
  <c r="AA88" i="25"/>
  <c r="AB88" i="25"/>
  <c r="S24" i="33"/>
  <c r="R24" i="33"/>
  <c r="Q24" i="33"/>
  <c r="N25" i="33"/>
  <c r="P25" i="33" s="1"/>
  <c r="C23" i="5"/>
  <c r="J27" i="33"/>
  <c r="O27" i="33"/>
  <c r="L25" i="33"/>
  <c r="M25" i="33" s="1"/>
  <c r="K25" i="33"/>
  <c r="D26" i="33"/>
  <c r="I26" i="33"/>
  <c r="G26" i="33"/>
  <c r="H26" i="33" s="1"/>
  <c r="F26" i="33"/>
  <c r="D24" i="5" s="1"/>
  <c r="A28" i="33"/>
  <c r="C27" i="33"/>
  <c r="B27" i="33"/>
  <c r="E27" i="33"/>
  <c r="G25" i="21"/>
  <c r="J25" i="21"/>
  <c r="F25" i="21"/>
  <c r="D25" i="21"/>
  <c r="E25" i="21"/>
  <c r="C26" i="21"/>
  <c r="E25" i="38"/>
  <c r="F25" i="38"/>
  <c r="G25" i="38"/>
  <c r="E21" i="27"/>
  <c r="D21" i="27"/>
  <c r="F21" i="27"/>
  <c r="C22" i="27"/>
  <c r="G21" i="27"/>
  <c r="J23" i="24"/>
  <c r="G23" i="24"/>
  <c r="D23" i="24"/>
  <c r="F23" i="24"/>
  <c r="E23" i="24"/>
  <c r="C24" i="24"/>
  <c r="G20" i="30"/>
  <c r="H20" i="30"/>
  <c r="F20" i="30"/>
  <c r="E20" i="30"/>
  <c r="D20" i="30"/>
  <c r="C21" i="30"/>
  <c r="D21" i="34"/>
  <c r="H21" i="34"/>
  <c r="F21" i="34"/>
  <c r="C26" i="38"/>
  <c r="E21" i="34"/>
  <c r="C22" i="34"/>
  <c r="I21" i="34"/>
  <c r="J23" i="26"/>
  <c r="G23" i="26"/>
  <c r="F23" i="26"/>
  <c r="E23" i="26"/>
  <c r="D23" i="26"/>
  <c r="C24" i="26"/>
  <c r="G21" i="22"/>
  <c r="D21" i="22"/>
  <c r="F21" i="22"/>
  <c r="E21" i="22"/>
  <c r="C22" i="22"/>
  <c r="U90" i="25" l="1"/>
  <c r="W89" i="25"/>
  <c r="V89" i="25"/>
  <c r="Z90" i="25"/>
  <c r="AA89" i="25"/>
  <c r="AB89" i="25"/>
  <c r="S25" i="33"/>
  <c r="R25" i="33"/>
  <c r="Q25" i="33"/>
  <c r="N24" i="5"/>
  <c r="O24" i="5" s="1"/>
  <c r="X24" i="5"/>
  <c r="S24" i="5"/>
  <c r="T24" i="5" s="1"/>
  <c r="AA24" i="5"/>
  <c r="N26" i="33"/>
  <c r="Q26" i="33" s="1"/>
  <c r="C24" i="5"/>
  <c r="O28" i="33"/>
  <c r="J28" i="33"/>
  <c r="L26" i="33"/>
  <c r="M26" i="33" s="1"/>
  <c r="K26" i="33"/>
  <c r="D27" i="33"/>
  <c r="I27" i="33"/>
  <c r="F27" i="33"/>
  <c r="D25" i="5" s="1"/>
  <c r="G27" i="33"/>
  <c r="H27" i="33" s="1"/>
  <c r="A29" i="33"/>
  <c r="C28" i="33"/>
  <c r="B28" i="33"/>
  <c r="E28" i="33"/>
  <c r="G26" i="21"/>
  <c r="J26" i="21"/>
  <c r="F26" i="21"/>
  <c r="E26" i="21"/>
  <c r="D26" i="21"/>
  <c r="C27" i="21"/>
  <c r="I22" i="34"/>
  <c r="F22" i="34"/>
  <c r="C27" i="38"/>
  <c r="C23" i="34"/>
  <c r="H22" i="34"/>
  <c r="E22" i="34"/>
  <c r="D22" i="34"/>
  <c r="D24" i="26"/>
  <c r="G24" i="26"/>
  <c r="F24" i="26"/>
  <c r="J24" i="26"/>
  <c r="E24" i="26"/>
  <c r="C25" i="26"/>
  <c r="F26" i="38"/>
  <c r="E26" i="38"/>
  <c r="G26" i="38"/>
  <c r="G21" i="30"/>
  <c r="F21" i="30"/>
  <c r="E21" i="30"/>
  <c r="H21" i="30"/>
  <c r="D21" i="30"/>
  <c r="C22" i="30"/>
  <c r="G22" i="22"/>
  <c r="E22" i="22"/>
  <c r="F22" i="22"/>
  <c r="D22" i="22"/>
  <c r="C23" i="22"/>
  <c r="G22" i="27"/>
  <c r="F22" i="27"/>
  <c r="E22" i="27"/>
  <c r="C23" i="27"/>
  <c r="D22" i="27"/>
  <c r="J24" i="24"/>
  <c r="G24" i="24"/>
  <c r="F24" i="24"/>
  <c r="E24" i="24"/>
  <c r="D24" i="24"/>
  <c r="C25" i="24"/>
  <c r="Z91" i="25" l="1"/>
  <c r="AA90" i="25"/>
  <c r="AB90" i="25"/>
  <c r="U91" i="25"/>
  <c r="V90" i="25"/>
  <c r="W90" i="25"/>
  <c r="P26" i="33"/>
  <c r="S26" i="33"/>
  <c r="N27" i="33"/>
  <c r="P27" i="33" s="1"/>
  <c r="C25" i="5"/>
  <c r="Y24" i="5"/>
  <c r="Z24" i="5"/>
  <c r="R26" i="33"/>
  <c r="J29" i="33"/>
  <c r="O29" i="33"/>
  <c r="L27" i="33"/>
  <c r="M27" i="33" s="1"/>
  <c r="K27" i="33"/>
  <c r="D28" i="33"/>
  <c r="I28" i="33"/>
  <c r="G28" i="33"/>
  <c r="H28" i="33" s="1"/>
  <c r="F28" i="33"/>
  <c r="D26" i="5" s="1"/>
  <c r="B29" i="33"/>
  <c r="A30" i="33"/>
  <c r="C29" i="33"/>
  <c r="E29" i="33"/>
  <c r="D23" i="27"/>
  <c r="G23" i="27"/>
  <c r="F23" i="27"/>
  <c r="E23" i="27"/>
  <c r="C24" i="27"/>
  <c r="J25" i="24"/>
  <c r="G25" i="24"/>
  <c r="F25" i="24"/>
  <c r="E25" i="24"/>
  <c r="D25" i="24"/>
  <c r="C26" i="24"/>
  <c r="D25" i="26"/>
  <c r="G25" i="26"/>
  <c r="F25" i="26"/>
  <c r="E25" i="26"/>
  <c r="J25" i="26"/>
  <c r="C26" i="26"/>
  <c r="G27" i="21"/>
  <c r="F27" i="21"/>
  <c r="E27" i="21"/>
  <c r="D27" i="21"/>
  <c r="J27" i="21"/>
  <c r="C28" i="21"/>
  <c r="G22" i="30"/>
  <c r="E22" i="30"/>
  <c r="H22" i="30"/>
  <c r="F22" i="30"/>
  <c r="D22" i="30"/>
  <c r="C23" i="30"/>
  <c r="H23" i="34"/>
  <c r="E23" i="34"/>
  <c r="C24" i="34"/>
  <c r="F23" i="34"/>
  <c r="I23" i="34"/>
  <c r="D23" i="34"/>
  <c r="C28" i="38"/>
  <c r="G23" i="22"/>
  <c r="F23" i="22"/>
  <c r="D23" i="22"/>
  <c r="E23" i="22"/>
  <c r="C24" i="22"/>
  <c r="E27" i="38"/>
  <c r="G27" i="38"/>
  <c r="F27" i="38"/>
  <c r="U92" i="25" l="1"/>
  <c r="V91" i="25"/>
  <c r="W91" i="25"/>
  <c r="Z92" i="25"/>
  <c r="AB91" i="25"/>
  <c r="AA91" i="25"/>
  <c r="R27" i="33"/>
  <c r="S27" i="33"/>
  <c r="Q27" i="33"/>
  <c r="N28" i="33"/>
  <c r="P28" i="33" s="1"/>
  <c r="C26" i="5"/>
  <c r="J30" i="33"/>
  <c r="O30" i="33"/>
  <c r="L28" i="33"/>
  <c r="M28" i="33" s="1"/>
  <c r="K28" i="33"/>
  <c r="D29" i="33"/>
  <c r="I29" i="33"/>
  <c r="G29" i="33"/>
  <c r="H29" i="33" s="1"/>
  <c r="F29" i="33"/>
  <c r="D27" i="5" s="1"/>
  <c r="C30" i="33"/>
  <c r="B30" i="33"/>
  <c r="A31" i="33"/>
  <c r="E30" i="33"/>
  <c r="F24" i="34"/>
  <c r="C25" i="34"/>
  <c r="C29" i="38"/>
  <c r="E24" i="34"/>
  <c r="H24" i="34"/>
  <c r="D24" i="34"/>
  <c r="I24" i="34"/>
  <c r="G26" i="24"/>
  <c r="D26" i="24"/>
  <c r="J26" i="24"/>
  <c r="E26" i="24"/>
  <c r="F26" i="24"/>
  <c r="C27" i="24"/>
  <c r="G28" i="21"/>
  <c r="D28" i="21"/>
  <c r="J28" i="21"/>
  <c r="E28" i="21"/>
  <c r="F28" i="21"/>
  <c r="C29" i="21"/>
  <c r="G23" i="30"/>
  <c r="D23" i="30"/>
  <c r="H23" i="30"/>
  <c r="F23" i="30"/>
  <c r="E23" i="30"/>
  <c r="C24" i="30"/>
  <c r="F24" i="27"/>
  <c r="D24" i="27"/>
  <c r="G24" i="27"/>
  <c r="E24" i="27"/>
  <c r="C25" i="27"/>
  <c r="E28" i="38"/>
  <c r="G28" i="38"/>
  <c r="F28" i="38"/>
  <c r="E24" i="22"/>
  <c r="D24" i="22"/>
  <c r="G24" i="22"/>
  <c r="F24" i="22"/>
  <c r="C25" i="22"/>
  <c r="E26" i="26"/>
  <c r="J26" i="26"/>
  <c r="D26" i="26"/>
  <c r="G26" i="26"/>
  <c r="F26" i="26"/>
  <c r="C27" i="26"/>
  <c r="W92" i="25" l="1"/>
  <c r="V92" i="25"/>
  <c r="U93" i="25"/>
  <c r="AA92" i="25"/>
  <c r="AB92" i="25"/>
  <c r="Z93" i="25"/>
  <c r="S28" i="33"/>
  <c r="R28" i="33"/>
  <c r="Q28" i="33"/>
  <c r="N29" i="33"/>
  <c r="P29" i="33" s="1"/>
  <c r="C27" i="5"/>
  <c r="O31" i="33"/>
  <c r="J31" i="33"/>
  <c r="L29" i="33"/>
  <c r="M29" i="33" s="1"/>
  <c r="K29" i="33"/>
  <c r="D30" i="33"/>
  <c r="I30" i="33"/>
  <c r="A32" i="33"/>
  <c r="C31" i="33"/>
  <c r="B31" i="33"/>
  <c r="E31" i="33"/>
  <c r="G30" i="33"/>
  <c r="H30" i="33" s="1"/>
  <c r="F30" i="33"/>
  <c r="D28" i="5" s="1"/>
  <c r="G24" i="30"/>
  <c r="H24" i="30"/>
  <c r="F24" i="30"/>
  <c r="E24" i="30"/>
  <c r="D24" i="30"/>
  <c r="C25" i="30"/>
  <c r="G25" i="22"/>
  <c r="E25" i="22"/>
  <c r="D25" i="22"/>
  <c r="F25" i="22"/>
  <c r="C26" i="22"/>
  <c r="H25" i="34"/>
  <c r="C26" i="34"/>
  <c r="I25" i="34"/>
  <c r="D25" i="34"/>
  <c r="F25" i="34"/>
  <c r="C30" i="38"/>
  <c r="E25" i="34"/>
  <c r="G25" i="27"/>
  <c r="F25" i="27"/>
  <c r="E25" i="27"/>
  <c r="D25" i="27"/>
  <c r="C26" i="27"/>
  <c r="J27" i="24"/>
  <c r="E27" i="24"/>
  <c r="D27" i="24"/>
  <c r="G27" i="24"/>
  <c r="F27" i="24"/>
  <c r="C28" i="24"/>
  <c r="F27" i="26"/>
  <c r="D27" i="26"/>
  <c r="J27" i="26"/>
  <c r="E27" i="26"/>
  <c r="G27" i="26"/>
  <c r="C28" i="26"/>
  <c r="G29" i="21"/>
  <c r="E29" i="21"/>
  <c r="J29" i="21"/>
  <c r="D29" i="21"/>
  <c r="F29" i="21"/>
  <c r="C30" i="21"/>
  <c r="F29" i="38"/>
  <c r="G29" i="38"/>
  <c r="E29" i="38"/>
  <c r="V93" i="25" l="1"/>
  <c r="W93" i="25"/>
  <c r="U94" i="25"/>
  <c r="AB93" i="25"/>
  <c r="AA93" i="25"/>
  <c r="Z94" i="25"/>
  <c r="Q29" i="33"/>
  <c r="R29" i="33"/>
  <c r="S29" i="33"/>
  <c r="N30" i="33"/>
  <c r="P30" i="33" s="1"/>
  <c r="C28" i="5"/>
  <c r="J32" i="33"/>
  <c r="O32" i="33"/>
  <c r="L30" i="33"/>
  <c r="M30" i="33" s="1"/>
  <c r="K30" i="33"/>
  <c r="D31" i="33"/>
  <c r="I31" i="33"/>
  <c r="G31" i="33"/>
  <c r="H31" i="33" s="1"/>
  <c r="F31" i="33"/>
  <c r="D29" i="5" s="1"/>
  <c r="A33" i="33"/>
  <c r="C32" i="33"/>
  <c r="I32" i="33" s="1"/>
  <c r="B32" i="33"/>
  <c r="E32" i="33"/>
  <c r="E26" i="27"/>
  <c r="D26" i="27"/>
  <c r="G26" i="27"/>
  <c r="F26" i="27"/>
  <c r="C27" i="27"/>
  <c r="G25" i="30"/>
  <c r="F25" i="30"/>
  <c r="D25" i="30"/>
  <c r="H25" i="30"/>
  <c r="E25" i="30"/>
  <c r="C26" i="30"/>
  <c r="J28" i="24"/>
  <c r="G28" i="24"/>
  <c r="F28" i="24"/>
  <c r="E28" i="24"/>
  <c r="D28" i="24"/>
  <c r="C29" i="24"/>
  <c r="H26" i="34"/>
  <c r="E26" i="34"/>
  <c r="C27" i="34"/>
  <c r="C31" i="38"/>
  <c r="H31" i="38" s="1"/>
  <c r="D26" i="34"/>
  <c r="I26" i="34"/>
  <c r="F26" i="34"/>
  <c r="G28" i="26"/>
  <c r="E28" i="26"/>
  <c r="J28" i="26"/>
  <c r="F28" i="26"/>
  <c r="D28" i="26"/>
  <c r="C29" i="26"/>
  <c r="F26" i="22"/>
  <c r="E26" i="22"/>
  <c r="D26" i="22"/>
  <c r="G26" i="22"/>
  <c r="C27" i="22"/>
  <c r="G30" i="21"/>
  <c r="F30" i="21"/>
  <c r="D30" i="21"/>
  <c r="E30" i="21"/>
  <c r="J30" i="21"/>
  <c r="C31" i="21"/>
  <c r="G30" i="38"/>
  <c r="E30" i="38"/>
  <c r="F30" i="38"/>
  <c r="V94" i="25" l="1"/>
  <c r="W94" i="25"/>
  <c r="U95" i="25"/>
  <c r="C33" i="33"/>
  <c r="D33" i="33" s="1"/>
  <c r="C31" i="5" s="1"/>
  <c r="E33" i="33"/>
  <c r="AA94" i="25"/>
  <c r="AB94" i="25"/>
  <c r="Z95" i="25"/>
  <c r="Q30" i="33"/>
  <c r="R30" i="33"/>
  <c r="S30" i="33"/>
  <c r="N31" i="33"/>
  <c r="P31" i="33" s="1"/>
  <c r="C29" i="5"/>
  <c r="J33" i="33"/>
  <c r="O33" i="33"/>
  <c r="L31" i="33"/>
  <c r="M31" i="33" s="1"/>
  <c r="K31" i="33"/>
  <c r="D32" i="33"/>
  <c r="F32" i="33"/>
  <c r="G32" i="33"/>
  <c r="H32" i="33" s="1"/>
  <c r="B33" i="33"/>
  <c r="A34" i="33"/>
  <c r="K31" i="38"/>
  <c r="J31" i="38"/>
  <c r="J29" i="26"/>
  <c r="F29" i="26"/>
  <c r="G29" i="26"/>
  <c r="E29" i="26"/>
  <c r="D29" i="26"/>
  <c r="C30" i="26"/>
  <c r="G31" i="21"/>
  <c r="E31" i="21"/>
  <c r="J31" i="21"/>
  <c r="D31" i="21"/>
  <c r="F31" i="21"/>
  <c r="C32" i="21"/>
  <c r="F31" i="38"/>
  <c r="G31" i="38"/>
  <c r="E31" i="38"/>
  <c r="D27" i="27"/>
  <c r="E27" i="27"/>
  <c r="G27" i="27"/>
  <c r="F27" i="27"/>
  <c r="C28" i="27"/>
  <c r="H27" i="34"/>
  <c r="E27" i="34"/>
  <c r="F27" i="34"/>
  <c r="D27" i="34"/>
  <c r="C28" i="34"/>
  <c r="I27" i="34"/>
  <c r="C32" i="38"/>
  <c r="H32" i="38" s="1"/>
  <c r="E27" i="22"/>
  <c r="G27" i="22"/>
  <c r="F27" i="22"/>
  <c r="D27" i="22"/>
  <c r="C28" i="22"/>
  <c r="G26" i="30"/>
  <c r="E26" i="30"/>
  <c r="D26" i="30"/>
  <c r="F26" i="30"/>
  <c r="H26" i="30"/>
  <c r="C27" i="30"/>
  <c r="D29" i="24"/>
  <c r="F29" i="24"/>
  <c r="J29" i="24"/>
  <c r="G29" i="24"/>
  <c r="E29" i="24"/>
  <c r="C30" i="24"/>
  <c r="AA95" i="25" l="1"/>
  <c r="AB95" i="25"/>
  <c r="Z96" i="25"/>
  <c r="V95" i="25"/>
  <c r="W95" i="25"/>
  <c r="U96" i="25"/>
  <c r="F33" i="33"/>
  <c r="D31" i="5" s="1"/>
  <c r="G33" i="33"/>
  <c r="H33" i="33" s="1"/>
  <c r="S31" i="33"/>
  <c r="R31" i="33"/>
  <c r="Q31" i="33"/>
  <c r="N32" i="33"/>
  <c r="R32" i="33" s="1"/>
  <c r="C30" i="5"/>
  <c r="N33" i="33"/>
  <c r="D30" i="5"/>
  <c r="J34" i="33"/>
  <c r="O34" i="33"/>
  <c r="L32" i="33"/>
  <c r="M32" i="33" s="1"/>
  <c r="K32" i="33"/>
  <c r="I33" i="33"/>
  <c r="C34" i="33"/>
  <c r="A35" i="33"/>
  <c r="B34" i="33"/>
  <c r="E34" i="33"/>
  <c r="K32" i="38"/>
  <c r="J32" i="38"/>
  <c r="G27" i="30"/>
  <c r="H27" i="30"/>
  <c r="D27" i="30"/>
  <c r="E27" i="30"/>
  <c r="F27" i="30"/>
  <c r="C28" i="30"/>
  <c r="E28" i="22"/>
  <c r="F28" i="22"/>
  <c r="G28" i="22"/>
  <c r="D28" i="22"/>
  <c r="C29" i="22"/>
  <c r="E30" i="24"/>
  <c r="F30" i="24"/>
  <c r="D30" i="24"/>
  <c r="J30" i="24"/>
  <c r="G30" i="24"/>
  <c r="C31" i="24"/>
  <c r="F28" i="27"/>
  <c r="G28" i="27"/>
  <c r="E28" i="27"/>
  <c r="D28" i="27"/>
  <c r="C29" i="27"/>
  <c r="G30" i="26"/>
  <c r="D30" i="26"/>
  <c r="J30" i="26"/>
  <c r="F30" i="26"/>
  <c r="E30" i="26"/>
  <c r="C31" i="26"/>
  <c r="G32" i="21"/>
  <c r="J32" i="21"/>
  <c r="F32" i="21"/>
  <c r="E32" i="21"/>
  <c r="D32" i="21"/>
  <c r="C33" i="21"/>
  <c r="F32" i="38"/>
  <c r="G32" i="38"/>
  <c r="E32" i="38"/>
  <c r="H28" i="34"/>
  <c r="C33" i="38"/>
  <c r="H33" i="38" s="1"/>
  <c r="F28" i="34"/>
  <c r="D28" i="34"/>
  <c r="C29" i="34"/>
  <c r="E28" i="34"/>
  <c r="I28" i="34"/>
  <c r="AA96" i="25" l="1"/>
  <c r="AB96" i="25"/>
  <c r="Z97" i="25"/>
  <c r="W96" i="25"/>
  <c r="V96" i="25"/>
  <c r="U97" i="25"/>
  <c r="P32" i="33"/>
  <c r="Q32" i="33"/>
  <c r="S32" i="33"/>
  <c r="P33" i="33"/>
  <c r="S33" i="33"/>
  <c r="Q33" i="33"/>
  <c r="O35" i="33"/>
  <c r="J35" i="33"/>
  <c r="R33" i="33"/>
  <c r="L33" i="33"/>
  <c r="M33" i="33" s="1"/>
  <c r="K33" i="33"/>
  <c r="D34" i="33"/>
  <c r="I34" i="33"/>
  <c r="G34" i="33"/>
  <c r="H34" i="33" s="1"/>
  <c r="F34" i="33"/>
  <c r="D32" i="5" s="1"/>
  <c r="A36" i="33"/>
  <c r="C35" i="33"/>
  <c r="B35" i="33"/>
  <c r="E35" i="33"/>
  <c r="J33" i="38"/>
  <c r="K33" i="38"/>
  <c r="F33" i="38"/>
  <c r="E33" i="38"/>
  <c r="G33" i="38"/>
  <c r="G28" i="30"/>
  <c r="H28" i="30"/>
  <c r="E28" i="30"/>
  <c r="D28" i="30"/>
  <c r="F28" i="30"/>
  <c r="C29" i="30"/>
  <c r="G29" i="27"/>
  <c r="F29" i="27"/>
  <c r="E29" i="27"/>
  <c r="D29" i="27"/>
  <c r="C30" i="27"/>
  <c r="J31" i="26"/>
  <c r="G31" i="26"/>
  <c r="F31" i="26"/>
  <c r="E31" i="26"/>
  <c r="D31" i="26"/>
  <c r="C32" i="26"/>
  <c r="G29" i="22"/>
  <c r="F29" i="22"/>
  <c r="E29" i="22"/>
  <c r="D29" i="22"/>
  <c r="C30" i="22"/>
  <c r="D29" i="34"/>
  <c r="H29" i="34"/>
  <c r="F29" i="34"/>
  <c r="C34" i="38"/>
  <c r="H34" i="38" s="1"/>
  <c r="I29" i="34"/>
  <c r="C30" i="34"/>
  <c r="E29" i="34"/>
  <c r="G33" i="21"/>
  <c r="J33" i="21"/>
  <c r="F33" i="21"/>
  <c r="E33" i="21"/>
  <c r="D33" i="21"/>
  <c r="C34" i="21"/>
  <c r="F31" i="24"/>
  <c r="D31" i="24"/>
  <c r="J31" i="24"/>
  <c r="G31" i="24"/>
  <c r="E31" i="24"/>
  <c r="C32" i="24"/>
  <c r="W97" i="25" l="1"/>
  <c r="V97" i="25"/>
  <c r="U98" i="25"/>
  <c r="AB97" i="25"/>
  <c r="AA97" i="25"/>
  <c r="Z98" i="25"/>
  <c r="N34" i="33"/>
  <c r="P34" i="33" s="1"/>
  <c r="C32" i="5"/>
  <c r="J36" i="33"/>
  <c r="O36" i="33"/>
  <c r="L34" i="33"/>
  <c r="M34" i="33" s="1"/>
  <c r="K34" i="33"/>
  <c r="D35" i="33"/>
  <c r="I35" i="33"/>
  <c r="F35" i="33"/>
  <c r="D33" i="5" s="1"/>
  <c r="G35" i="33"/>
  <c r="H35" i="33" s="1"/>
  <c r="A37" i="33"/>
  <c r="C36" i="33"/>
  <c r="B36" i="33"/>
  <c r="E36" i="33"/>
  <c r="J34" i="38"/>
  <c r="K34" i="38"/>
  <c r="C31" i="34"/>
  <c r="D30" i="34"/>
  <c r="H30" i="34"/>
  <c r="I30" i="34"/>
  <c r="F30" i="34"/>
  <c r="C35" i="38"/>
  <c r="H35" i="38" s="1"/>
  <c r="E30" i="34"/>
  <c r="F34" i="38"/>
  <c r="E34" i="38"/>
  <c r="G34" i="38"/>
  <c r="G32" i="24"/>
  <c r="E32" i="24"/>
  <c r="J32" i="24"/>
  <c r="F32" i="24"/>
  <c r="D32" i="24"/>
  <c r="C33" i="24"/>
  <c r="G34" i="21"/>
  <c r="J34" i="21"/>
  <c r="E34" i="21"/>
  <c r="F34" i="21"/>
  <c r="D34" i="21"/>
  <c r="C35" i="21"/>
  <c r="E30" i="27"/>
  <c r="G30" i="27"/>
  <c r="D30" i="27"/>
  <c r="F30" i="27"/>
  <c r="C31" i="27"/>
  <c r="J32" i="26"/>
  <c r="F32" i="26"/>
  <c r="E32" i="26"/>
  <c r="D32" i="26"/>
  <c r="G32" i="26"/>
  <c r="C33" i="26"/>
  <c r="E30" i="22"/>
  <c r="G30" i="22"/>
  <c r="F30" i="22"/>
  <c r="D30" i="22"/>
  <c r="C31" i="22"/>
  <c r="G29" i="30"/>
  <c r="F29" i="30"/>
  <c r="E29" i="30"/>
  <c r="H29" i="30"/>
  <c r="D29" i="30"/>
  <c r="C30" i="30"/>
  <c r="AA98" i="25" l="1"/>
  <c r="AB98" i="25"/>
  <c r="Z99" i="25"/>
  <c r="V98" i="25"/>
  <c r="W98" i="25"/>
  <c r="U99" i="25"/>
  <c r="S34" i="33"/>
  <c r="R34" i="33"/>
  <c r="Q34" i="33"/>
  <c r="N35" i="33"/>
  <c r="P35" i="33" s="1"/>
  <c r="C33" i="5"/>
  <c r="S22" i="5"/>
  <c r="T22" i="5" s="1"/>
  <c r="J37" i="33"/>
  <c r="O37" i="33"/>
  <c r="L35" i="33"/>
  <c r="M35" i="33" s="1"/>
  <c r="K35" i="33"/>
  <c r="D36" i="33"/>
  <c r="C34" i="5" s="1"/>
  <c r="I36" i="33"/>
  <c r="G36" i="33"/>
  <c r="H36" i="33" s="1"/>
  <c r="F36" i="33"/>
  <c r="D34" i="5" s="1"/>
  <c r="B37" i="33"/>
  <c r="A38" i="33"/>
  <c r="C37" i="33"/>
  <c r="E37" i="33"/>
  <c r="J35" i="38"/>
  <c r="K35" i="38"/>
  <c r="D31" i="27"/>
  <c r="F31" i="27"/>
  <c r="E31" i="27"/>
  <c r="G31" i="27"/>
  <c r="C32" i="27"/>
  <c r="D33" i="26"/>
  <c r="G33" i="26"/>
  <c r="F33" i="26"/>
  <c r="E33" i="26"/>
  <c r="J33" i="26"/>
  <c r="C34" i="26"/>
  <c r="J33" i="24"/>
  <c r="F33" i="24"/>
  <c r="E33" i="24"/>
  <c r="D33" i="24"/>
  <c r="G33" i="24"/>
  <c r="C34" i="24"/>
  <c r="E31" i="34"/>
  <c r="D31" i="34"/>
  <c r="C32" i="34"/>
  <c r="C36" i="38"/>
  <c r="H36" i="38" s="1"/>
  <c r="F31" i="34"/>
  <c r="I31" i="34"/>
  <c r="H31" i="34"/>
  <c r="F31" i="22"/>
  <c r="G31" i="22"/>
  <c r="E31" i="22"/>
  <c r="D31" i="22"/>
  <c r="C32" i="22"/>
  <c r="G35" i="21"/>
  <c r="F35" i="21"/>
  <c r="E35" i="21"/>
  <c r="J35" i="21"/>
  <c r="D35" i="21"/>
  <c r="C36" i="21"/>
  <c r="F35" i="38"/>
  <c r="E35" i="38"/>
  <c r="G35" i="38"/>
  <c r="G30" i="30"/>
  <c r="E30" i="30"/>
  <c r="H30" i="30"/>
  <c r="F30" i="30"/>
  <c r="D30" i="30"/>
  <c r="C31" i="30"/>
  <c r="W99" i="25" l="1"/>
  <c r="V99" i="25"/>
  <c r="U100" i="25"/>
  <c r="AB99" i="25"/>
  <c r="AA99" i="25"/>
  <c r="Z100" i="25"/>
  <c r="S35" i="33"/>
  <c r="R35" i="33"/>
  <c r="Q35" i="33"/>
  <c r="Y23" i="5"/>
  <c r="N36" i="33"/>
  <c r="R36" i="33" s="1"/>
  <c r="Z21" i="5"/>
  <c r="Y21" i="5"/>
  <c r="AA22" i="5"/>
  <c r="N22" i="5"/>
  <c r="O22" i="5" s="1"/>
  <c r="X19" i="5"/>
  <c r="S19" i="5"/>
  <c r="T19" i="5" s="1"/>
  <c r="AA19" i="5"/>
  <c r="N19" i="5"/>
  <c r="O19" i="5" s="1"/>
  <c r="X22" i="5"/>
  <c r="Z22" i="5"/>
  <c r="S18" i="5"/>
  <c r="T18" i="5" s="1"/>
  <c r="N18" i="5"/>
  <c r="O18" i="5" s="1"/>
  <c r="AA18" i="5"/>
  <c r="X18" i="5"/>
  <c r="Y20" i="5"/>
  <c r="Z20" i="5"/>
  <c r="AA23" i="5"/>
  <c r="Z23" i="5"/>
  <c r="J38" i="33"/>
  <c r="O38" i="33"/>
  <c r="L36" i="33"/>
  <c r="M36" i="33" s="1"/>
  <c r="K36" i="33"/>
  <c r="D37" i="33"/>
  <c r="I37" i="33"/>
  <c r="F37" i="33"/>
  <c r="D35" i="5" s="1"/>
  <c r="N35" i="5" s="1"/>
  <c r="G37" i="33"/>
  <c r="H37" i="33" s="1"/>
  <c r="C38" i="33"/>
  <c r="B38" i="33"/>
  <c r="K36" i="38"/>
  <c r="J36" i="38"/>
  <c r="E32" i="22"/>
  <c r="G32" i="22"/>
  <c r="F32" i="22"/>
  <c r="D32" i="22"/>
  <c r="C33" i="22"/>
  <c r="G36" i="38"/>
  <c r="F36" i="38"/>
  <c r="E36" i="38"/>
  <c r="F32" i="27"/>
  <c r="D32" i="27"/>
  <c r="E32" i="27"/>
  <c r="G32" i="27"/>
  <c r="C33" i="27"/>
  <c r="G31" i="30"/>
  <c r="D31" i="30"/>
  <c r="H31" i="30"/>
  <c r="F31" i="30"/>
  <c r="E31" i="30"/>
  <c r="C32" i="30"/>
  <c r="C37" i="38"/>
  <c r="H37" i="38" s="1"/>
  <c r="I32" i="34"/>
  <c r="H32" i="34"/>
  <c r="F32" i="34"/>
  <c r="E32" i="34"/>
  <c r="D32" i="34"/>
  <c r="C33" i="34"/>
  <c r="G36" i="21"/>
  <c r="D36" i="21"/>
  <c r="J36" i="21"/>
  <c r="F36" i="21"/>
  <c r="E36" i="21"/>
  <c r="C37" i="21"/>
  <c r="E34" i="26"/>
  <c r="D34" i="26"/>
  <c r="J34" i="26"/>
  <c r="G34" i="26"/>
  <c r="F34" i="26"/>
  <c r="C35" i="26"/>
  <c r="G34" i="24"/>
  <c r="J34" i="24"/>
  <c r="F34" i="24"/>
  <c r="E34" i="24"/>
  <c r="D34" i="24"/>
  <c r="C35" i="24"/>
  <c r="W100" i="25" l="1"/>
  <c r="V100" i="25"/>
  <c r="U101" i="25"/>
  <c r="AA100" i="25"/>
  <c r="AB100" i="25"/>
  <c r="Z101" i="25"/>
  <c r="N37" i="33"/>
  <c r="Q37" i="33" s="1"/>
  <c r="C35" i="5"/>
  <c r="P36" i="33"/>
  <c r="Q36" i="33"/>
  <c r="S36" i="33"/>
  <c r="I38" i="33"/>
  <c r="C46" i="33" s="1"/>
  <c r="B25" i="35" s="1"/>
  <c r="Y22" i="5"/>
  <c r="X23" i="5"/>
  <c r="S23" i="5"/>
  <c r="T23" i="5" s="1"/>
  <c r="N23" i="5"/>
  <c r="O23" i="5" s="1"/>
  <c r="AA21" i="5"/>
  <c r="X21" i="5"/>
  <c r="N21" i="5"/>
  <c r="O21" i="5" s="1"/>
  <c r="S21" i="5"/>
  <c r="T21" i="5" s="1"/>
  <c r="AA20" i="5"/>
  <c r="S20" i="5"/>
  <c r="T20" i="5" s="1"/>
  <c r="N20" i="5"/>
  <c r="O20" i="5" s="1"/>
  <c r="X20" i="5"/>
  <c r="L37" i="33"/>
  <c r="M37" i="33" s="1"/>
  <c r="K37" i="33"/>
  <c r="D38" i="33"/>
  <c r="N38" i="33" s="1"/>
  <c r="S38" i="33" s="1"/>
  <c r="C47" i="33" s="1"/>
  <c r="K37" i="38"/>
  <c r="J37" i="38"/>
  <c r="G37" i="21"/>
  <c r="E37" i="21"/>
  <c r="D37" i="21"/>
  <c r="F37" i="21"/>
  <c r="J37" i="21"/>
  <c r="C38" i="21"/>
  <c r="F35" i="26"/>
  <c r="E35" i="26"/>
  <c r="D35" i="26"/>
  <c r="G35" i="26"/>
  <c r="J35" i="26"/>
  <c r="C36" i="26"/>
  <c r="E33" i="27"/>
  <c r="D33" i="27"/>
  <c r="G33" i="27"/>
  <c r="F33" i="27"/>
  <c r="C34" i="27"/>
  <c r="G33" i="22"/>
  <c r="E33" i="22"/>
  <c r="F33" i="22"/>
  <c r="D33" i="22"/>
  <c r="C34" i="22"/>
  <c r="J35" i="24"/>
  <c r="G35" i="24"/>
  <c r="F35" i="24"/>
  <c r="E35" i="24"/>
  <c r="D35" i="24"/>
  <c r="C36" i="24"/>
  <c r="G37" i="38"/>
  <c r="E37" i="38"/>
  <c r="F37" i="38"/>
  <c r="G32" i="30"/>
  <c r="H32" i="30"/>
  <c r="F32" i="30"/>
  <c r="E32" i="30"/>
  <c r="D32" i="30"/>
  <c r="C33" i="30"/>
  <c r="C34" i="34"/>
  <c r="F33" i="34"/>
  <c r="E33" i="34"/>
  <c r="D33" i="34"/>
  <c r="I33" i="34"/>
  <c r="C38" i="38"/>
  <c r="H38" i="38" s="1"/>
  <c r="H33" i="34"/>
  <c r="P37" i="33" l="1"/>
  <c r="S37" i="33"/>
  <c r="N35" i="41" s="1"/>
  <c r="S35" i="41" s="1"/>
  <c r="AA101" i="25"/>
  <c r="AB101" i="25"/>
  <c r="Z102" i="25"/>
  <c r="R37" i="33"/>
  <c r="R42" i="33" s="1"/>
  <c r="W101" i="25"/>
  <c r="V101" i="25"/>
  <c r="U102" i="25"/>
  <c r="M41" i="33"/>
  <c r="M42" i="33"/>
  <c r="J25" i="35"/>
  <c r="N12" i="41"/>
  <c r="N23" i="41"/>
  <c r="B26" i="41"/>
  <c r="N25" i="41"/>
  <c r="B23" i="41"/>
  <c r="B34" i="41"/>
  <c r="N27" i="41"/>
  <c r="B21" i="41"/>
  <c r="B31" i="41"/>
  <c r="B22" i="41"/>
  <c r="B29" i="41"/>
  <c r="N33" i="41"/>
  <c r="N17" i="41"/>
  <c r="B17" i="41"/>
  <c r="N15" i="41"/>
  <c r="B13" i="41"/>
  <c r="B32" i="41"/>
  <c r="B30" i="41"/>
  <c r="B28" i="41"/>
  <c r="N24" i="41"/>
  <c r="N29" i="41"/>
  <c r="B14" i="41"/>
  <c r="B20" i="41"/>
  <c r="B33" i="41"/>
  <c r="N14" i="41"/>
  <c r="N16" i="41"/>
  <c r="B16" i="41"/>
  <c r="N30" i="41"/>
  <c r="N20" i="41"/>
  <c r="N18" i="41"/>
  <c r="N32" i="41"/>
  <c r="N26" i="41"/>
  <c r="N13" i="41"/>
  <c r="B35" i="41"/>
  <c r="H35" i="41" s="1"/>
  <c r="N19" i="41"/>
  <c r="B19" i="41"/>
  <c r="B12" i="41"/>
  <c r="B24" i="41"/>
  <c r="B18" i="41"/>
  <c r="N22" i="41"/>
  <c r="B15" i="41"/>
  <c r="N28" i="41"/>
  <c r="N31" i="41"/>
  <c r="N34" i="41"/>
  <c r="B25" i="41"/>
  <c r="B27" i="41"/>
  <c r="N21" i="41"/>
  <c r="C37" i="5"/>
  <c r="Y37" i="5" s="1"/>
  <c r="D9" i="5"/>
  <c r="N28" i="5"/>
  <c r="J38" i="38"/>
  <c r="K38" i="38"/>
  <c r="G36" i="24"/>
  <c r="J36" i="24"/>
  <c r="F36" i="24"/>
  <c r="E36" i="24"/>
  <c r="D36" i="24"/>
  <c r="C37" i="24"/>
  <c r="E38" i="38"/>
  <c r="G38" i="38"/>
  <c r="F38" i="38"/>
  <c r="E34" i="34"/>
  <c r="C35" i="34"/>
  <c r="D34" i="34"/>
  <c r="C39" i="38"/>
  <c r="H39" i="38" s="1"/>
  <c r="I34" i="34"/>
  <c r="F34" i="34"/>
  <c r="H34" i="34"/>
  <c r="F34" i="22"/>
  <c r="G34" i="22"/>
  <c r="E34" i="22"/>
  <c r="D34" i="22"/>
  <c r="C35" i="22"/>
  <c r="G38" i="21"/>
  <c r="F38" i="21"/>
  <c r="E38" i="21"/>
  <c r="D38" i="21"/>
  <c r="J38" i="21"/>
  <c r="C39" i="21"/>
  <c r="G33" i="30"/>
  <c r="F33" i="30"/>
  <c r="D33" i="30"/>
  <c r="E33" i="30"/>
  <c r="H33" i="30"/>
  <c r="C34" i="30"/>
  <c r="G36" i="26"/>
  <c r="F36" i="26"/>
  <c r="E36" i="26"/>
  <c r="J36" i="26"/>
  <c r="D36" i="26"/>
  <c r="B19" i="29"/>
  <c r="C37" i="26"/>
  <c r="G34" i="27"/>
  <c r="F34" i="27"/>
  <c r="E34" i="27"/>
  <c r="D34" i="27"/>
  <c r="C35" i="27"/>
  <c r="R41" i="33" l="1"/>
  <c r="V102" i="25"/>
  <c r="W102" i="25"/>
  <c r="AA102" i="25"/>
  <c r="Z103" i="25"/>
  <c r="AB102" i="25"/>
  <c r="X100" i="25"/>
  <c r="E19" i="41"/>
  <c r="D19" i="41"/>
  <c r="O17" i="41"/>
  <c r="P17" i="41"/>
  <c r="S31" i="41"/>
  <c r="O31" i="41"/>
  <c r="P31" i="41"/>
  <c r="P19" i="41"/>
  <c r="O19" i="41"/>
  <c r="E16" i="41"/>
  <c r="D16" i="41"/>
  <c r="H28" i="41"/>
  <c r="D28" i="41"/>
  <c r="E28" i="41"/>
  <c r="S33" i="41"/>
  <c r="O33" i="41"/>
  <c r="P33" i="41"/>
  <c r="S25" i="41"/>
  <c r="O25" i="41"/>
  <c r="P25" i="41"/>
  <c r="Z19" i="5"/>
  <c r="Y19" i="5"/>
  <c r="S28" i="41"/>
  <c r="O28" i="41"/>
  <c r="P28" i="41"/>
  <c r="O16" i="41"/>
  <c r="P16" i="41"/>
  <c r="H30" i="41"/>
  <c r="D30" i="41"/>
  <c r="E30" i="41"/>
  <c r="H29" i="41"/>
  <c r="D29" i="41"/>
  <c r="E29" i="41"/>
  <c r="H26" i="41"/>
  <c r="E26" i="41"/>
  <c r="D26" i="41"/>
  <c r="P24" i="41"/>
  <c r="O24" i="41"/>
  <c r="O13" i="41"/>
  <c r="P13" i="41"/>
  <c r="H32" i="41"/>
  <c r="E32" i="41"/>
  <c r="D32" i="41"/>
  <c r="P22" i="41"/>
  <c r="O22" i="41"/>
  <c r="P12" i="41"/>
  <c r="O12" i="41"/>
  <c r="P21" i="41"/>
  <c r="O21" i="41"/>
  <c r="E18" i="41"/>
  <c r="D18" i="41"/>
  <c r="S32" i="41"/>
  <c r="O32" i="41"/>
  <c r="P32" i="41"/>
  <c r="D20" i="41"/>
  <c r="E20" i="41"/>
  <c r="O15" i="41"/>
  <c r="P15" i="41"/>
  <c r="D21" i="41"/>
  <c r="E21" i="41"/>
  <c r="S30" i="41"/>
  <c r="P30" i="41"/>
  <c r="O30" i="41"/>
  <c r="E15" i="41"/>
  <c r="D15" i="41"/>
  <c r="O23" i="41"/>
  <c r="P23" i="41"/>
  <c r="B26" i="35"/>
  <c r="H33" i="41"/>
  <c r="D33" i="41"/>
  <c r="E33" i="41"/>
  <c r="E13" i="41"/>
  <c r="D13" i="41"/>
  <c r="H27" i="41"/>
  <c r="D27" i="41"/>
  <c r="E27" i="41"/>
  <c r="D24" i="41"/>
  <c r="E24" i="41"/>
  <c r="O18" i="41"/>
  <c r="P18" i="41"/>
  <c r="E14" i="41"/>
  <c r="D14" i="41"/>
  <c r="S27" i="41"/>
  <c r="O27" i="41"/>
  <c r="P27" i="41"/>
  <c r="S34" i="41"/>
  <c r="O34" i="41"/>
  <c r="P34" i="41"/>
  <c r="E23" i="41"/>
  <c r="D23" i="41"/>
  <c r="X15" i="5"/>
  <c r="S15" i="5"/>
  <c r="T15" i="5" s="1"/>
  <c r="N15" i="5"/>
  <c r="O15" i="5" s="1"/>
  <c r="AA15" i="5"/>
  <c r="P14" i="41"/>
  <c r="O14" i="41"/>
  <c r="E22" i="41"/>
  <c r="D22" i="41"/>
  <c r="S26" i="41"/>
  <c r="O26" i="41"/>
  <c r="P26" i="41"/>
  <c r="H31" i="41"/>
  <c r="E31" i="41"/>
  <c r="D31" i="41"/>
  <c r="H25" i="41"/>
  <c r="D25" i="41"/>
  <c r="E25" i="41"/>
  <c r="D12" i="41"/>
  <c r="E12" i="41"/>
  <c r="O20" i="41"/>
  <c r="P20" i="41"/>
  <c r="S29" i="41"/>
  <c r="O29" i="41"/>
  <c r="P29" i="41"/>
  <c r="E17" i="41"/>
  <c r="D17" i="41"/>
  <c r="H34" i="41"/>
  <c r="E34" i="41"/>
  <c r="D34" i="41"/>
  <c r="Z28" i="5"/>
  <c r="Y28" i="5"/>
  <c r="X17" i="5"/>
  <c r="S17" i="5"/>
  <c r="T17" i="5" s="1"/>
  <c r="N17" i="5"/>
  <c r="O17" i="5" s="1"/>
  <c r="AA17" i="5"/>
  <c r="O28" i="5"/>
  <c r="S28" i="5"/>
  <c r="T28" i="5" s="1"/>
  <c r="AA28" i="5"/>
  <c r="X28" i="5"/>
  <c r="S33" i="5"/>
  <c r="T33" i="5" s="1"/>
  <c r="N33" i="5"/>
  <c r="O33" i="5" s="1"/>
  <c r="AA33" i="5"/>
  <c r="X33" i="5"/>
  <c r="Y29" i="5"/>
  <c r="Z29" i="5"/>
  <c r="Y26" i="5"/>
  <c r="Z26" i="5"/>
  <c r="Z35" i="5"/>
  <c r="Y35" i="5"/>
  <c r="Z14" i="5"/>
  <c r="Y14" i="5"/>
  <c r="S35" i="5"/>
  <c r="T35" i="5" s="1"/>
  <c r="X35" i="5"/>
  <c r="O35" i="5"/>
  <c r="AA35" i="5"/>
  <c r="S10" i="5"/>
  <c r="T10" i="5" s="1"/>
  <c r="X10" i="5"/>
  <c r="N10" i="5"/>
  <c r="O10" i="5" s="1"/>
  <c r="AA10" i="5"/>
  <c r="Y30" i="5"/>
  <c r="Z30" i="5"/>
  <c r="Y10" i="5"/>
  <c r="Z10" i="5"/>
  <c r="S13" i="5"/>
  <c r="T13" i="5" s="1"/>
  <c r="X13" i="5"/>
  <c r="AA13" i="5"/>
  <c r="N13" i="5"/>
  <c r="O13" i="5" s="1"/>
  <c r="AA30" i="5"/>
  <c r="N30" i="5"/>
  <c r="O30" i="5" s="1"/>
  <c r="X30" i="5"/>
  <c r="S30" i="5"/>
  <c r="T30" i="5" s="1"/>
  <c r="S16" i="5"/>
  <c r="T16" i="5" s="1"/>
  <c r="X16" i="5"/>
  <c r="N16" i="5"/>
  <c r="O16" i="5" s="1"/>
  <c r="AA16" i="5"/>
  <c r="Z15" i="5"/>
  <c r="Y15" i="5"/>
  <c r="X11" i="5"/>
  <c r="S11" i="5"/>
  <c r="T11" i="5" s="1"/>
  <c r="N11" i="5"/>
  <c r="O11" i="5" s="1"/>
  <c r="AA11" i="5"/>
  <c r="Y18" i="5"/>
  <c r="Z18" i="5"/>
  <c r="Z13" i="5"/>
  <c r="Y13" i="5"/>
  <c r="Z31" i="5"/>
  <c r="Y31" i="5"/>
  <c r="Z25" i="5"/>
  <c r="Y25" i="5"/>
  <c r="X26" i="5"/>
  <c r="AA26" i="5"/>
  <c r="S26" i="5"/>
  <c r="T26" i="5" s="1"/>
  <c r="N26" i="5"/>
  <c r="O26" i="5" s="1"/>
  <c r="Z34" i="5"/>
  <c r="Y34" i="5"/>
  <c r="S34" i="5"/>
  <c r="T34" i="5" s="1"/>
  <c r="N34" i="5"/>
  <c r="O34" i="5" s="1"/>
  <c r="X34" i="5"/>
  <c r="AA34" i="5"/>
  <c r="Z32" i="5"/>
  <c r="Y32" i="5"/>
  <c r="Z33" i="5"/>
  <c r="Y33" i="5"/>
  <c r="S25" i="5"/>
  <c r="T25" i="5" s="1"/>
  <c r="AA25" i="5"/>
  <c r="N25" i="5"/>
  <c r="O25" i="5" s="1"/>
  <c r="X25" i="5"/>
  <c r="X12" i="5"/>
  <c r="S12" i="5"/>
  <c r="T12" i="5" s="1"/>
  <c r="N12" i="5"/>
  <c r="O12" i="5" s="1"/>
  <c r="AA12" i="5"/>
  <c r="Y27" i="5"/>
  <c r="Z27" i="5"/>
  <c r="Z11" i="5"/>
  <c r="Y11" i="5"/>
  <c r="X9" i="5"/>
  <c r="S9" i="5"/>
  <c r="T9" i="5" s="1"/>
  <c r="N9" i="5"/>
  <c r="O9" i="5" s="1"/>
  <c r="AA9" i="5"/>
  <c r="Z12" i="5"/>
  <c r="Y12" i="5"/>
  <c r="Z17" i="5"/>
  <c r="Y17" i="5"/>
  <c r="S14" i="5"/>
  <c r="T14" i="5" s="1"/>
  <c r="X14" i="5"/>
  <c r="N14" i="5"/>
  <c r="O14" i="5" s="1"/>
  <c r="AA14" i="5"/>
  <c r="Z16" i="5"/>
  <c r="Y16" i="5"/>
  <c r="AA31" i="5"/>
  <c r="N31" i="5"/>
  <c r="O31" i="5" s="1"/>
  <c r="S31" i="5"/>
  <c r="T31" i="5" s="1"/>
  <c r="X31" i="5"/>
  <c r="N29" i="5"/>
  <c r="O29" i="5" s="1"/>
  <c r="AA29" i="5"/>
  <c r="X29" i="5"/>
  <c r="S29" i="5"/>
  <c r="T29" i="5" s="1"/>
  <c r="Z9" i="5"/>
  <c r="Y9" i="5"/>
  <c r="N32" i="5"/>
  <c r="O32" i="5" s="1"/>
  <c r="AA32" i="5"/>
  <c r="S32" i="5"/>
  <c r="T32" i="5" s="1"/>
  <c r="X32" i="5"/>
  <c r="X27" i="5"/>
  <c r="AA27" i="5"/>
  <c r="N27" i="5"/>
  <c r="O27" i="5" s="1"/>
  <c r="S27" i="5"/>
  <c r="T27" i="5" s="1"/>
  <c r="K39" i="38"/>
  <c r="J39" i="38"/>
  <c r="J19" i="29"/>
  <c r="E35" i="22"/>
  <c r="D35" i="22"/>
  <c r="G35" i="22"/>
  <c r="F35" i="22"/>
  <c r="C36" i="22"/>
  <c r="C43" i="24"/>
  <c r="J37" i="24"/>
  <c r="C47" i="24"/>
  <c r="C49" i="24"/>
  <c r="C46" i="24"/>
  <c r="C42" i="24"/>
  <c r="C45" i="24"/>
  <c r="C48" i="24"/>
  <c r="D47" i="24"/>
  <c r="D48" i="24"/>
  <c r="D45" i="24"/>
  <c r="D46" i="24"/>
  <c r="D49" i="24"/>
  <c r="D42" i="24"/>
  <c r="D35" i="27"/>
  <c r="E35" i="27"/>
  <c r="G35" i="27"/>
  <c r="F35" i="27"/>
  <c r="C36" i="27"/>
  <c r="G39" i="21"/>
  <c r="F39" i="21"/>
  <c r="E39" i="21"/>
  <c r="D39" i="21"/>
  <c r="J39" i="21"/>
  <c r="C40" i="21"/>
  <c r="C36" i="34"/>
  <c r="D35" i="34"/>
  <c r="I35" i="34"/>
  <c r="C40" i="38"/>
  <c r="H35" i="34"/>
  <c r="E35" i="34"/>
  <c r="F35" i="34"/>
  <c r="F43" i="34" s="1"/>
  <c r="E48" i="24"/>
  <c r="E45" i="24"/>
  <c r="E46" i="24"/>
  <c r="E47" i="24"/>
  <c r="E49" i="24"/>
  <c r="E42" i="24"/>
  <c r="F47" i="24"/>
  <c r="F45" i="24"/>
  <c r="F48" i="24"/>
  <c r="F49" i="24"/>
  <c r="F46" i="24"/>
  <c r="F42" i="24"/>
  <c r="G39" i="38"/>
  <c r="F39" i="38"/>
  <c r="E39" i="38"/>
  <c r="D34" i="30"/>
  <c r="H34" i="30"/>
  <c r="F34" i="30"/>
  <c r="E34" i="30"/>
  <c r="G34" i="30"/>
  <c r="C35" i="30"/>
  <c r="J37" i="26"/>
  <c r="G37" i="26"/>
  <c r="F37" i="26"/>
  <c r="D37" i="26"/>
  <c r="E37" i="26"/>
  <c r="C38" i="26"/>
  <c r="G49" i="24"/>
  <c r="G19" i="35" s="1"/>
  <c r="O19" i="35" s="1"/>
  <c r="G46" i="24"/>
  <c r="G47" i="24"/>
  <c r="G48" i="24"/>
  <c r="G45" i="24"/>
  <c r="G42" i="24"/>
  <c r="E19" i="35" s="1"/>
  <c r="M19" i="35" s="1"/>
  <c r="X102" i="25" l="1"/>
  <c r="X83" i="25"/>
  <c r="X82" i="25"/>
  <c r="X77" i="25"/>
  <c r="X78" i="25"/>
  <c r="X88" i="25"/>
  <c r="X81" i="25"/>
  <c r="X80" i="25"/>
  <c r="X85" i="25"/>
  <c r="X84" i="25"/>
  <c r="X79" i="25"/>
  <c r="X74" i="25"/>
  <c r="X76" i="25"/>
  <c r="X75" i="25"/>
  <c r="X87" i="25"/>
  <c r="X86" i="25"/>
  <c r="X90" i="25"/>
  <c r="X89" i="25"/>
  <c r="X91" i="25"/>
  <c r="X93" i="25"/>
  <c r="X94" i="25"/>
  <c r="X92" i="25"/>
  <c r="X95" i="25"/>
  <c r="X99" i="25"/>
  <c r="Z104" i="25"/>
  <c r="AB103" i="25"/>
  <c r="AA103" i="25"/>
  <c r="X96" i="25"/>
  <c r="X98" i="25"/>
  <c r="X97" i="25"/>
  <c r="X101" i="25"/>
  <c r="I46" i="34"/>
  <c r="I43" i="34"/>
  <c r="J47" i="34"/>
  <c r="J43" i="34"/>
  <c r="C46" i="34"/>
  <c r="C41" i="34"/>
  <c r="B21" i="35" s="1"/>
  <c r="E40" i="41"/>
  <c r="E41" i="41" s="1"/>
  <c r="E42" i="41" s="1"/>
  <c r="P40" i="41"/>
  <c r="P41" i="41" s="1"/>
  <c r="P42" i="41" s="1"/>
  <c r="J31" i="41"/>
  <c r="K31" i="41"/>
  <c r="J34" i="41"/>
  <c r="K34" i="41"/>
  <c r="K33" i="41"/>
  <c r="J33" i="41"/>
  <c r="J29" i="41"/>
  <c r="K29" i="41"/>
  <c r="U28" i="41"/>
  <c r="T28" i="41"/>
  <c r="T33" i="41"/>
  <c r="U33" i="41"/>
  <c r="U34" i="41"/>
  <c r="T34" i="41"/>
  <c r="U27" i="41"/>
  <c r="T27" i="41"/>
  <c r="T30" i="41"/>
  <c r="U30" i="41"/>
  <c r="J26" i="35"/>
  <c r="U32" i="41"/>
  <c r="T32" i="41"/>
  <c r="K25" i="41"/>
  <c r="J25" i="41"/>
  <c r="O40" i="41"/>
  <c r="O41" i="41" s="1"/>
  <c r="O43" i="41"/>
  <c r="O44" i="41" s="1"/>
  <c r="D43" i="41"/>
  <c r="D44" i="41" s="1"/>
  <c r="D40" i="41"/>
  <c r="D41" i="41" s="1"/>
  <c r="K27" i="41"/>
  <c r="J27" i="41"/>
  <c r="K30" i="41"/>
  <c r="J30" i="41"/>
  <c r="K28" i="41"/>
  <c r="J28" i="41"/>
  <c r="T29" i="41"/>
  <c r="U29" i="41"/>
  <c r="K26" i="41"/>
  <c r="J26" i="41"/>
  <c r="U25" i="41"/>
  <c r="T25" i="41"/>
  <c r="U26" i="41"/>
  <c r="T26" i="41"/>
  <c r="U31" i="41"/>
  <c r="T31" i="41"/>
  <c r="K32" i="41"/>
  <c r="J32" i="41"/>
  <c r="X40" i="5"/>
  <c r="O39" i="5"/>
  <c r="AC31" i="5" s="1"/>
  <c r="O40" i="5"/>
  <c r="T40" i="5"/>
  <c r="C55" i="38"/>
  <c r="E55" i="38" s="1"/>
  <c r="H40" i="38"/>
  <c r="I47" i="34"/>
  <c r="G21" i="35" s="1"/>
  <c r="O21" i="35" s="1"/>
  <c r="C43" i="34"/>
  <c r="C40" i="34"/>
  <c r="I42" i="34"/>
  <c r="I40" i="34"/>
  <c r="E21" i="35" s="1"/>
  <c r="M21" i="35" s="1"/>
  <c r="C56" i="38"/>
  <c r="E56" i="38" s="1"/>
  <c r="G42" i="30"/>
  <c r="G43" i="30"/>
  <c r="G44" i="30"/>
  <c r="G39" i="30"/>
  <c r="G46" i="30"/>
  <c r="G45" i="30"/>
  <c r="F46" i="34"/>
  <c r="H45" i="34"/>
  <c r="H40" i="34"/>
  <c r="H43" i="34"/>
  <c r="H42" i="34"/>
  <c r="H44" i="34"/>
  <c r="H46" i="34"/>
  <c r="H47" i="34"/>
  <c r="F47" i="34"/>
  <c r="C46" i="26"/>
  <c r="C45" i="26"/>
  <c r="C47" i="26"/>
  <c r="C44" i="26"/>
  <c r="C43" i="26"/>
  <c r="C41" i="26"/>
  <c r="H45" i="30"/>
  <c r="H44" i="30"/>
  <c r="H39" i="30"/>
  <c r="H43" i="30"/>
  <c r="H46" i="30"/>
  <c r="G21" i="29" s="1"/>
  <c r="O21" i="29" s="1"/>
  <c r="H42" i="30"/>
  <c r="F44" i="34"/>
  <c r="D45" i="30"/>
  <c r="D44" i="30"/>
  <c r="D42" i="30"/>
  <c r="D39" i="30"/>
  <c r="D46" i="30"/>
  <c r="D43" i="30"/>
  <c r="J20" i="34"/>
  <c r="J18" i="34"/>
  <c r="J25" i="34"/>
  <c r="J28" i="34"/>
  <c r="J15" i="34"/>
  <c r="J24" i="34"/>
  <c r="J11" i="34"/>
  <c r="J30" i="34"/>
  <c r="J35" i="34"/>
  <c r="J29" i="34"/>
  <c r="J16" i="34"/>
  <c r="J13" i="34"/>
  <c r="J19" i="34"/>
  <c r="J14" i="34"/>
  <c r="J26" i="34"/>
  <c r="J33" i="34"/>
  <c r="J34" i="34"/>
  <c r="J21" i="34"/>
  <c r="J23" i="34"/>
  <c r="J12" i="34"/>
  <c r="J17" i="34"/>
  <c r="J27" i="34"/>
  <c r="J31" i="34"/>
  <c r="J22" i="34"/>
  <c r="J32" i="34"/>
  <c r="I45" i="34"/>
  <c r="I44" i="34"/>
  <c r="F43" i="30"/>
  <c r="F46" i="30"/>
  <c r="F42" i="30"/>
  <c r="F44" i="30"/>
  <c r="F45" i="30"/>
  <c r="B19" i="35"/>
  <c r="E40" i="38"/>
  <c r="G40" i="38"/>
  <c r="G45" i="38" s="1"/>
  <c r="G46" i="38" s="1"/>
  <c r="G47" i="38" s="1"/>
  <c r="F40" i="38"/>
  <c r="F45" i="38" s="1"/>
  <c r="E36" i="22"/>
  <c r="F36" i="22"/>
  <c r="G36" i="22"/>
  <c r="D36" i="22"/>
  <c r="C37" i="22"/>
  <c r="E44" i="26"/>
  <c r="E45" i="26"/>
  <c r="E46" i="26"/>
  <c r="E47" i="26"/>
  <c r="E41" i="26"/>
  <c r="E43" i="26"/>
  <c r="C53" i="38"/>
  <c r="E53" i="38" s="1"/>
  <c r="D41" i="26"/>
  <c r="D45" i="26"/>
  <c r="D43" i="26"/>
  <c r="D46" i="26"/>
  <c r="D47" i="26"/>
  <c r="D44" i="26"/>
  <c r="F45" i="34"/>
  <c r="M3" i="24"/>
  <c r="F19" i="35"/>
  <c r="N19" i="35" s="1"/>
  <c r="F47" i="26"/>
  <c r="F46" i="26"/>
  <c r="F41" i="26"/>
  <c r="F43" i="26"/>
  <c r="F45" i="26"/>
  <c r="F44" i="26"/>
  <c r="C54" i="38"/>
  <c r="E54" i="38" s="1"/>
  <c r="C52" i="34"/>
  <c r="C64" i="34" s="1"/>
  <c r="E36" i="34"/>
  <c r="E40" i="34" s="1"/>
  <c r="C44" i="34"/>
  <c r="C42" i="34"/>
  <c r="C47" i="34"/>
  <c r="C45" i="34"/>
  <c r="D36" i="34"/>
  <c r="C41" i="38"/>
  <c r="H41" i="38" s="1"/>
  <c r="F36" i="27"/>
  <c r="E36" i="27"/>
  <c r="G36" i="27"/>
  <c r="D36" i="27"/>
  <c r="C37" i="27"/>
  <c r="J10" i="34"/>
  <c r="E39" i="30"/>
  <c r="E43" i="30"/>
  <c r="E42" i="30"/>
  <c r="E45" i="30"/>
  <c r="E44" i="30"/>
  <c r="E46" i="30"/>
  <c r="G43" i="26"/>
  <c r="G44" i="26"/>
  <c r="G47" i="26"/>
  <c r="G19" i="29" s="1"/>
  <c r="O19" i="29" s="1"/>
  <c r="G46" i="26"/>
  <c r="G45" i="26"/>
  <c r="G41" i="26"/>
  <c r="C40" i="30"/>
  <c r="C39" i="30"/>
  <c r="C44" i="30"/>
  <c r="C45" i="30"/>
  <c r="C46" i="30"/>
  <c r="C43" i="30"/>
  <c r="C42" i="30"/>
  <c r="G40" i="21"/>
  <c r="J40" i="21"/>
  <c r="F40" i="21"/>
  <c r="E40" i="21"/>
  <c r="D40" i="21"/>
  <c r="C41" i="21"/>
  <c r="G34" i="34"/>
  <c r="G17" i="34"/>
  <c r="G35" i="34"/>
  <c r="G30" i="34"/>
  <c r="G19" i="34"/>
  <c r="G28" i="34"/>
  <c r="G29" i="34"/>
  <c r="G32" i="34"/>
  <c r="G26" i="34"/>
  <c r="G27" i="34"/>
  <c r="G31" i="34"/>
  <c r="G22" i="34"/>
  <c r="G11" i="34"/>
  <c r="G13" i="34"/>
  <c r="G24" i="34"/>
  <c r="G18" i="34"/>
  <c r="G9" i="34"/>
  <c r="G23" i="34"/>
  <c r="G20" i="34"/>
  <c r="G14" i="34"/>
  <c r="G21" i="34"/>
  <c r="G16" i="34"/>
  <c r="G10" i="34"/>
  <c r="G25" i="34"/>
  <c r="G15" i="34"/>
  <c r="G12" i="34"/>
  <c r="G33" i="34"/>
  <c r="T40" i="41" l="1"/>
  <c r="T41" i="41" s="1"/>
  <c r="U40" i="41"/>
  <c r="U41" i="41" s="1"/>
  <c r="U42" i="41" s="1"/>
  <c r="K40" i="41"/>
  <c r="K41" i="41" s="1"/>
  <c r="K42" i="41" s="1"/>
  <c r="D45" i="41"/>
  <c r="O45" i="41"/>
  <c r="T43" i="41"/>
  <c r="T44" i="41" s="1"/>
  <c r="J40" i="41"/>
  <c r="J41" i="41" s="1"/>
  <c r="J43" i="41"/>
  <c r="J44" i="41" s="1"/>
  <c r="AC28" i="5"/>
  <c r="AC27" i="5"/>
  <c r="R32" i="5"/>
  <c r="W32" i="5" s="1"/>
  <c r="Q26" i="5"/>
  <c r="V26" i="5" s="1"/>
  <c r="R25" i="5"/>
  <c r="W25" i="5" s="1"/>
  <c r="Q33" i="5"/>
  <c r="V33" i="5" s="1"/>
  <c r="Q27" i="5"/>
  <c r="V27" i="5" s="1"/>
  <c r="Q32" i="5"/>
  <c r="V32" i="5" s="1"/>
  <c r="R26" i="5"/>
  <c r="W26" i="5" s="1"/>
  <c r="Q25" i="5"/>
  <c r="V25" i="5" s="1"/>
  <c r="R29" i="5"/>
  <c r="W29" i="5" s="1"/>
  <c r="Q28" i="5"/>
  <c r="V28" i="5" s="1"/>
  <c r="R28" i="5"/>
  <c r="W28" i="5" s="1"/>
  <c r="R31" i="5"/>
  <c r="W31" i="5" s="1"/>
  <c r="Q30" i="5"/>
  <c r="V30" i="5" s="1"/>
  <c r="R33" i="5"/>
  <c r="W33" i="5" s="1"/>
  <c r="Q29" i="5"/>
  <c r="V29" i="5" s="1"/>
  <c r="Q31" i="5"/>
  <c r="V31" i="5" s="1"/>
  <c r="R30" i="5"/>
  <c r="W30" i="5" s="1"/>
  <c r="R27" i="5"/>
  <c r="W27" i="5" s="1"/>
  <c r="AC25" i="5"/>
  <c r="AB27" i="5"/>
  <c r="AB25" i="5"/>
  <c r="AB31" i="5"/>
  <c r="AC33" i="5"/>
  <c r="AC32" i="5"/>
  <c r="AC26" i="5"/>
  <c r="AB33" i="5"/>
  <c r="AB28" i="5"/>
  <c r="AB26" i="5"/>
  <c r="AB30" i="5"/>
  <c r="AC29" i="5"/>
  <c r="AB32" i="5"/>
  <c r="AC30" i="5"/>
  <c r="AB29" i="5"/>
  <c r="D64" i="34"/>
  <c r="D52" i="34"/>
  <c r="D57" i="34" s="1"/>
  <c r="D59" i="34" s="1"/>
  <c r="K40" i="38"/>
  <c r="K45" i="38" s="1"/>
  <c r="K46" i="38" s="1"/>
  <c r="K47" i="38" s="1"/>
  <c r="J40" i="38"/>
  <c r="J45" i="38" s="1"/>
  <c r="J46" i="38" s="1"/>
  <c r="J48" i="38" s="1"/>
  <c r="K48" i="38" s="1"/>
  <c r="H54" i="38"/>
  <c r="J54" i="38" s="1"/>
  <c r="H53" i="38"/>
  <c r="J53" i="38" s="1"/>
  <c r="E45" i="34"/>
  <c r="G41" i="21"/>
  <c r="J41" i="21"/>
  <c r="D41" i="21"/>
  <c r="F41" i="21"/>
  <c r="E41" i="21"/>
  <c r="C42" i="21"/>
  <c r="D43" i="34"/>
  <c r="D47" i="34"/>
  <c r="D46" i="34"/>
  <c r="D42" i="34"/>
  <c r="D40" i="34"/>
  <c r="D45" i="34"/>
  <c r="D44" i="34"/>
  <c r="E47" i="34"/>
  <c r="F51" i="30"/>
  <c r="B21" i="29"/>
  <c r="P4" i="34"/>
  <c r="F21" i="35"/>
  <c r="N21" i="35" s="1"/>
  <c r="J21" i="35"/>
  <c r="D6" i="38"/>
  <c r="D8" i="38" s="1"/>
  <c r="O4" i="30"/>
  <c r="F21" i="29"/>
  <c r="N21" i="29" s="1"/>
  <c r="E44" i="34"/>
  <c r="G37" i="22"/>
  <c r="F37" i="22"/>
  <c r="E37" i="22"/>
  <c r="D37" i="22"/>
  <c r="C38" i="22"/>
  <c r="E43" i="34"/>
  <c r="E46" i="34"/>
  <c r="E42" i="34"/>
  <c r="M3" i="26"/>
  <c r="F19" i="29"/>
  <c r="N19" i="29" s="1"/>
  <c r="F37" i="27"/>
  <c r="E37" i="27"/>
  <c r="D37" i="27"/>
  <c r="G37" i="27"/>
  <c r="C38" i="27"/>
  <c r="J19" i="35"/>
  <c r="J45" i="41" l="1"/>
  <c r="K45" i="41" s="1"/>
  <c r="T45" i="41"/>
  <c r="P45" i="41"/>
  <c r="J51" i="41"/>
  <c r="J49" i="41"/>
  <c r="E45" i="41"/>
  <c r="C63" i="34"/>
  <c r="D63" i="34" s="1"/>
  <c r="C65" i="34"/>
  <c r="D65" i="34" s="1"/>
  <c r="F46" i="38"/>
  <c r="F48" i="38" s="1"/>
  <c r="G42" i="21"/>
  <c r="J42" i="21"/>
  <c r="F42" i="21"/>
  <c r="E42" i="21"/>
  <c r="D42" i="21"/>
  <c r="C43" i="21"/>
  <c r="G38" i="22"/>
  <c r="F38" i="22"/>
  <c r="E38" i="22"/>
  <c r="D38" i="22"/>
  <c r="C39" i="22"/>
  <c r="J21" i="29"/>
  <c r="F38" i="27"/>
  <c r="E38" i="27"/>
  <c r="D38" i="27"/>
  <c r="G38" i="27"/>
  <c r="C39" i="27"/>
  <c r="F50" i="30"/>
  <c r="H51" i="30"/>
  <c r="F52" i="30"/>
  <c r="J50" i="41" l="1"/>
  <c r="G48" i="38"/>
  <c r="D21" i="35"/>
  <c r="C21" i="35"/>
  <c r="E46" i="33"/>
  <c r="D46" i="33"/>
  <c r="D25" i="35"/>
  <c r="C25" i="35"/>
  <c r="D47" i="33"/>
  <c r="E47" i="33"/>
  <c r="D26" i="35"/>
  <c r="C26" i="35"/>
  <c r="U45" i="41"/>
  <c r="J52" i="41"/>
  <c r="C51" i="34"/>
  <c r="D51" i="34" s="1"/>
  <c r="C57" i="34" s="1"/>
  <c r="C59" i="34" s="1"/>
  <c r="C53" i="34"/>
  <c r="D53" i="34" s="1"/>
  <c r="E57" i="34" s="1"/>
  <c r="E59" i="34" s="1"/>
  <c r="D39" i="27"/>
  <c r="F39" i="27"/>
  <c r="G39" i="27"/>
  <c r="E39" i="27"/>
  <c r="C40" i="27"/>
  <c r="G43" i="21"/>
  <c r="D43" i="21"/>
  <c r="J43" i="21"/>
  <c r="E43" i="21"/>
  <c r="F43" i="21"/>
  <c r="C44" i="21"/>
  <c r="F39" i="22"/>
  <c r="D39" i="22"/>
  <c r="G39" i="22"/>
  <c r="E39" i="22"/>
  <c r="C40" i="22"/>
  <c r="I51" i="30"/>
  <c r="AD102" i="25" l="1"/>
  <c r="AC79" i="25"/>
  <c r="AC88" i="25"/>
  <c r="AC91" i="25"/>
  <c r="AC89" i="25"/>
  <c r="AC83" i="25"/>
  <c r="AC93" i="25"/>
  <c r="AD92" i="25"/>
  <c r="AC81" i="25"/>
  <c r="AD90" i="25"/>
  <c r="AC78" i="25"/>
  <c r="AC92" i="25"/>
  <c r="AD88" i="25"/>
  <c r="AC82" i="25"/>
  <c r="AD83" i="25"/>
  <c r="AC85" i="25"/>
  <c r="AD86" i="25"/>
  <c r="AC87" i="25"/>
  <c r="AC95" i="25"/>
  <c r="AC80" i="25"/>
  <c r="AD95" i="25"/>
  <c r="AD84" i="25"/>
  <c r="AD91" i="25"/>
  <c r="AD89" i="25"/>
  <c r="AD93" i="25"/>
  <c r="AD82" i="25"/>
  <c r="AD87" i="25"/>
  <c r="AC86" i="25"/>
  <c r="AC94" i="25"/>
  <c r="AD85" i="25"/>
  <c r="AD96" i="25"/>
  <c r="AC100" i="25"/>
  <c r="AC97" i="25"/>
  <c r="AC77" i="25"/>
  <c r="AC75" i="25"/>
  <c r="AC84" i="25"/>
  <c r="AC76" i="25"/>
  <c r="AC90" i="25"/>
  <c r="AD100" i="25"/>
  <c r="AC101" i="25"/>
  <c r="AC98" i="25"/>
  <c r="AC99" i="25"/>
  <c r="AD94" i="25"/>
  <c r="AC96" i="25"/>
  <c r="AD97" i="25"/>
  <c r="AD101" i="25"/>
  <c r="AD99" i="25"/>
  <c r="AD98" i="25"/>
  <c r="E40" i="22"/>
  <c r="G40" i="22"/>
  <c r="F40" i="22"/>
  <c r="D40" i="22"/>
  <c r="C41" i="22"/>
  <c r="G44" i="21"/>
  <c r="D44" i="21"/>
  <c r="J44" i="21"/>
  <c r="F44" i="21"/>
  <c r="E44" i="21"/>
  <c r="C45" i="21"/>
  <c r="G50" i="30"/>
  <c r="H50" i="30" s="1"/>
  <c r="I50" i="30" s="1"/>
  <c r="G52" i="30"/>
  <c r="H52" i="30" s="1"/>
  <c r="I52" i="30" s="1"/>
  <c r="D30" i="29"/>
  <c r="C30" i="29"/>
  <c r="F40" i="27"/>
  <c r="D40" i="27"/>
  <c r="G40" i="27"/>
  <c r="E40" i="27"/>
  <c r="C41" i="27"/>
  <c r="G41" i="27" l="1"/>
  <c r="F41" i="27"/>
  <c r="D41" i="27"/>
  <c r="E41" i="27"/>
  <c r="C42" i="27"/>
  <c r="G41" i="22"/>
  <c r="F41" i="22"/>
  <c r="E41" i="22"/>
  <c r="D41" i="22"/>
  <c r="C42" i="22"/>
  <c r="C13" i="29"/>
  <c r="K13" i="29" s="1"/>
  <c r="K15" i="35"/>
  <c r="L14" i="35"/>
  <c r="C14" i="29"/>
  <c r="K14" i="29" s="1"/>
  <c r="C20" i="35"/>
  <c r="K20" i="35" s="1"/>
  <c r="L15" i="35"/>
  <c r="L10" i="35"/>
  <c r="K13" i="35"/>
  <c r="L12" i="35"/>
  <c r="Z39" i="35" s="1"/>
  <c r="C10" i="29"/>
  <c r="K10" i="29" s="1"/>
  <c r="D25" i="29"/>
  <c r="L25" i="29" s="1"/>
  <c r="L11" i="35"/>
  <c r="K10" i="35"/>
  <c r="K14" i="35"/>
  <c r="D11" i="29"/>
  <c r="L11" i="29" s="1"/>
  <c r="L13" i="35"/>
  <c r="K26" i="35"/>
  <c r="C11" i="29"/>
  <c r="K11" i="29" s="1"/>
  <c r="C12" i="29"/>
  <c r="K12" i="29" s="1"/>
  <c r="D20" i="35"/>
  <c r="L20" i="35" s="1"/>
  <c r="D26" i="29"/>
  <c r="L26" i="29" s="1"/>
  <c r="D14" i="29"/>
  <c r="L14" i="29" s="1"/>
  <c r="C26" i="29"/>
  <c r="K26" i="29" s="1"/>
  <c r="C25" i="29"/>
  <c r="K25" i="29" s="1"/>
  <c r="D12" i="29"/>
  <c r="L12" i="29" s="1"/>
  <c r="D10" i="29"/>
  <c r="L10" i="29" s="1"/>
  <c r="D15" i="29"/>
  <c r="L15" i="29" s="1"/>
  <c r="K11" i="35"/>
  <c r="K12" i="35"/>
  <c r="X39" i="35" s="1"/>
  <c r="C15" i="29"/>
  <c r="K15" i="29" s="1"/>
  <c r="D13" i="29"/>
  <c r="L13" i="29" s="1"/>
  <c r="L25" i="35"/>
  <c r="L26" i="35"/>
  <c r="K25" i="35"/>
  <c r="D19" i="29"/>
  <c r="L19" i="29" s="1"/>
  <c r="C19" i="29"/>
  <c r="K19" i="29" s="1"/>
  <c r="L21" i="35"/>
  <c r="D19" i="35"/>
  <c r="L19" i="35" s="1"/>
  <c r="C19" i="35"/>
  <c r="K19" i="35" s="1"/>
  <c r="K21" i="35"/>
  <c r="D21" i="29"/>
  <c r="L21" i="29" s="1"/>
  <c r="C21" i="29"/>
  <c r="K21" i="29" s="1"/>
  <c r="G45" i="21"/>
  <c r="E45" i="21"/>
  <c r="D45" i="21"/>
  <c r="J45" i="21"/>
  <c r="F45" i="21"/>
  <c r="C46" i="21"/>
  <c r="G46" i="21" l="1"/>
  <c r="F46" i="21"/>
  <c r="E46" i="21"/>
  <c r="D46" i="21"/>
  <c r="J46" i="21"/>
  <c r="C47" i="21"/>
  <c r="E42" i="22"/>
  <c r="G42" i="22"/>
  <c r="D42" i="22"/>
  <c r="F42" i="22"/>
  <c r="C43" i="22"/>
  <c r="F42" i="27"/>
  <c r="G42" i="27"/>
  <c r="E42" i="27"/>
  <c r="D42" i="27"/>
  <c r="C43" i="27"/>
  <c r="D43" i="27" l="1"/>
  <c r="G43" i="27"/>
  <c r="F43" i="27"/>
  <c r="E43" i="27"/>
  <c r="C44" i="27"/>
  <c r="G47" i="21"/>
  <c r="F47" i="21"/>
  <c r="E47" i="21"/>
  <c r="D47" i="21"/>
  <c r="J47" i="21"/>
  <c r="C48" i="21"/>
  <c r="G43" i="22"/>
  <c r="D43" i="22"/>
  <c r="F43" i="22"/>
  <c r="E43" i="22"/>
  <c r="C44" i="22"/>
  <c r="E44" i="22" l="1"/>
  <c r="F44" i="22"/>
  <c r="G44" i="22"/>
  <c r="D44" i="22"/>
  <c r="C45" i="22"/>
  <c r="F44" i="27"/>
  <c r="G44" i="27"/>
  <c r="E44" i="27"/>
  <c r="D44" i="27"/>
  <c r="C45" i="27"/>
  <c r="G48" i="21"/>
  <c r="J48" i="21"/>
  <c r="F48" i="21"/>
  <c r="E48" i="21"/>
  <c r="D48" i="21"/>
  <c r="C49" i="21"/>
  <c r="G49" i="21" l="1"/>
  <c r="J49" i="21"/>
  <c r="F49" i="21"/>
  <c r="D49" i="21"/>
  <c r="E49" i="21"/>
  <c r="C50" i="21"/>
  <c r="G45" i="22"/>
  <c r="E45" i="22"/>
  <c r="D45" i="22"/>
  <c r="F45" i="22"/>
  <c r="C46" i="22"/>
  <c r="F45" i="27"/>
  <c r="E45" i="27"/>
  <c r="D45" i="27"/>
  <c r="G45" i="27"/>
  <c r="C46" i="27"/>
  <c r="G46" i="27" l="1"/>
  <c r="F46" i="27"/>
  <c r="C47" i="27"/>
  <c r="E46" i="27"/>
  <c r="D46" i="27"/>
  <c r="G50" i="21"/>
  <c r="J50" i="21"/>
  <c r="E50" i="21"/>
  <c r="D50" i="21"/>
  <c r="F50" i="21"/>
  <c r="C51" i="21"/>
  <c r="E46" i="22"/>
  <c r="D46" i="22"/>
  <c r="G46" i="22"/>
  <c r="F46" i="22"/>
  <c r="C47" i="22"/>
  <c r="G51" i="21" l="1"/>
  <c r="J51" i="21"/>
  <c r="F51" i="21"/>
  <c r="E51" i="21"/>
  <c r="D51" i="21"/>
  <c r="C52" i="21"/>
  <c r="G47" i="22"/>
  <c r="F47" i="22"/>
  <c r="E47" i="22"/>
  <c r="D47" i="22"/>
  <c r="C48" i="22"/>
  <c r="D47" i="27"/>
  <c r="C48" i="27"/>
  <c r="G47" i="27"/>
  <c r="F47" i="27"/>
  <c r="E47" i="27"/>
  <c r="G52" i="21" l="1"/>
  <c r="D52" i="21"/>
  <c r="E52" i="21"/>
  <c r="J52" i="21"/>
  <c r="F52" i="21"/>
  <c r="C53" i="21"/>
  <c r="E48" i="22"/>
  <c r="G48" i="22"/>
  <c r="F48" i="22"/>
  <c r="D48" i="22"/>
  <c r="C49" i="22"/>
  <c r="F48" i="27"/>
  <c r="E48" i="27"/>
  <c r="G48" i="27"/>
  <c r="D48" i="27"/>
  <c r="C49" i="27"/>
  <c r="G49" i="27" l="1"/>
  <c r="D49" i="27"/>
  <c r="E49" i="27"/>
  <c r="F49" i="27"/>
  <c r="C50" i="27"/>
  <c r="G49" i="22"/>
  <c r="E49" i="22"/>
  <c r="F49" i="22"/>
  <c r="D49" i="22"/>
  <c r="C50" i="22"/>
  <c r="G53" i="21"/>
  <c r="E53" i="21"/>
  <c r="D53" i="21"/>
  <c r="J53" i="21"/>
  <c r="F53" i="21"/>
  <c r="C54" i="21"/>
  <c r="G54" i="21" l="1"/>
  <c r="F54" i="21"/>
  <c r="E54" i="21"/>
  <c r="D54" i="21"/>
  <c r="J54" i="21"/>
  <c r="C55" i="21"/>
  <c r="E50" i="22"/>
  <c r="D50" i="22"/>
  <c r="F50" i="22"/>
  <c r="G50" i="22"/>
  <c r="C51" i="22"/>
  <c r="C51" i="27"/>
  <c r="E50" i="27"/>
  <c r="D50" i="27"/>
  <c r="G50" i="27"/>
  <c r="F50" i="27"/>
  <c r="D51" i="27" l="1"/>
  <c r="E51" i="27"/>
  <c r="G51" i="27"/>
  <c r="F51" i="27"/>
  <c r="C52" i="27"/>
  <c r="G55" i="21"/>
  <c r="F55" i="21"/>
  <c r="E55" i="21"/>
  <c r="J55" i="21"/>
  <c r="D55" i="21"/>
  <c r="C56" i="21"/>
  <c r="G51" i="22"/>
  <c r="F51" i="22"/>
  <c r="D51" i="22"/>
  <c r="E51" i="22"/>
  <c r="C52" i="22"/>
  <c r="F52" i="27" l="1"/>
  <c r="G52" i="27"/>
  <c r="E52" i="27"/>
  <c r="D52" i="27"/>
  <c r="C53" i="27"/>
  <c r="G56" i="21"/>
  <c r="J56" i="21"/>
  <c r="F56" i="21"/>
  <c r="D56" i="21"/>
  <c r="E56" i="21"/>
  <c r="C57" i="21"/>
  <c r="E52" i="22"/>
  <c r="F52" i="22"/>
  <c r="D52" i="22"/>
  <c r="G52" i="22"/>
  <c r="C53" i="22"/>
  <c r="G53" i="22" l="1"/>
  <c r="E53" i="22"/>
  <c r="D53" i="22"/>
  <c r="F53" i="22"/>
  <c r="C54" i="22"/>
  <c r="D53" i="27"/>
  <c r="C54" i="27"/>
  <c r="G53" i="27"/>
  <c r="F53" i="27"/>
  <c r="E53" i="27"/>
  <c r="G57" i="21"/>
  <c r="J57" i="21"/>
  <c r="F57" i="21"/>
  <c r="E57" i="21"/>
  <c r="D57" i="21"/>
  <c r="C58" i="21"/>
  <c r="G58" i="21" l="1"/>
  <c r="J58" i="21"/>
  <c r="F58" i="21"/>
  <c r="D58" i="21"/>
  <c r="E58" i="21"/>
  <c r="C59" i="21"/>
  <c r="D54" i="27"/>
  <c r="G54" i="27"/>
  <c r="F54" i="27"/>
  <c r="E54" i="27"/>
  <c r="C55" i="27"/>
  <c r="E54" i="22"/>
  <c r="G54" i="22"/>
  <c r="F54" i="22"/>
  <c r="D54" i="22"/>
  <c r="C55" i="22"/>
  <c r="G55" i="22" l="1"/>
  <c r="D55" i="22"/>
  <c r="E55" i="22"/>
  <c r="F55" i="22"/>
  <c r="C56" i="22"/>
  <c r="G59" i="21"/>
  <c r="F59" i="21"/>
  <c r="E59" i="21"/>
  <c r="D59" i="21"/>
  <c r="J59" i="21"/>
  <c r="C60" i="21"/>
  <c r="D55" i="27"/>
  <c r="G55" i="27"/>
  <c r="F55" i="27"/>
  <c r="E55" i="27"/>
  <c r="C56" i="27"/>
  <c r="J60" i="21" l="1"/>
  <c r="G60" i="21"/>
  <c r="D60" i="21"/>
  <c r="F60" i="21"/>
  <c r="E60" i="21"/>
  <c r="C61" i="21"/>
  <c r="F56" i="27"/>
  <c r="E56" i="27"/>
  <c r="D56" i="27"/>
  <c r="G56" i="27"/>
  <c r="C57" i="27"/>
  <c r="E56" i="22"/>
  <c r="F56" i="22"/>
  <c r="G56" i="22"/>
  <c r="D56" i="22"/>
  <c r="C57" i="22"/>
  <c r="E61" i="21" l="1"/>
  <c r="G61" i="21"/>
  <c r="F61" i="21"/>
  <c r="D61" i="21"/>
  <c r="J61" i="21"/>
  <c r="B18" i="29"/>
  <c r="C62" i="21"/>
  <c r="D57" i="27"/>
  <c r="G57" i="27"/>
  <c r="F57" i="27"/>
  <c r="E57" i="27"/>
  <c r="C58" i="27"/>
  <c r="G57" i="22"/>
  <c r="D57" i="22"/>
  <c r="F57" i="22"/>
  <c r="E57" i="22"/>
  <c r="B20" i="29"/>
  <c r="C58" i="22"/>
  <c r="J18" i="29" l="1"/>
  <c r="C18" i="29"/>
  <c r="K18" i="29" s="1"/>
  <c r="D18" i="29"/>
  <c r="L18" i="29" s="1"/>
  <c r="E58" i="22"/>
  <c r="D58" i="22"/>
  <c r="G58" i="22"/>
  <c r="F58" i="22"/>
  <c r="C59" i="22"/>
  <c r="E62" i="21"/>
  <c r="J62" i="21"/>
  <c r="F62" i="21"/>
  <c r="D62" i="21"/>
  <c r="G62" i="21"/>
  <c r="C63" i="21"/>
  <c r="F58" i="27"/>
  <c r="C59" i="27"/>
  <c r="D58" i="27"/>
  <c r="G58" i="27"/>
  <c r="E58" i="27"/>
  <c r="J20" i="29"/>
  <c r="D20" i="29"/>
  <c r="L20" i="29" s="1"/>
  <c r="C20" i="29"/>
  <c r="K20" i="29" s="1"/>
  <c r="G59" i="22" l="1"/>
  <c r="F59" i="22"/>
  <c r="D59" i="22"/>
  <c r="E59" i="22"/>
  <c r="C60" i="22"/>
  <c r="E63" i="21"/>
  <c r="D63" i="21"/>
  <c r="J63" i="21"/>
  <c r="G63" i="21"/>
  <c r="F63" i="21"/>
  <c r="C64" i="21"/>
  <c r="D59" i="27"/>
  <c r="G59" i="27"/>
  <c r="F59" i="27"/>
  <c r="E59" i="27"/>
  <c r="C60" i="27"/>
  <c r="E65" i="27" l="1"/>
  <c r="E67" i="27"/>
  <c r="E63" i="27"/>
  <c r="E66" i="27"/>
  <c r="E69" i="27"/>
  <c r="E68" i="27"/>
  <c r="E60" i="22"/>
  <c r="G60" i="22"/>
  <c r="F60" i="22"/>
  <c r="D60" i="22"/>
  <c r="C61" i="22"/>
  <c r="C63" i="27"/>
  <c r="C66" i="27"/>
  <c r="C65" i="27"/>
  <c r="C67" i="27"/>
  <c r="C68" i="27"/>
  <c r="C69" i="27"/>
  <c r="F68" i="27"/>
  <c r="F69" i="27"/>
  <c r="F67" i="27"/>
  <c r="F64" i="27"/>
  <c r="F66" i="27"/>
  <c r="F65" i="27"/>
  <c r="F63" i="27"/>
  <c r="G63" i="27"/>
  <c r="G69" i="27"/>
  <c r="G67" i="27"/>
  <c r="G68" i="27"/>
  <c r="G65" i="27"/>
  <c r="O4" i="27" s="1"/>
  <c r="G66" i="27"/>
  <c r="D63" i="27"/>
  <c r="D68" i="27"/>
  <c r="D67" i="27"/>
  <c r="D69" i="27"/>
  <c r="D64" i="27"/>
  <c r="D66" i="27"/>
  <c r="D65" i="27"/>
  <c r="E64" i="21"/>
  <c r="D64" i="21"/>
  <c r="G64" i="21"/>
  <c r="F64" i="21"/>
  <c r="J64" i="21"/>
  <c r="C65" i="21"/>
  <c r="G73" i="21" l="1"/>
  <c r="G76" i="21"/>
  <c r="G69" i="21"/>
  <c r="E18" i="35" s="1"/>
  <c r="M18" i="35" s="1"/>
  <c r="G74" i="21"/>
  <c r="G72" i="21"/>
  <c r="G75" i="21"/>
  <c r="D71" i="21"/>
  <c r="D74" i="21"/>
  <c r="D75" i="21"/>
  <c r="D72" i="21"/>
  <c r="D76" i="21"/>
  <c r="D69" i="21"/>
  <c r="D73" i="21"/>
  <c r="G71" i="22"/>
  <c r="G66" i="22"/>
  <c r="E20" i="35" s="1"/>
  <c r="M20" i="35" s="1"/>
  <c r="G72" i="22"/>
  <c r="G70" i="22"/>
  <c r="G73" i="22"/>
  <c r="G69" i="22"/>
  <c r="E72" i="22"/>
  <c r="E71" i="22"/>
  <c r="E70" i="22"/>
  <c r="E73" i="22"/>
  <c r="E66" i="22"/>
  <c r="E69" i="22"/>
  <c r="E73" i="21"/>
  <c r="E69" i="21"/>
  <c r="E72" i="21"/>
  <c r="E74" i="21"/>
  <c r="E75" i="21"/>
  <c r="E76" i="21"/>
  <c r="C70" i="21"/>
  <c r="B18" i="35" s="1"/>
  <c r="C72" i="21"/>
  <c r="C69" i="21"/>
  <c r="C74" i="21"/>
  <c r="C73" i="21"/>
  <c r="C76" i="21"/>
  <c r="C75" i="21"/>
  <c r="D71" i="22"/>
  <c r="D68" i="22"/>
  <c r="D66" i="22"/>
  <c r="D70" i="22"/>
  <c r="D72" i="22"/>
  <c r="D69" i="22"/>
  <c r="D73" i="22"/>
  <c r="C70" i="22"/>
  <c r="C69" i="22"/>
  <c r="C72" i="22"/>
  <c r="C73" i="22"/>
  <c r="C66" i="22"/>
  <c r="C71" i="22"/>
  <c r="F76" i="21"/>
  <c r="F74" i="21"/>
  <c r="F72" i="21"/>
  <c r="F73" i="21"/>
  <c r="F75" i="21"/>
  <c r="F71" i="21"/>
  <c r="F69" i="21"/>
  <c r="F71" i="22"/>
  <c r="F68" i="22"/>
  <c r="F66" i="22"/>
  <c r="F72" i="22"/>
  <c r="F69" i="22"/>
  <c r="F73" i="22"/>
  <c r="F70" i="22"/>
  <c r="F18" i="29" l="1"/>
  <c r="N18" i="29" s="1"/>
  <c r="F18" i="35"/>
  <c r="N18" i="35" s="1"/>
  <c r="J18" i="35"/>
  <c r="D18" i="35"/>
  <c r="L18" i="35" s="1"/>
  <c r="C18" i="35"/>
  <c r="K18" i="35" s="1"/>
  <c r="N4" i="22"/>
  <c r="F20" i="29"/>
  <c r="N20" i="29" s="1"/>
  <c r="F20" i="35"/>
  <c r="N20" i="35" s="1"/>
  <c r="G20" i="35"/>
  <c r="O20" i="35" s="1"/>
  <c r="G20" i="29"/>
  <c r="O20" i="29" s="1"/>
  <c r="G18" i="29"/>
  <c r="O18" i="29" s="1"/>
  <c r="G18" i="35"/>
  <c r="O18" i="35" s="1"/>
  <c r="AC34" i="5" l="1"/>
  <c r="AB34" i="5"/>
  <c r="AC9" i="5"/>
  <c r="AC16" i="5"/>
  <c r="AC11" i="5"/>
  <c r="AB20" i="5"/>
  <c r="AC22" i="5"/>
  <c r="AC15" i="5"/>
  <c r="AB16" i="5"/>
  <c r="AC10" i="5"/>
  <c r="AC35" i="5"/>
  <c r="AB11" i="5"/>
  <c r="AC20" i="5"/>
  <c r="AB18" i="5"/>
  <c r="AB21" i="5"/>
  <c r="AC19" i="5"/>
  <c r="AC13" i="5"/>
  <c r="AC12" i="5"/>
  <c r="AB24" i="5"/>
  <c r="AB35" i="5"/>
  <c r="AB10" i="5"/>
  <c r="AC18" i="5"/>
  <c r="AC23" i="5"/>
  <c r="AC17" i="5"/>
  <c r="AB19" i="5"/>
  <c r="AB15" i="5"/>
  <c r="AC14" i="5"/>
  <c r="AB23" i="5"/>
  <c r="AB12" i="5"/>
  <c r="AB13" i="5"/>
  <c r="AC24" i="5"/>
  <c r="AB22" i="5"/>
  <c r="AB14" i="5"/>
  <c r="AB9" i="5"/>
  <c r="AC21" i="5"/>
  <c r="AB17" i="5"/>
  <c r="Q35" i="5"/>
  <c r="V35" i="5" s="1"/>
  <c r="Q14" i="5"/>
  <c r="V14" i="5" s="1"/>
  <c r="R18" i="5"/>
  <c r="W18" i="5" s="1"/>
  <c r="R22" i="5"/>
  <c r="W22" i="5" s="1"/>
  <c r="Q13" i="5"/>
  <c r="V13" i="5" s="1"/>
  <c r="Q18" i="5"/>
  <c r="V18" i="5" s="1"/>
  <c r="Q11" i="5"/>
  <c r="V11" i="5" s="1"/>
  <c r="R14" i="5"/>
  <c r="W14" i="5" s="1"/>
  <c r="R20" i="5"/>
  <c r="W20" i="5" s="1"/>
  <c r="R24" i="5"/>
  <c r="W24" i="5" s="1"/>
  <c r="R34" i="5"/>
  <c r="W34" i="5" s="1"/>
  <c r="Q22" i="5"/>
  <c r="V22" i="5" s="1"/>
  <c r="Q17" i="5"/>
  <c r="V17" i="5" s="1"/>
  <c r="R9" i="5"/>
  <c r="W9" i="5" s="1"/>
  <c r="Q23" i="5"/>
  <c r="V23" i="5" s="1"/>
  <c r="R12" i="5"/>
  <c r="W12" i="5" s="1"/>
  <c r="Q9" i="5"/>
  <c r="V9" i="5" s="1"/>
  <c r="Q34" i="5"/>
  <c r="V34" i="5" s="1"/>
  <c r="R37" i="5"/>
  <c r="Q12" i="5"/>
  <c r="V12" i="5" s="1"/>
  <c r="R15" i="5"/>
  <c r="W15" i="5" s="1"/>
  <c r="Q19" i="5"/>
  <c r="V19" i="5" s="1"/>
  <c r="R23" i="5"/>
  <c r="W23" i="5" s="1"/>
  <c r="R35" i="5"/>
  <c r="W35" i="5" s="1"/>
  <c r="R17" i="5"/>
  <c r="W17" i="5" s="1"/>
  <c r="R16" i="5"/>
  <c r="W16" i="5" s="1"/>
  <c r="R13" i="5"/>
  <c r="W13" i="5" s="1"/>
  <c r="Q16" i="5"/>
  <c r="V16" i="5" s="1"/>
  <c r="Q20" i="5"/>
  <c r="V20" i="5" s="1"/>
  <c r="Q10" i="5"/>
  <c r="V10" i="5" s="1"/>
  <c r="R21" i="5"/>
  <c r="W21" i="5" s="1"/>
  <c r="R10" i="5"/>
  <c r="W10" i="5" s="1"/>
  <c r="Q24" i="5"/>
  <c r="V24" i="5" s="1"/>
  <c r="R11" i="5"/>
  <c r="W11" i="5" s="1"/>
  <c r="Q21" i="5"/>
  <c r="V21" i="5" s="1"/>
  <c r="R19" i="5"/>
  <c r="W19" i="5" s="1"/>
  <c r="Q37" i="5"/>
  <c r="Q15" i="5"/>
  <c r="V15" i="5" s="1"/>
  <c r="V37" i="5" l="1"/>
  <c r="W37"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rebrenner</author>
  </authors>
  <commentList>
    <comment ref="B18" authorId="0" shapeId="0" xr:uid="{00000000-0006-0000-0000-000001000000}">
      <text>
        <r>
          <rPr>
            <b/>
            <sz val="9"/>
            <color indexed="81"/>
            <rFont val="Tahoma"/>
            <family val="2"/>
          </rPr>
          <t>rebrenner:</t>
        </r>
        <r>
          <rPr>
            <sz val="9"/>
            <color indexed="81"/>
            <rFont val="Tahoma"/>
            <family val="2"/>
          </rPr>
          <t xml:space="preserve">
</t>
        </r>
        <r>
          <rPr>
            <sz val="18"/>
            <color indexed="81"/>
            <rFont val="Tahoma"/>
            <family val="2"/>
          </rPr>
          <t>Significant clean up, standardization and automation of this forecast needs to occur. There are too many sheets and several are in an ambiguous state of use/non-use.  For example, there are currently 4 different 'Performance' sheets and too much data that needs to be updated manually each year within each sheet.  For the 2015 forecast I settled on the sheet: 'Lag1_Exp_Smooth_Total Run Odd', after using Solver to minimize MAPE for this and other forecasts. After selecting the forecast point estimate, I used the historical maximum and minimum proportional forecast error to calculate confidence bounds. In the future, CI bounds should probably be generated using bootstrapping or Monte Carlo sampling. For 2016, take a look at using R/S as the correlation seems to be getting better each year for ODD-year forecasts. Update this summary for the 2016 forecast....</t>
        </r>
      </text>
    </comment>
    <comment ref="D48" authorId="0" shapeId="0" xr:uid="{00000000-0006-0000-0000-000002000000}">
      <text>
        <r>
          <rPr>
            <b/>
            <sz val="9"/>
            <color indexed="81"/>
            <rFont val="Tahoma"/>
            <family val="2"/>
          </rPr>
          <t>rebrenner:</t>
        </r>
        <r>
          <rPr>
            <sz val="9"/>
            <color indexed="81"/>
            <rFont val="Tahoma"/>
            <family val="2"/>
          </rPr>
          <t xml:space="preserve">
</t>
        </r>
        <r>
          <rPr>
            <sz val="20"/>
            <color indexed="81"/>
            <rFont val="Tahoma"/>
            <family val="2"/>
          </rPr>
          <t>THIS FORECAST NEEDS TO HAVE A CLEAR STEP-BY-STEP GUIDE.  ANY SHEETS THAT ADDED NEED TO BE CLEARLY EXPLAINED WITHIN THE READ 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 Moffitt</author>
    <author>Moffitt, Steve D (DFG)</author>
    <author>rebrenner</author>
    <author>Brenner, Richard E (DFG)</author>
  </authors>
  <commentList>
    <comment ref="G5" authorId="0" shapeId="0" xr:uid="{00000000-0006-0000-0200-000001000000}">
      <text>
        <r>
          <rPr>
            <b/>
            <sz val="8"/>
            <color indexed="81"/>
            <rFont val="Tahoma"/>
            <family val="2"/>
          </rPr>
          <t>Steve Moffitt:</t>
        </r>
        <r>
          <rPr>
            <sz val="8"/>
            <color indexed="81"/>
            <rFont val="Tahoma"/>
            <family val="2"/>
          </rPr>
          <t xml:space="preserve">
From Fried et al. (1998) EVOS F/S 1 report available on EVOS website.</t>
        </r>
      </text>
    </comment>
    <comment ref="H6" authorId="0" shapeId="0" xr:uid="{00000000-0006-0000-0200-000002000000}">
      <text>
        <r>
          <rPr>
            <b/>
            <sz val="8"/>
            <color indexed="81"/>
            <rFont val="Tahoma"/>
            <family val="2"/>
          </rPr>
          <t>Steve Moffitt:</t>
        </r>
        <r>
          <rPr>
            <sz val="8"/>
            <color indexed="81"/>
            <rFont val="Tahoma"/>
            <family val="2"/>
          </rPr>
          <t xml:space="preserve">
From Fried et al. (1998) EVOS F/S 1 report available on EVOS website.</t>
        </r>
      </text>
    </comment>
    <comment ref="O7" authorId="1" shapeId="0" xr:uid="{00000000-0006-0000-0200-000003000000}">
      <text>
        <r>
          <rPr>
            <b/>
            <sz val="9"/>
            <color rgb="FF000000"/>
            <rFont val="Tahoma"/>
            <family val="2"/>
          </rPr>
          <t>Moffitt, Steve D (DFG):</t>
        </r>
        <r>
          <rPr>
            <sz val="9"/>
            <color rgb="FF000000"/>
            <rFont val="Tahoma"/>
            <family val="2"/>
          </rPr>
          <t xml:space="preserve">
</t>
        </r>
        <r>
          <rPr>
            <sz val="14"/>
            <color rgb="FF000000"/>
            <rFont val="Tahoma"/>
            <family val="2"/>
          </rPr>
          <t>Document source .  Probably should be in a separate worksheet with values and methods</t>
        </r>
        <r>
          <rPr>
            <sz val="9"/>
            <color rgb="FF000000"/>
            <rFont val="Tahoma"/>
            <family val="2"/>
          </rPr>
          <t xml:space="preserve">. </t>
        </r>
      </text>
    </comment>
    <comment ref="C9" authorId="2" shapeId="0" xr:uid="{00000000-0006-0000-0200-000004000000}">
      <text>
        <r>
          <rPr>
            <b/>
            <sz val="9"/>
            <color rgb="FF000000"/>
            <rFont val="Tahoma"/>
            <family val="2"/>
          </rPr>
          <t>rebrenner:</t>
        </r>
        <r>
          <rPr>
            <sz val="9"/>
            <color rgb="FF000000"/>
            <rFont val="Tahoma"/>
            <family val="2"/>
          </rPr>
          <t xml:space="preserve">
</t>
        </r>
        <r>
          <rPr>
            <sz val="9"/>
            <color rgb="FF000000"/>
            <rFont val="Tahoma"/>
            <family val="2"/>
          </rPr>
          <t>Commercial Common Property Fishery</t>
        </r>
      </text>
    </comment>
    <comment ref="D9" authorId="2" shapeId="0" xr:uid="{00000000-0006-0000-0200-000005000000}">
      <text>
        <r>
          <rPr>
            <b/>
            <sz val="9"/>
            <color rgb="FF000000"/>
            <rFont val="Tahoma"/>
            <family val="2"/>
          </rPr>
          <t>rebrenner:</t>
        </r>
        <r>
          <rPr>
            <sz val="9"/>
            <color rgb="FF000000"/>
            <rFont val="Tahoma"/>
            <family val="2"/>
          </rPr>
          <t xml:space="preserve">
</t>
        </r>
        <r>
          <rPr>
            <sz val="9"/>
            <color rgb="FF000000"/>
            <rFont val="Tahoma"/>
            <family val="2"/>
          </rPr>
          <t>Hatchery Cost Recovery</t>
        </r>
      </text>
    </comment>
    <comment ref="E9" authorId="2" shapeId="0" xr:uid="{00000000-0006-0000-0200-000006000000}">
      <text>
        <r>
          <rPr>
            <b/>
            <sz val="9"/>
            <color rgb="FF000000"/>
            <rFont val="Tahoma"/>
            <family val="2"/>
          </rPr>
          <t>rebrenner:</t>
        </r>
        <r>
          <rPr>
            <sz val="9"/>
            <color rgb="FF000000"/>
            <rFont val="Tahoma"/>
            <family val="2"/>
          </rPr>
          <t xml:space="preserve">
</t>
        </r>
        <r>
          <rPr>
            <sz val="9"/>
            <color rgb="FF000000"/>
            <rFont val="Tahoma"/>
            <family val="2"/>
          </rPr>
          <t>Hatchery Broodstock</t>
        </r>
      </text>
    </comment>
    <comment ref="G9" authorId="0" shapeId="0" xr:uid="{00000000-0006-0000-0200-000007000000}">
      <text>
        <r>
          <rPr>
            <b/>
            <sz val="8"/>
            <color rgb="FF000000"/>
            <rFont val="Tahoma"/>
            <family val="2"/>
          </rPr>
          <t>Steve Moffitt:</t>
        </r>
        <r>
          <rPr>
            <sz val="8"/>
            <color rgb="FF000000"/>
            <rFont val="Tahoma"/>
            <family val="2"/>
          </rPr>
          <t xml:space="preserve">
</t>
        </r>
        <r>
          <rPr>
            <sz val="24"/>
            <color rgb="FF000000"/>
            <rFont val="Tahoma"/>
            <family val="2"/>
          </rPr>
          <t xml:space="preserve">Expanded to account for aerial observer efficiency of 0.436 from Fried et al. 1998. This brings the escapement number closer to a value in number of fish rather than an index. </t>
        </r>
      </text>
    </comment>
    <comment ref="H9" authorId="0" shapeId="0" xr:uid="{00000000-0006-0000-0200-000008000000}">
      <text>
        <r>
          <rPr>
            <b/>
            <sz val="8"/>
            <color rgb="FF000000"/>
            <rFont val="Tahoma"/>
            <family val="2"/>
          </rPr>
          <t>Steve Moffitt:</t>
        </r>
        <r>
          <rPr>
            <sz val="8"/>
            <color rgb="FF000000"/>
            <rFont val="Tahoma"/>
            <family val="2"/>
          </rPr>
          <t xml:space="preserve">
</t>
        </r>
        <r>
          <rPr>
            <sz val="22"/>
            <color rgb="FF000000"/>
            <rFont val="Tahoma"/>
            <family val="2"/>
          </rPr>
          <t xml:space="preserve">Expanded to account for aerial observer efficiency of 0.436 from Fried et al. 1998. Also expanded for an estimate of the total PWS escapement represented by the index systems (0.80). This brings the escapement number closer to a value in number of fish rather than an index. </t>
        </r>
      </text>
    </comment>
    <comment ref="K9" authorId="0" shapeId="0" xr:uid="{00000000-0006-0000-0200-000009000000}">
      <text>
        <r>
          <rPr>
            <b/>
            <sz val="8"/>
            <color rgb="FF000000"/>
            <rFont val="Tahoma"/>
            <family val="2"/>
          </rPr>
          <t>Steve Moffitt:</t>
        </r>
        <r>
          <rPr>
            <sz val="8"/>
            <color rgb="FF000000"/>
            <rFont val="Tahoma"/>
            <family val="2"/>
          </rPr>
          <t xml:space="preserve">
</t>
        </r>
        <r>
          <rPr>
            <sz val="22"/>
            <color rgb="FF000000"/>
            <rFont val="Tahoma"/>
            <family val="2"/>
          </rPr>
          <t xml:space="preserve">Expanded to account for aerial observer efficiency of 0.436 from Fried et al. 1998. This brings the escapement number closer to a value in number of fish rather than an index. </t>
        </r>
      </text>
    </comment>
    <comment ref="L9" authorId="0" shapeId="0" xr:uid="{00000000-0006-0000-0200-00000A000000}">
      <text>
        <r>
          <rPr>
            <b/>
            <sz val="22"/>
            <color rgb="FF000000"/>
            <rFont val="Tahoma"/>
            <family val="2"/>
          </rPr>
          <t>Steve Moffitt:</t>
        </r>
        <r>
          <rPr>
            <sz val="22"/>
            <color rgb="FF000000"/>
            <rFont val="Tahoma"/>
            <family val="2"/>
          </rPr>
          <t xml:space="preserve">
</t>
        </r>
        <r>
          <rPr>
            <sz val="22"/>
            <color rgb="FF000000"/>
            <rFont val="Tahoma"/>
            <family val="2"/>
          </rPr>
          <t xml:space="preserve">Expanded to account for aerial observer efficiency of 0.436 from Fried et al. 1998. Also expanded for an estimate of the total PWS escapement represented by the index systems (0.80). This brings the escapement number closer to a value in number of fish rather than an index. </t>
        </r>
      </text>
    </comment>
    <comment ref="C10" authorId="3" shapeId="0" xr:uid="{00000000-0006-0000-0200-00000B000000}">
      <text>
        <r>
          <rPr>
            <b/>
            <sz val="9"/>
            <color indexed="81"/>
            <rFont val="Tahoma"/>
            <family val="2"/>
          </rPr>
          <t>Brenner, Richard E (DFG):</t>
        </r>
        <r>
          <rPr>
            <sz val="9"/>
            <color indexed="81"/>
            <rFont val="Tahoma"/>
            <family val="2"/>
          </rPr>
          <t xml:space="preserve">
</t>
        </r>
        <r>
          <rPr>
            <sz val="14"/>
            <color indexed="81"/>
            <rFont val="Tahoma"/>
            <family val="2"/>
          </rPr>
          <t>Values from 1896-1959 are from Byerly et al. 1999: "Alaska Commercial Salmon Catches, 1878-1997".  Regional Information Report1 No. 5J99-05.  These were taken from various other sources: Edfelt, Larry, Statistical History of Alaska Salmon Catches, 1973, ADF&amp;G, (Through 1968)....which in turn were taken from other sources...</t>
        </r>
      </text>
    </comment>
    <comment ref="C73" authorId="3" shapeId="0" xr:uid="{00000000-0006-0000-0200-00000C000000}">
      <text>
        <r>
          <rPr>
            <b/>
            <sz val="9"/>
            <color indexed="81"/>
            <rFont val="Tahoma"/>
            <family val="2"/>
          </rPr>
          <t>Brenner, Richard E (DFG):</t>
        </r>
        <r>
          <rPr>
            <sz val="9"/>
            <color indexed="81"/>
            <rFont val="Tahoma"/>
            <family val="2"/>
          </rPr>
          <t xml:space="preserve">
</t>
        </r>
        <r>
          <rPr>
            <sz val="14"/>
            <color indexed="81"/>
            <rFont val="Tahoma"/>
            <family val="2"/>
          </rPr>
          <t>Values from 1896-1959 are from Byerly et al. 1999: "Alaska Commercial Salmon Catches, 1878-1997".  Regional Information Report1 No. 5J99-05.  These were taken from various other sources: Edfelt, Larry, Statistical History of Alaska Salmon Catches, 1973, ADF&amp;G, (Through 1968)....which in turn were taken from other sources...</t>
        </r>
      </text>
    </comment>
    <comment ref="C74" authorId="0" shapeId="0" xr:uid="{00000000-0006-0000-0200-00000D000000}">
      <text>
        <r>
          <rPr>
            <b/>
            <sz val="8"/>
            <color rgb="FF000000"/>
            <rFont val="Tahoma"/>
            <family val="2"/>
          </rPr>
          <t>Steve Moffitt:</t>
        </r>
        <r>
          <rPr>
            <sz val="8"/>
            <color rgb="FF000000"/>
            <rFont val="Tahoma"/>
            <family val="2"/>
          </rPr>
          <t xml:space="preserve">
</t>
        </r>
        <r>
          <rPr>
            <sz val="8"/>
            <color rgb="FF000000"/>
            <rFont val="Tahoma"/>
            <family val="2"/>
          </rPr>
          <t>1986 AMR Table 48</t>
        </r>
      </text>
    </comment>
    <comment ref="F74" authorId="0" shapeId="0" xr:uid="{00000000-0006-0000-0200-00000E000000}">
      <text>
        <r>
          <rPr>
            <b/>
            <sz val="8"/>
            <color rgb="FF000000"/>
            <rFont val="Tahoma"/>
            <family val="2"/>
          </rPr>
          <t>Steve Moffitt:</t>
        </r>
        <r>
          <rPr>
            <sz val="8"/>
            <color rgb="FF000000"/>
            <rFont val="Tahoma"/>
            <family val="2"/>
          </rPr>
          <t xml:space="preserve">
</t>
        </r>
        <r>
          <rPr>
            <sz val="24"/>
            <color rgb="FF000000"/>
            <rFont val="Tahoma"/>
            <family val="2"/>
          </rPr>
          <t>2009 AMR Appendix D.5</t>
        </r>
      </text>
    </comment>
    <comment ref="C87" authorId="0" shapeId="0" xr:uid="{00000000-0006-0000-0200-00000F000000}">
      <text>
        <r>
          <rPr>
            <b/>
            <sz val="8"/>
            <color indexed="81"/>
            <rFont val="Tahoma"/>
            <family val="2"/>
          </rPr>
          <t>Steve Moffitt:</t>
        </r>
        <r>
          <rPr>
            <sz val="8"/>
            <color indexed="81"/>
            <rFont val="Tahoma"/>
            <family val="2"/>
          </rPr>
          <t xml:space="preserve">
AMR Appendix D.2
2007 version</t>
        </r>
      </text>
    </comment>
    <comment ref="C91" authorId="0" shapeId="0" xr:uid="{00000000-0006-0000-0200-000010000000}">
      <text>
        <r>
          <rPr>
            <b/>
            <sz val="8"/>
            <color indexed="81"/>
            <rFont val="Tahoma"/>
            <family val="2"/>
          </rPr>
          <t>Steve Moffitt:</t>
        </r>
        <r>
          <rPr>
            <sz val="8"/>
            <color indexed="81"/>
            <rFont val="Tahoma"/>
            <family val="2"/>
          </rPr>
          <t xml:space="preserve">
1998 AMR Appendix F.13
Estimated total wild production estimates = (catch+escapement)
CCP = total minus escapement index</t>
        </r>
      </text>
    </comment>
    <comment ref="D91" authorId="0" shapeId="0" xr:uid="{00000000-0006-0000-0200-000011000000}">
      <text>
        <r>
          <rPr>
            <b/>
            <sz val="8"/>
            <color indexed="81"/>
            <rFont val="Tahoma"/>
            <family val="2"/>
          </rPr>
          <t>Steve Moffitt:</t>
        </r>
        <r>
          <rPr>
            <sz val="8"/>
            <color indexed="81"/>
            <rFont val="Tahoma"/>
            <family val="2"/>
          </rPr>
          <t xml:space="preserve">
Assumed zero -- Did sampling occurr? See EVOS CWT reports?</t>
        </r>
      </text>
    </comment>
    <comment ref="E91" authorId="0" shapeId="0" xr:uid="{00000000-0006-0000-0200-000012000000}">
      <text>
        <r>
          <rPr>
            <b/>
            <sz val="8"/>
            <color indexed="81"/>
            <rFont val="Tahoma"/>
            <family val="2"/>
          </rPr>
          <t>Steve Moffitt:</t>
        </r>
        <r>
          <rPr>
            <sz val="8"/>
            <color indexed="81"/>
            <rFont val="Tahoma"/>
            <family val="2"/>
          </rPr>
          <t xml:space="preserve">
Assumed zero -- Did sampling occurr? See EVOS CWT reports?</t>
        </r>
      </text>
    </comment>
    <comment ref="M91" authorId="0" shapeId="0" xr:uid="{00000000-0006-0000-0200-000013000000}">
      <text>
        <r>
          <rPr>
            <b/>
            <sz val="8"/>
            <color rgb="FF000000"/>
            <rFont val="Tahoma"/>
            <family val="2"/>
          </rPr>
          <t>Steve Moffitt:</t>
        </r>
        <r>
          <rPr>
            <sz val="8"/>
            <color rgb="FF000000"/>
            <rFont val="Tahoma"/>
            <family val="2"/>
          </rPr>
          <t xml:space="preserve">
</t>
        </r>
        <r>
          <rPr>
            <sz val="8"/>
            <color rgb="FF000000"/>
            <rFont val="Tahoma"/>
            <family val="2"/>
          </rPr>
          <t xml:space="preserve">1998 AMR Appendix F.13
</t>
        </r>
        <r>
          <rPr>
            <sz val="8"/>
            <color rgb="FF000000"/>
            <rFont val="Tahoma"/>
            <family val="2"/>
          </rPr>
          <t>Estimated total wild production estimates (catch+escapement)</t>
        </r>
      </text>
    </comment>
    <comment ref="C103" authorId="0" shapeId="0" xr:uid="{00000000-0006-0000-0200-000014000000}">
      <text>
        <r>
          <rPr>
            <b/>
            <sz val="8"/>
            <color indexed="81"/>
            <rFont val="Tahoma"/>
            <family val="2"/>
          </rPr>
          <t>Steve Moffitt:</t>
        </r>
        <r>
          <rPr>
            <sz val="8"/>
            <color indexed="81"/>
            <rFont val="Tahoma"/>
            <family val="2"/>
          </rPr>
          <t xml:space="preserve">
Total revised contibution minus the escapement index - See 2001 AMR Appendix F.9 and values in column J.</t>
        </r>
      </text>
    </comment>
    <comment ref="M103" authorId="0" shapeId="0" xr:uid="{00000000-0006-0000-0200-000015000000}">
      <text>
        <r>
          <rPr>
            <b/>
            <sz val="8"/>
            <color indexed="81"/>
            <rFont val="Tahoma"/>
            <family val="2"/>
          </rPr>
          <t>Steve Moffitt:</t>
        </r>
        <r>
          <rPr>
            <sz val="8"/>
            <color indexed="81"/>
            <rFont val="Tahoma"/>
            <family val="2"/>
          </rPr>
          <t xml:space="preserve">
2001 AMR Appendix F.9 (page 133) - total wld stock return = catch + aerial survey index
Revised CWT estimates based on individual hatchery adjustment factors. 
Is there a report documenting this change??</t>
        </r>
      </text>
    </comment>
    <comment ref="C111" authorId="0" shapeId="0" xr:uid="{00000000-0006-0000-0200-00001600000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D111" authorId="0" shapeId="0" xr:uid="{00000000-0006-0000-0200-00001700000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E111" authorId="0" shapeId="0" xr:uid="{00000000-0006-0000-0200-000018000000}">
      <text>
        <r>
          <rPr>
            <b/>
            <sz val="8"/>
            <color indexed="81"/>
            <rFont val="Tahoma"/>
            <family val="2"/>
          </rPr>
          <t>Steve Moffitt:</t>
        </r>
        <r>
          <rPr>
            <sz val="8"/>
            <color indexed="81"/>
            <rFont val="Tahoma"/>
            <family val="2"/>
          </rPr>
          <t xml:space="preserve">
Contribution estimates from thermal marked otolith recoveries beginning in 1997 (100% mark)</t>
        </r>
      </text>
    </comment>
    <comment ref="D114" authorId="0" shapeId="0" xr:uid="{00000000-0006-0000-0200-000019000000}">
      <text>
        <r>
          <rPr>
            <b/>
            <sz val="8"/>
            <color indexed="81"/>
            <rFont val="Tahoma"/>
            <family val="2"/>
          </rPr>
          <t>Steve Moffitt:</t>
        </r>
        <r>
          <rPr>
            <sz val="8"/>
            <color indexed="81"/>
            <rFont val="Tahoma"/>
            <family val="2"/>
          </rPr>
          <t xml:space="preserve">
Much lower intensity of sampling after 1999 because of generally small contributions of wild fish to hatchery cost recovery harvests. </t>
        </r>
      </text>
    </comment>
    <comment ref="E114" authorId="0" shapeId="0" xr:uid="{00000000-0006-0000-0200-00001A000000}">
      <text>
        <r>
          <rPr>
            <b/>
            <sz val="8"/>
            <color indexed="81"/>
            <rFont val="Tahoma"/>
            <family val="2"/>
          </rPr>
          <t>Steve Moffitt:</t>
        </r>
        <r>
          <rPr>
            <sz val="8"/>
            <color indexed="81"/>
            <rFont val="Tahoma"/>
            <family val="2"/>
          </rPr>
          <t xml:space="preserve">
No sampling by ADF&amp;G after 1999 because of very low wild fish contributions (&lt;1.0%)</t>
        </r>
      </text>
    </comment>
    <comment ref="E122" authorId="0" shapeId="0" xr:uid="{00000000-0006-0000-0200-00001B000000}">
      <text>
        <r>
          <rPr>
            <b/>
            <sz val="8"/>
            <color indexed="81"/>
            <rFont val="Tahoma"/>
            <family val="2"/>
          </rPr>
          <t>Steve Moffitt:</t>
        </r>
        <r>
          <rPr>
            <sz val="8"/>
            <color indexed="81"/>
            <rFont val="Tahoma"/>
            <family val="2"/>
          </rPr>
          <t xml:space="preserve">
PWSAC sampled broodstocks in 2008 and also documented very low contributions of wild fish (&lt;1.0%). They may have sampled in 2009 also. </t>
        </r>
      </text>
    </comment>
    <comment ref="C124" authorId="2" shapeId="0" xr:uid="{00000000-0006-0000-0200-00001C000000}">
      <text>
        <r>
          <rPr>
            <b/>
            <sz val="9"/>
            <color rgb="FF000000"/>
            <rFont val="Tahoma"/>
            <family val="2"/>
          </rPr>
          <t>rebrenner:</t>
        </r>
        <r>
          <rPr>
            <sz val="9"/>
            <color rgb="FF000000"/>
            <rFont val="Tahoma"/>
            <family val="2"/>
          </rPr>
          <t xml:space="preserve">
</t>
        </r>
        <r>
          <rPr>
            <sz val="14"/>
            <color rgb="FF000000"/>
            <rFont val="Tahoma"/>
            <family val="2"/>
          </rPr>
          <t>From preliminary 2010_contributionEstimateTable_Draft_11-18-2010, sheet:  T6_PINK_Otolith_Summary</t>
        </r>
      </text>
    </comment>
    <comment ref="D124" authorId="2" shapeId="0" xr:uid="{00000000-0006-0000-0200-00001D000000}">
      <text>
        <r>
          <rPr>
            <b/>
            <sz val="9"/>
            <color indexed="81"/>
            <rFont val="Tahoma"/>
            <family val="2"/>
          </rPr>
          <t>rebrenner:</t>
        </r>
        <r>
          <rPr>
            <sz val="9"/>
            <color indexed="81"/>
            <rFont val="Tahoma"/>
            <family val="2"/>
          </rPr>
          <t xml:space="preserve">
</t>
        </r>
        <r>
          <rPr>
            <sz val="14"/>
            <color indexed="81"/>
            <rFont val="Tahoma"/>
            <family val="2"/>
          </rPr>
          <t>From preliminary 2010 Contribution Estimate Table, Draft 11-18-2010</t>
        </r>
      </text>
    </comment>
    <comment ref="F124" authorId="2" shapeId="0" xr:uid="{00000000-0006-0000-0200-00001E000000}">
      <text>
        <r>
          <rPr>
            <b/>
            <sz val="9"/>
            <color indexed="81"/>
            <rFont val="Tahoma"/>
            <family val="2"/>
          </rPr>
          <t>rebrenner:</t>
        </r>
        <r>
          <rPr>
            <sz val="9"/>
            <color indexed="81"/>
            <rFont val="Tahoma"/>
            <family val="2"/>
          </rPr>
          <t xml:space="preserve">
</t>
        </r>
        <r>
          <rPr>
            <sz val="18"/>
            <color indexed="81"/>
            <rFont val="Tahoma"/>
            <family val="2"/>
          </rPr>
          <t>From: DCF\Salmon\ESCAPEMENT\AERIAL\AdjStrmTotals\2010\[2010_PWS_AUC_11-19-2010.xls]Adjusted AUC_Districts
Includes Unakwik escapement</t>
        </r>
      </text>
    </comment>
    <comment ref="C125" authorId="2" shapeId="0" xr:uid="{00000000-0006-0000-0200-00001F000000}">
      <text>
        <r>
          <rPr>
            <b/>
            <sz val="9"/>
            <color rgb="FF000000"/>
            <rFont val="Tahoma"/>
            <family val="2"/>
          </rPr>
          <t>rebrenner:</t>
        </r>
        <r>
          <rPr>
            <sz val="9"/>
            <color rgb="FF000000"/>
            <rFont val="Tahoma"/>
            <family val="2"/>
          </rPr>
          <t xml:space="preserve">
</t>
        </r>
        <r>
          <rPr>
            <sz val="14"/>
            <color rgb="FF000000"/>
            <rFont val="Tahoma"/>
            <family val="2"/>
          </rPr>
          <t xml:space="preserve">From 2011 Contribution Report
</t>
        </r>
        <r>
          <rPr>
            <sz val="14"/>
            <color rgb="FF000000"/>
            <rFont val="Tahoma"/>
            <family val="2"/>
          </rPr>
          <t>O:\DCF\SALMON\OTOLITH\111_Reports\Annual_CWT-TMID_Otolith\2011\DRAFTS</t>
        </r>
      </text>
    </comment>
    <comment ref="D125" authorId="2" shapeId="0" xr:uid="{00000000-0006-0000-0200-000020000000}">
      <text>
        <r>
          <rPr>
            <b/>
            <sz val="9"/>
            <color indexed="81"/>
            <rFont val="Tahoma"/>
            <family val="2"/>
          </rPr>
          <t>rebrenner:</t>
        </r>
        <r>
          <rPr>
            <sz val="9"/>
            <color indexed="81"/>
            <rFont val="Tahoma"/>
            <family val="2"/>
          </rPr>
          <t xml:space="preserve">
</t>
        </r>
        <r>
          <rPr>
            <sz val="14"/>
            <color indexed="81"/>
            <rFont val="Tahoma"/>
            <family val="2"/>
          </rPr>
          <t xml:space="preserve">From 2011 Contribution report.
O:\DCF\Salmon\OTOLITH\111_Reports\Annual_CWT-TMID_Otolith\2011\DRAFTS
</t>
        </r>
      </text>
    </comment>
    <comment ref="E125" authorId="2" shapeId="0" xr:uid="{00000000-0006-0000-0200-000021000000}">
      <text>
        <r>
          <rPr>
            <b/>
            <sz val="9"/>
            <color indexed="81"/>
            <rFont val="Tahoma"/>
            <family val="2"/>
          </rPr>
          <t>rebrenner:</t>
        </r>
        <r>
          <rPr>
            <sz val="9"/>
            <color indexed="81"/>
            <rFont val="Tahoma"/>
            <family val="2"/>
          </rPr>
          <t xml:space="preserve">
From 2011 Contribution Table.  All brood assumed to be of hatchery origin.</t>
        </r>
      </text>
    </comment>
    <comment ref="F125" authorId="2" shapeId="0" xr:uid="{00000000-0006-0000-0200-000022000000}">
      <text>
        <r>
          <rPr>
            <b/>
            <sz val="9"/>
            <color indexed="81"/>
            <rFont val="Tahoma"/>
            <family val="2"/>
          </rPr>
          <t>rebrenner:</t>
        </r>
        <r>
          <rPr>
            <sz val="9"/>
            <color indexed="81"/>
            <rFont val="Tahoma"/>
            <family val="2"/>
          </rPr>
          <t xml:space="preserve">
From:
</t>
        </r>
        <r>
          <rPr>
            <sz val="14"/>
            <color indexed="81"/>
            <rFont val="Tahoma"/>
            <family val="2"/>
          </rPr>
          <t>O:\DCF\SALMON\ESCAPEMENT\112_AERIAL\112_PWS\AdjStrmTotals\2011</t>
        </r>
      </text>
    </comment>
    <comment ref="O126" authorId="2" shapeId="0" xr:uid="{00000000-0006-0000-0200-000023000000}">
      <text>
        <r>
          <rPr>
            <b/>
            <sz val="9"/>
            <color indexed="81"/>
            <rFont val="Tahoma"/>
            <family val="2"/>
          </rPr>
          <t>rebrenner:</t>
        </r>
        <r>
          <rPr>
            <sz val="9"/>
            <color indexed="81"/>
            <rFont val="Tahoma"/>
            <family val="2"/>
          </rPr>
          <t xml:space="preserve">
</t>
        </r>
        <r>
          <rPr>
            <sz val="12"/>
            <color indexed="81"/>
            <rFont val="Tahoma"/>
            <family val="2"/>
          </rPr>
          <t>Method used was 2010 total run size. SO, previous brood year total run.</t>
        </r>
      </text>
    </comment>
    <comment ref="C127" authorId="2" shapeId="0" xr:uid="{00000000-0006-0000-0200-000024000000}">
      <text>
        <r>
          <rPr>
            <b/>
            <sz val="9"/>
            <color rgb="FF000000"/>
            <rFont val="Tahoma"/>
            <family val="2"/>
          </rPr>
          <t>rebrenner:</t>
        </r>
        <r>
          <rPr>
            <sz val="9"/>
            <color rgb="FF000000"/>
            <rFont val="Tahoma"/>
            <family val="2"/>
          </rPr>
          <t xml:space="preserve">
</t>
        </r>
        <r>
          <rPr>
            <sz val="12"/>
            <color rgb="FF000000"/>
            <rFont val="Tahoma"/>
            <family val="2"/>
          </rPr>
          <t>O:\DCF\Salmon\OTOLITH\CWT-TMID\Reports\Annual_CWT-TMID_Otolith\2010\DRAFTS\[2010_ContributionEstimateTables_MODEL.xls]T6_PINK_Otolith_Summary</t>
        </r>
      </text>
    </comment>
    <comment ref="D127" authorId="2" shapeId="0" xr:uid="{00000000-0006-0000-0200-000025000000}">
      <text>
        <r>
          <rPr>
            <b/>
            <sz val="9"/>
            <color indexed="81"/>
            <rFont val="Tahoma"/>
            <family val="2"/>
          </rPr>
          <t>rebrenner:</t>
        </r>
        <r>
          <rPr>
            <sz val="9"/>
            <color indexed="81"/>
            <rFont val="Tahoma"/>
            <family val="2"/>
          </rPr>
          <t xml:space="preserve">
From:</t>
        </r>
        <r>
          <rPr>
            <sz val="12"/>
            <color indexed="81"/>
            <rFont val="Tahoma"/>
            <family val="2"/>
          </rPr>
          <t xml:space="preserve"> O:\DCF\Salmon\OTOLITH\CWT-TMID\Reports\Annual_CWT-TMID_Otolith\2010\DRAFTS\[2010_ContributionEstimateTables_MODEL.xls]T6_PINK_Otolith_Summary</t>
        </r>
      </text>
    </comment>
    <comment ref="F127" authorId="2" shapeId="0" xr:uid="{00000000-0006-0000-0200-000026000000}">
      <text>
        <r>
          <rPr>
            <b/>
            <sz val="9"/>
            <color indexed="81"/>
            <rFont val="Tahoma"/>
            <family val="2"/>
          </rPr>
          <t xml:space="preserve">rebrenner:
</t>
        </r>
        <r>
          <rPr>
            <b/>
            <sz val="12"/>
            <color indexed="81"/>
            <rFont val="Tahoma"/>
            <family val="2"/>
          </rPr>
          <t>O:\DCF\SALMON\ESCAPEMENT\112_AERIAL\112_PWS\AdjStrmTotals\2013\[2013_Pink_Chum_AUC_District_12-3-2013.xlsx]</t>
        </r>
      </text>
    </comment>
    <comment ref="O127" authorId="2" shapeId="0" xr:uid="{00000000-0006-0000-0200-000027000000}">
      <text>
        <r>
          <rPr>
            <b/>
            <sz val="9"/>
            <color indexed="81"/>
            <rFont val="Tahoma"/>
            <family val="2"/>
          </rPr>
          <t>rebrenner:</t>
        </r>
        <r>
          <rPr>
            <sz val="9"/>
            <color indexed="81"/>
            <rFont val="Tahoma"/>
            <family val="2"/>
          </rPr>
          <t xml:space="preserve">
Forecasted using average of two previous brood years.</t>
        </r>
      </text>
    </comment>
    <comment ref="C128" authorId="2" shapeId="0" xr:uid="{00000000-0006-0000-0200-000028000000}">
      <text>
        <r>
          <rPr>
            <b/>
            <sz val="9"/>
            <color rgb="FF000000"/>
            <rFont val="Tahoma"/>
            <family val="2"/>
          </rPr>
          <t xml:space="preserve">rebrenner:
</t>
        </r>
        <r>
          <rPr>
            <b/>
            <sz val="28"/>
            <color rgb="FF000000"/>
            <rFont val="Tahoma"/>
            <family val="2"/>
          </rPr>
          <t>From Table T6 of the 2014AutofillcontributionTables report. 12/11/2014</t>
        </r>
      </text>
    </comment>
    <comment ref="D128" authorId="2" shapeId="0" xr:uid="{00000000-0006-0000-0200-000029000000}">
      <text>
        <r>
          <rPr>
            <b/>
            <sz val="9"/>
            <color indexed="81"/>
            <rFont val="Tahoma"/>
            <family val="2"/>
          </rPr>
          <t>rebrenner:</t>
        </r>
        <r>
          <rPr>
            <sz val="9"/>
            <color indexed="81"/>
            <rFont val="Tahoma"/>
            <family val="2"/>
          </rPr>
          <t xml:space="preserve">
</t>
        </r>
        <r>
          <rPr>
            <sz val="26"/>
            <color indexed="81"/>
            <rFont val="Tahoma"/>
            <family val="2"/>
          </rPr>
          <t>From: O:\DCF\Salmon\OTOLITH\CWT-TMID\Reports\Annual_CWT-From Table T6 of the 2014AutofillcontributionTables report. 12/11/2014</t>
        </r>
      </text>
    </comment>
    <comment ref="F128" authorId="2" shapeId="0" xr:uid="{00000000-0006-0000-0200-00002A000000}">
      <text>
        <r>
          <rPr>
            <b/>
            <sz val="9"/>
            <color indexed="81"/>
            <rFont val="Tahoma"/>
            <family val="2"/>
          </rPr>
          <t>rebrenner:</t>
        </r>
        <r>
          <rPr>
            <sz val="9"/>
            <color indexed="81"/>
            <rFont val="Tahoma"/>
            <family val="2"/>
          </rPr>
          <t xml:space="preserve">
From here:
O:\DCF\SALMON\ESCAPEMENT\112_AERIAL\112_PWS\AdjStrmTotals\2014</t>
        </r>
      </text>
    </comment>
    <comment ref="D129" authorId="1" shapeId="0" xr:uid="{00000000-0006-0000-0200-00002B000000}">
      <text>
        <r>
          <rPr>
            <b/>
            <sz val="9"/>
            <color rgb="FF000000"/>
            <rFont val="Tahoma"/>
            <family val="2"/>
          </rPr>
          <t>Moffitt, Steve D (DFG):</t>
        </r>
        <r>
          <rPr>
            <sz val="9"/>
            <color rgb="FF000000"/>
            <rFont val="Tahoma"/>
            <family val="2"/>
          </rPr>
          <t xml:space="preserve">
</t>
        </r>
        <r>
          <rPr>
            <sz val="9"/>
            <color rgb="FF000000"/>
            <rFont val="Tahoma"/>
            <family val="2"/>
          </rPr>
          <t>No otolith samples examined for 2015 as of 1-14-2015</t>
        </r>
      </text>
    </comment>
    <comment ref="F129" authorId="1" shapeId="0" xr:uid="{00000000-0006-0000-0200-00002C000000}">
      <text>
        <r>
          <rPr>
            <b/>
            <sz val="9"/>
            <color indexed="81"/>
            <rFont val="Tahoma"/>
            <family val="2"/>
          </rPr>
          <t>Moffitt, Steve D (DFG):</t>
        </r>
        <r>
          <rPr>
            <sz val="9"/>
            <color indexed="81"/>
            <rFont val="Tahoma"/>
            <family val="2"/>
          </rPr>
          <t xml:space="preserve">
Preliminary as of 1-13-2015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Moffitt, Steve D (DFG)</author>
  </authors>
  <commentList>
    <comment ref="B7" authorId="0" shapeId="0" xr:uid="{00000000-0006-0000-0300-000001000000}">
      <text>
        <r>
          <rPr>
            <b/>
            <sz val="9"/>
            <color indexed="81"/>
            <rFont val="Tahoma"/>
            <family val="2"/>
          </rPr>
          <t>Moffitt, Steve D (DFG):</t>
        </r>
        <r>
          <rPr>
            <sz val="9"/>
            <color indexed="81"/>
            <rFont val="Tahoma"/>
            <family val="2"/>
          </rPr>
          <t xml:space="preserve">
</t>
        </r>
        <r>
          <rPr>
            <sz val="12"/>
            <color indexed="81"/>
            <rFont val="Tahoma"/>
            <family val="2"/>
          </rPr>
          <t>All harvests + stream index</t>
        </r>
      </text>
    </comment>
    <comment ref="C8" authorId="0" shapeId="0" xr:uid="{00000000-0006-0000-0300-000002000000}">
      <text>
        <r>
          <rPr>
            <b/>
            <sz val="8"/>
            <color indexed="81"/>
            <rFont val="Tahoma"/>
            <family val="2"/>
          </rPr>
          <t>Moffitt, Steve D (DFG):</t>
        </r>
        <r>
          <rPr>
            <sz val="8"/>
            <color indexed="81"/>
            <rFont val="Tahoma"/>
            <family val="2"/>
          </rPr>
          <t xml:space="preserve">
</t>
        </r>
        <r>
          <rPr>
            <sz val="22"/>
            <color indexed="81"/>
            <rFont val="Tahoma"/>
            <family val="2"/>
          </rPr>
          <t xml:space="preserve">Prediction bounds calculated using preformance of previous forecasts from last 5 years. </t>
        </r>
      </text>
    </comment>
    <comment ref="K8" authorId="0" shapeId="0" xr:uid="{00000000-0006-0000-0300-000003000000}">
      <text>
        <r>
          <rPr>
            <b/>
            <sz val="8"/>
            <color indexed="81"/>
            <rFont val="Tahoma"/>
            <family val="2"/>
          </rPr>
          <t>Moffitt, Steve D (DFG):</t>
        </r>
        <r>
          <rPr>
            <sz val="8"/>
            <color indexed="81"/>
            <rFont val="Tahoma"/>
            <family val="2"/>
          </rPr>
          <t xml:space="preserve">
Prediction bounds calculated using preformance of previous forecasts from last 5 years. </t>
        </r>
      </text>
    </comment>
    <comment ref="B18" authorId="0" shapeId="0" xr:uid="{00000000-0006-0000-0300-000004000000}">
      <text>
        <r>
          <rPr>
            <b/>
            <sz val="9"/>
            <color indexed="81"/>
            <rFont val="Tahoma"/>
            <family val="2"/>
          </rPr>
          <t>Moffitt, Steve D (DFG):</t>
        </r>
        <r>
          <rPr>
            <sz val="9"/>
            <color indexed="81"/>
            <rFont val="Tahoma"/>
            <family val="2"/>
          </rPr>
          <t xml:space="preserve">
</t>
        </r>
        <r>
          <rPr>
            <sz val="16"/>
            <color indexed="81"/>
            <rFont val="Tahoma"/>
            <family val="2"/>
          </rPr>
          <t>I didn't complete these models in yellow for 2016 or 2017 because the lag 1 exponential smoothing model is usually the best among them, and its MAPE was much higher than the naïve models.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
  <commentList>
    <comment ref="C8" authorId="0" shapeId="0" xr:uid="{00000000-0006-0000-0400-000001000000}">
      <text>
        <r>
          <rPr>
            <b/>
            <sz val="8"/>
            <color indexed="81"/>
            <rFont val="Tahoma"/>
            <family val="2"/>
          </rPr>
          <t>Moffitt, Steve D (DFG):</t>
        </r>
        <r>
          <rPr>
            <sz val="8"/>
            <color indexed="81"/>
            <rFont val="Tahoma"/>
            <family val="2"/>
          </rPr>
          <t xml:space="preserve">
</t>
        </r>
        <r>
          <rPr>
            <sz val="22"/>
            <color indexed="81"/>
            <rFont val="Tahoma"/>
            <family val="2"/>
          </rPr>
          <t xml:space="preserve">Prediction bounds calculated using preformance of previous forecasts from last 5 years. </t>
        </r>
      </text>
    </comment>
    <comment ref="K8" authorId="0" shapeId="0" xr:uid="{00000000-0006-0000-0400-000002000000}">
      <text>
        <r>
          <rPr>
            <b/>
            <sz val="8"/>
            <color indexed="81"/>
            <rFont val="Tahoma"/>
            <family val="2"/>
          </rPr>
          <t>Moffitt, Steve D (DFG):</t>
        </r>
        <r>
          <rPr>
            <sz val="8"/>
            <color indexed="81"/>
            <rFont val="Tahoma"/>
            <family val="2"/>
          </rPr>
          <t xml:space="preserve">
Prediction bounds calculated using preformance of previous forecasts from last 5 years. </t>
        </r>
      </text>
    </comment>
    <comment ref="F21" authorId="1" shapeId="0" xr:uid="{00000000-0006-0000-0400-000003000000}">
      <text>
        <r>
          <rPr>
            <b/>
            <sz val="9"/>
            <color indexed="81"/>
            <rFont val="Tahoma"/>
            <family val="2"/>
          </rPr>
          <t>rebrenner:</t>
        </r>
        <r>
          <rPr>
            <sz val="9"/>
            <color indexed="81"/>
            <rFont val="Tahoma"/>
            <family val="2"/>
          </rPr>
          <t xml:space="preserve">
</t>
        </r>
        <r>
          <rPr>
            <sz val="26"/>
            <color indexed="81"/>
            <rFont val="Tahoma"/>
            <family val="2"/>
          </rPr>
          <t>USED for 2015
 forecast because of lowest MAPE compared to other methods.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
  <commentList>
    <comment ref="O3" authorId="0" shapeId="0" xr:uid="{00000000-0006-0000-0500-00000100000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shapeId="0" xr:uid="{00000000-0006-0000-0500-000002000000}">
      <text>
        <r>
          <rPr>
            <b/>
            <sz val="8"/>
            <color indexed="81"/>
            <rFont val="Tahoma"/>
            <family val="2"/>
          </rPr>
          <t>Moffitt, Steve D (DFG):</t>
        </r>
        <r>
          <rPr>
            <sz val="8"/>
            <color indexed="81"/>
            <rFont val="Tahoma"/>
            <family val="2"/>
          </rPr>
          <t xml:space="preserve">
Harvests + AUC adjusted for stream life only.</t>
        </r>
      </text>
    </comment>
    <comment ref="F50" authorId="1" shapeId="0" xr:uid="{00000000-0006-0000-0500-000003000000}">
      <text>
        <r>
          <rPr>
            <b/>
            <sz val="9"/>
            <color indexed="81"/>
            <rFont val="Tahoma"/>
            <family val="2"/>
          </rPr>
          <t>rebrenner:</t>
        </r>
        <r>
          <rPr>
            <sz val="9"/>
            <color indexed="81"/>
            <rFont val="Tahoma"/>
            <family val="2"/>
          </rPr>
          <t xml:space="preserve">
</t>
        </r>
        <r>
          <rPr>
            <sz val="14"/>
            <color indexed="81"/>
            <rFont val="Tahoma"/>
            <family val="2"/>
          </rPr>
          <t>Lower =  Point estimate/(maximum proportional error + 1).  Try this out using a previous year's forecast and the proportional error for that year, it should = the actual run size.</t>
        </r>
      </text>
    </comment>
    <comment ref="G51" authorId="1" shapeId="0" xr:uid="{00000000-0006-0000-0500-000004000000}">
      <text>
        <r>
          <rPr>
            <b/>
            <sz val="9"/>
            <color indexed="81"/>
            <rFont val="Tahoma"/>
            <family val="2"/>
          </rPr>
          <t>rebrenner:</t>
        </r>
        <r>
          <rPr>
            <sz val="9"/>
            <color indexed="81"/>
            <rFont val="Tahoma"/>
            <family val="2"/>
          </rPr>
          <t xml:space="preserve">
</t>
        </r>
        <r>
          <rPr>
            <sz val="26"/>
            <color indexed="81"/>
            <rFont val="Tahoma"/>
            <family val="2"/>
          </rPr>
          <t>USED THIS FOR 2015 FORECAST BASED ON LOWEST MAPE.</t>
        </r>
      </text>
    </comment>
    <comment ref="F52" authorId="1" shapeId="0" xr:uid="{00000000-0006-0000-0500-000005000000}">
      <text>
        <r>
          <rPr>
            <b/>
            <sz val="9"/>
            <color indexed="81"/>
            <rFont val="Tahoma"/>
            <family val="2"/>
          </rPr>
          <t>rebrenner:</t>
        </r>
        <r>
          <rPr>
            <sz val="9"/>
            <color indexed="81"/>
            <rFont val="Tahoma"/>
            <family val="2"/>
          </rPr>
          <t xml:space="preserve">
</t>
        </r>
        <r>
          <rPr>
            <sz val="14"/>
            <color indexed="81"/>
            <rFont val="Tahoma"/>
            <family val="2"/>
          </rPr>
          <t>Upper Bound = Point estimate/(minimum forecast error +1).  Try this formula out on the forecast for a past year, the answer should = the actual run size for that year.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Moffitt, Steve D (DFG)</author>
  </authors>
  <commentList>
    <comment ref="C10" authorId="0" shapeId="0" xr:uid="{00000000-0006-0000-0600-000001000000}">
      <text>
        <r>
          <rPr>
            <b/>
            <sz val="14"/>
            <color indexed="81"/>
            <rFont val="Tahoma"/>
            <family val="2"/>
          </rPr>
          <t>Moffitt, Steve D (DFG):</t>
        </r>
        <r>
          <rPr>
            <sz val="9"/>
            <color indexed="81"/>
            <rFont val="Tahoma"/>
            <family val="2"/>
          </rPr>
          <t xml:space="preserve">
</t>
        </r>
        <r>
          <rPr>
            <sz val="16"/>
            <color indexed="81"/>
            <rFont val="Tahoma"/>
            <family val="2"/>
          </rPr>
          <t xml:space="preserve">Escapement </t>
        </r>
        <r>
          <rPr>
            <b/>
            <sz val="16"/>
            <color indexed="10"/>
            <rFont val="Tahoma"/>
            <family val="2"/>
          </rPr>
          <t>index</t>
        </r>
        <r>
          <rPr>
            <sz val="16"/>
            <color indexed="81"/>
            <rFont val="Tahoma"/>
            <family val="2"/>
          </rPr>
          <t xml:space="preserve">…adjusted for stream life but not observer efficiency or proportion of total streams represented by the index streams. </t>
        </r>
      </text>
    </comment>
    <comment ref="E10" authorId="0" shapeId="0" xr:uid="{00000000-0006-0000-0600-000002000000}">
      <text>
        <r>
          <rPr>
            <b/>
            <sz val="14"/>
            <color indexed="81"/>
            <rFont val="Tahoma"/>
            <family val="2"/>
          </rPr>
          <t>Moffitt, Steve D (DFG):</t>
        </r>
        <r>
          <rPr>
            <sz val="14"/>
            <color indexed="81"/>
            <rFont val="Tahoma"/>
            <family val="2"/>
          </rPr>
          <t xml:space="preserve">
BY total return = All harvest contributions plus the spawning escapement </t>
        </r>
        <r>
          <rPr>
            <b/>
            <sz val="14"/>
            <color indexed="10"/>
            <rFont val="Tahoma"/>
            <family val="2"/>
          </rPr>
          <t>INDEX.</t>
        </r>
      </text>
    </comment>
    <comment ref="I10" authorId="0" shapeId="0" xr:uid="{00000000-0006-0000-0600-000003000000}">
      <text>
        <r>
          <rPr>
            <b/>
            <sz val="9"/>
            <color indexed="81"/>
            <rFont val="Tahoma"/>
            <family val="2"/>
          </rPr>
          <t>Moffitt, Steve D (DFG):</t>
        </r>
        <r>
          <rPr>
            <sz val="9"/>
            <color indexed="81"/>
            <rFont val="Tahoma"/>
            <family val="2"/>
          </rPr>
          <t xml:space="preserve">
</t>
        </r>
        <r>
          <rPr>
            <sz val="14"/>
            <color indexed="81"/>
            <rFont val="Tahoma"/>
            <family val="2"/>
          </rPr>
          <t xml:space="preserve">Regression of untransformed Brood Year (BY) escapement index to predict untransformed BY Return index. Start after 4 years of escapement and return.
</t>
        </r>
      </text>
    </comment>
    <comment ref="J10" authorId="0" shapeId="0" xr:uid="{00000000-0006-0000-0600-000004000000}">
      <text>
        <r>
          <rPr>
            <b/>
            <sz val="9"/>
            <color indexed="81"/>
            <rFont val="Tahoma"/>
            <family val="2"/>
          </rPr>
          <t>Moffitt, Steve D (DFG):</t>
        </r>
        <r>
          <rPr>
            <sz val="9"/>
            <color indexed="81"/>
            <rFont val="Tahoma"/>
            <family val="2"/>
          </rPr>
          <t xml:space="preserve">
</t>
        </r>
        <r>
          <rPr>
            <sz val="14"/>
            <color indexed="81"/>
            <rFont val="Tahoma"/>
            <family val="2"/>
          </rPr>
          <t>Conditional formating set to high light R</t>
        </r>
        <r>
          <rPr>
            <vertAlign val="superscript"/>
            <sz val="14"/>
            <color indexed="81"/>
            <rFont val="Tahoma"/>
            <family val="2"/>
          </rPr>
          <t>2</t>
        </r>
        <r>
          <rPr>
            <sz val="14"/>
            <color indexed="81"/>
            <rFont val="Tahoma"/>
            <family val="2"/>
          </rPr>
          <t xml:space="preserve"> &gt;0,25</t>
        </r>
      </text>
    </comment>
    <comment ref="K10" authorId="0" shapeId="0" xr:uid="{00000000-0006-0000-0600-000005000000}">
      <text>
        <r>
          <rPr>
            <b/>
            <sz val="9"/>
            <color indexed="81"/>
            <rFont val="Tahoma"/>
            <family val="2"/>
          </rPr>
          <t>Moffitt, Steve D (DFG):</t>
        </r>
        <r>
          <rPr>
            <sz val="9"/>
            <color indexed="81"/>
            <rFont val="Tahoma"/>
            <family val="2"/>
          </rPr>
          <t xml:space="preserve">
</t>
        </r>
        <r>
          <rPr>
            <sz val="14"/>
            <color indexed="81"/>
            <rFont val="Tahoma"/>
            <family val="2"/>
          </rPr>
          <t>=Forecast - actual</t>
        </r>
      </text>
    </comment>
    <comment ref="L10" authorId="0" shapeId="0" xr:uid="{00000000-0006-0000-0600-000006000000}">
      <text>
        <r>
          <rPr>
            <b/>
            <sz val="9"/>
            <color indexed="81"/>
            <rFont val="Tahoma"/>
            <family val="2"/>
          </rPr>
          <t>Moffitt, Steve D (DFG):</t>
        </r>
        <r>
          <rPr>
            <sz val="9"/>
            <color indexed="81"/>
            <rFont val="Tahoma"/>
            <family val="2"/>
          </rPr>
          <t xml:space="preserve">
</t>
        </r>
        <r>
          <rPr>
            <sz val="14"/>
            <color indexed="81"/>
            <rFont val="Tahoma"/>
            <family val="2"/>
          </rPr>
          <t>(forecast - actual)/actual.
This is the standard suggested by biometrician Nancy Gove.</t>
        </r>
      </text>
    </comment>
    <comment ref="N10" authorId="0" shapeId="0" xr:uid="{00000000-0006-0000-0600-000007000000}">
      <text>
        <r>
          <rPr>
            <b/>
            <sz val="9"/>
            <color indexed="81"/>
            <rFont val="Tahoma"/>
            <family val="2"/>
          </rPr>
          <t>Moffitt, Steve D (DFG):</t>
        </r>
        <r>
          <rPr>
            <sz val="9"/>
            <color indexed="81"/>
            <rFont val="Tahoma"/>
            <family val="2"/>
          </rPr>
          <t xml:space="preserve">
</t>
        </r>
        <r>
          <rPr>
            <sz val="14"/>
            <color indexed="81"/>
            <rFont val="Tahoma"/>
            <family val="2"/>
          </rPr>
          <t xml:space="preserve">Regression of natural log transformed Brood Year (BY) escapement index to predict natural log transformed BY Return index. Start after 4 years of escapement and return.
</t>
        </r>
      </text>
    </comment>
    <comment ref="O10" authorId="0" shapeId="0" xr:uid="{00000000-0006-0000-0600-000008000000}">
      <text>
        <r>
          <rPr>
            <b/>
            <sz val="9"/>
            <color indexed="81"/>
            <rFont val="Tahoma"/>
            <family val="2"/>
          </rPr>
          <t>Moffitt, Steve D (DFG):</t>
        </r>
        <r>
          <rPr>
            <sz val="9"/>
            <color indexed="81"/>
            <rFont val="Tahoma"/>
            <family val="2"/>
          </rPr>
          <t xml:space="preserve">
</t>
        </r>
        <r>
          <rPr>
            <sz val="14"/>
            <color indexed="81"/>
            <rFont val="Tahoma"/>
            <family val="2"/>
          </rPr>
          <t>Conditional formating set to high light R</t>
        </r>
        <r>
          <rPr>
            <vertAlign val="superscript"/>
            <sz val="14"/>
            <color indexed="81"/>
            <rFont val="Tahoma"/>
            <family val="2"/>
          </rPr>
          <t>2</t>
        </r>
        <r>
          <rPr>
            <sz val="14"/>
            <color indexed="81"/>
            <rFont val="Tahoma"/>
            <family val="2"/>
          </rPr>
          <t xml:space="preserve"> &gt;0,25</t>
        </r>
      </text>
    </comment>
    <comment ref="P10" authorId="0" shapeId="0" xr:uid="{00000000-0006-0000-0600-000009000000}">
      <text>
        <r>
          <rPr>
            <b/>
            <sz val="9"/>
            <color indexed="81"/>
            <rFont val="Tahoma"/>
            <family val="2"/>
          </rPr>
          <t>Moffitt, Steve D (DFG):</t>
        </r>
        <r>
          <rPr>
            <sz val="9"/>
            <color indexed="81"/>
            <rFont val="Tahoma"/>
            <family val="2"/>
          </rPr>
          <t xml:space="preserve">
</t>
        </r>
        <r>
          <rPr>
            <sz val="14"/>
            <color indexed="81"/>
            <rFont val="Tahoma"/>
            <family val="2"/>
          </rPr>
          <t>=Forecast - actual</t>
        </r>
      </text>
    </comment>
    <comment ref="Q10" authorId="0" shapeId="0" xr:uid="{00000000-0006-0000-0600-00000A000000}">
      <text>
        <r>
          <rPr>
            <b/>
            <sz val="9"/>
            <color indexed="81"/>
            <rFont val="Tahoma"/>
            <family val="2"/>
          </rPr>
          <t>Moffitt, Steve D (DFG):</t>
        </r>
        <r>
          <rPr>
            <sz val="9"/>
            <color indexed="81"/>
            <rFont val="Tahoma"/>
            <family val="2"/>
          </rPr>
          <t xml:space="preserve">
</t>
        </r>
        <r>
          <rPr>
            <sz val="14"/>
            <color indexed="81"/>
            <rFont val="Tahoma"/>
            <family val="2"/>
          </rPr>
          <t>(forecast - actual)/actual.
This is the standard suggested by biometrician Nancy Gove.</t>
        </r>
      </text>
    </comment>
    <comment ref="A11" authorId="0" shapeId="0" xr:uid="{00000000-0006-0000-0600-00000B000000}">
      <text>
        <r>
          <rPr>
            <b/>
            <sz val="9"/>
            <color indexed="81"/>
            <rFont val="Tahoma"/>
            <family val="2"/>
          </rPr>
          <t>Moffitt, Steve D (DFG):</t>
        </r>
        <r>
          <rPr>
            <sz val="9"/>
            <color indexed="81"/>
            <rFont val="Tahoma"/>
            <family val="2"/>
          </rPr>
          <t xml:space="preserve">
</t>
        </r>
        <r>
          <rPr>
            <sz val="12"/>
            <color indexed="81"/>
            <rFont val="Tahoma"/>
            <family val="2"/>
          </rPr>
          <t>Formula determines if this is for even or odd years.
For previous years total run forecast, the First forecast for even years is in 1962 and first forecast for odd years is in 1963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Steve Moffitt</author>
  </authors>
  <commentList>
    <comment ref="K3" authorId="0" shapeId="0" xr:uid="{00000000-0006-0000-0700-000001000000}">
      <text>
        <r>
          <rPr>
            <b/>
            <sz val="9"/>
            <color rgb="FF000000"/>
            <rFont val="Tahoma"/>
            <family val="2"/>
          </rPr>
          <t>Moffitt, Steve D (DFG):</t>
        </r>
        <r>
          <rPr>
            <sz val="9"/>
            <color rgb="FF000000"/>
            <rFont val="Tahoma"/>
            <family val="2"/>
          </rPr>
          <t xml:space="preserve">
</t>
        </r>
        <r>
          <rPr>
            <sz val="14"/>
            <color rgb="FF000000"/>
            <rFont val="Tahoma"/>
            <family val="2"/>
          </rPr>
          <t>Change in Worksheet "Readme"</t>
        </r>
      </text>
    </comment>
    <comment ref="B7" authorId="1" shapeId="0" xr:uid="{00000000-0006-0000-0700-000002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D7" authorId="0" shapeId="0" xr:uid="{00000000-0006-0000-0700-000003000000}">
      <text>
        <r>
          <rPr>
            <b/>
            <sz val="9"/>
            <color indexed="81"/>
            <rFont val="Tahoma"/>
            <family val="2"/>
          </rPr>
          <t>Moffitt, Steve D (DFG):</t>
        </r>
        <r>
          <rPr>
            <sz val="9"/>
            <color indexed="81"/>
            <rFont val="Tahoma"/>
            <family val="2"/>
          </rPr>
          <t xml:space="preserve">
</t>
        </r>
        <r>
          <rPr>
            <sz val="12"/>
            <color indexed="81"/>
            <rFont val="Tahoma"/>
            <family val="2"/>
          </rPr>
          <t>(Forecast minus Actual)</t>
        </r>
        <r>
          <rPr>
            <vertAlign val="superscript"/>
            <sz val="14"/>
            <color indexed="81"/>
            <rFont val="Tahoma"/>
            <family val="2"/>
          </rPr>
          <t>2</t>
        </r>
      </text>
    </comment>
    <comment ref="E7" authorId="0" shapeId="0" xr:uid="{00000000-0006-0000-0700-000004000000}">
      <text>
        <r>
          <rPr>
            <b/>
            <sz val="9"/>
            <color indexed="81"/>
            <rFont val="Tahoma"/>
            <family val="2"/>
          </rPr>
          <t>Moffitt, Steve D (DFG):</t>
        </r>
        <r>
          <rPr>
            <sz val="9"/>
            <color indexed="81"/>
            <rFont val="Tahoma"/>
            <family val="2"/>
          </rPr>
          <t xml:space="preserve">
</t>
        </r>
        <r>
          <rPr>
            <sz val="14"/>
            <color indexed="81"/>
            <rFont val="Times New Roman"/>
            <family val="1"/>
          </rPr>
          <t>(Forecast minus Actual)/Actual</t>
        </r>
      </text>
    </comment>
    <comment ref="H7" authorId="1" shapeId="0" xr:uid="{00000000-0006-0000-0700-000005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N7" authorId="1" shapeId="0" xr:uid="{00000000-0006-0000-0700-000006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S7" authorId="1" shapeId="0" xr:uid="{00000000-0006-0000-0700-000007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A8" authorId="0" shapeId="0" xr:uid="{00000000-0006-0000-0700-000008000000}">
      <text>
        <r>
          <rPr>
            <b/>
            <sz val="9"/>
            <color indexed="81"/>
            <rFont val="Tahoma"/>
            <family val="2"/>
          </rPr>
          <t>Moffitt, Steve D (DFG):</t>
        </r>
        <r>
          <rPr>
            <sz val="9"/>
            <color indexed="81"/>
            <rFont val="Tahoma"/>
            <family val="2"/>
          </rPr>
          <t xml:space="preserve">
</t>
        </r>
        <r>
          <rPr>
            <sz val="12"/>
            <color indexed="81"/>
            <rFont val="Tahoma"/>
            <family val="2"/>
          </rPr>
          <t>Formula determines if this is for even or odd years.
For previous years total run forecast, the First forecast for even years is in 1962 and first forecast for odd years is in 1963</t>
        </r>
      </text>
    </comment>
    <comment ref="D45" authorId="2" shapeId="0" xr:uid="{00000000-0006-0000-0700-000009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E45" authorId="2" shapeId="0" xr:uid="{00000000-0006-0000-0700-00000A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J45" authorId="2" shapeId="0" xr:uid="{00000000-0006-0000-0700-00000B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K45" authorId="2" shapeId="0" xr:uid="{00000000-0006-0000-0700-00000C000000}">
      <text>
        <r>
          <rPr>
            <b/>
            <sz val="12"/>
            <color indexed="81"/>
            <rFont val="Tahoma"/>
            <family val="2"/>
          </rPr>
          <t>Steve Moffitt:</t>
        </r>
        <r>
          <rPr>
            <sz val="12"/>
            <color indexed="81"/>
            <rFont val="Tahoma"/>
            <family val="2"/>
          </rPr>
          <t xml:space="preserve">
80% CI as a percentage of the Common property forecast point estimate. Calculated as the total run forecast minus the escapement goal midpoint or median (if no midpoint goal) Make sure this formula gets updated to the</t>
        </r>
        <r>
          <rPr>
            <sz val="12"/>
            <color indexed="10"/>
            <rFont val="Tahoma"/>
            <family val="2"/>
          </rPr>
          <t xml:space="preserve"> year you are forecastings.</t>
        </r>
      </text>
    </comment>
    <comment ref="O45" authorId="2" shapeId="0" xr:uid="{00000000-0006-0000-0700-00000D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P45" authorId="2" shapeId="0" xr:uid="{00000000-0006-0000-0700-00000E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T45" authorId="2" shapeId="0" xr:uid="{00000000-0006-0000-0700-00000F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U45" authorId="2" shapeId="0" xr:uid="{00000000-0006-0000-0700-000010000000}">
      <text>
        <r>
          <rPr>
            <b/>
            <sz val="12"/>
            <color indexed="81"/>
            <rFont val="Tahoma"/>
            <family val="2"/>
          </rPr>
          <t>Steve Moffitt:</t>
        </r>
        <r>
          <rPr>
            <sz val="12"/>
            <color indexed="81"/>
            <rFont val="Tahoma"/>
            <family val="2"/>
          </rPr>
          <t xml:space="preserve">
80% CI as a percentage of the Common property forecast point estimate. Calculated as the total run forecast minus the escapement goal midpoint or median (if no midpoint goal) Make sure this formula gets updated to the</t>
        </r>
        <r>
          <rPr>
            <sz val="12"/>
            <color indexed="10"/>
            <rFont val="Tahoma"/>
            <family val="2"/>
          </rPr>
          <t xml:space="preserve"> year you are forecastings.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Moffitt, Steve D (DFG)</author>
    <author>Steve Moffitt</author>
  </authors>
  <commentList>
    <comment ref="C3" authorId="0" shapeId="0" xr:uid="{00000000-0006-0000-0800-000001000000}">
      <text>
        <r>
          <rPr>
            <b/>
            <sz val="9"/>
            <color indexed="81"/>
            <rFont val="Tahoma"/>
            <family val="2"/>
          </rPr>
          <t>Moffitt, Steve D (DFG):</t>
        </r>
        <r>
          <rPr>
            <sz val="9"/>
            <color indexed="81"/>
            <rFont val="Tahoma"/>
            <family val="2"/>
          </rPr>
          <t xml:space="preserve">
</t>
        </r>
        <r>
          <rPr>
            <sz val="14"/>
            <color indexed="81"/>
            <rFont val="Tahoma"/>
            <family val="2"/>
          </rPr>
          <t xml:space="preserve">This has to match the Forecast Year in Worksheet "Esc-Return_Regression" to look up the data correctly. </t>
        </r>
        <r>
          <rPr>
            <sz val="9"/>
            <color indexed="81"/>
            <rFont val="Tahoma"/>
            <family val="2"/>
          </rPr>
          <t xml:space="preserve">
</t>
        </r>
      </text>
    </comment>
    <comment ref="A9" authorId="0" shapeId="0" xr:uid="{00000000-0006-0000-0800-000002000000}">
      <text>
        <r>
          <rPr>
            <b/>
            <sz val="9"/>
            <color indexed="81"/>
            <rFont val="Tahoma"/>
            <family val="2"/>
          </rPr>
          <t>Moffitt, Steve D (DFG):</t>
        </r>
        <r>
          <rPr>
            <sz val="9"/>
            <color indexed="81"/>
            <rFont val="Tahoma"/>
            <family val="2"/>
          </rPr>
          <t xml:space="preserve">
</t>
        </r>
        <r>
          <rPr>
            <sz val="12"/>
            <color indexed="81"/>
            <rFont val="Tahoma"/>
            <family val="2"/>
          </rPr>
          <t>Formula determines if this is for even or odd years.
For previous years total run forecast, the First forecast for even years is in 1962 and first forecast for odd years is in 1963</t>
        </r>
      </text>
    </comment>
    <comment ref="U37" authorId="0" shapeId="0" xr:uid="{00000000-0006-0000-0800-000003000000}">
      <text>
        <r>
          <rPr>
            <b/>
            <sz val="9"/>
            <color indexed="81"/>
            <rFont val="Tahoma"/>
            <family val="2"/>
          </rPr>
          <t>Moffitt, Steve D (DFG):</t>
        </r>
        <r>
          <rPr>
            <sz val="9"/>
            <color indexed="81"/>
            <rFont val="Tahoma"/>
            <family val="2"/>
          </rPr>
          <t xml:space="preserve">
Matches the calculation in Worksheet "Esc-Return_Regression with all years of data. 
</t>
        </r>
      </text>
    </comment>
    <comment ref="Q39" authorId="1" shapeId="0" xr:uid="{00000000-0006-0000-0800-00000400000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Q40" authorId="1" shapeId="0" xr:uid="{00000000-0006-0000-0800-00000500000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
  <commentList>
    <comment ref="R4" authorId="0" shapeId="0" xr:uid="{00000000-0006-0000-0900-000001000000}">
      <text>
        <r>
          <rPr>
            <b/>
            <sz val="9"/>
            <color indexed="81"/>
            <rFont val="Tahoma"/>
            <family val="2"/>
          </rPr>
          <t>Moffitt, Steve D (DFG):</t>
        </r>
        <r>
          <rPr>
            <sz val="9"/>
            <color indexed="81"/>
            <rFont val="Tahoma"/>
            <family val="2"/>
          </rPr>
          <t xml:space="preserve">
Biometrician Nancy Goves indicated we should always use this calculation to estimate forecast error. Under forecasts will always have negative error and over forecasts will always have positive error.  
However, the proportional error of under forecasts can never be exceed -1.00 while the proportional error of over forecasts can greatly exceed +1.00.  </t>
        </r>
      </text>
    </comment>
    <comment ref="A5" authorId="0" shapeId="0" xr:uid="{00000000-0006-0000-0900-000002000000}">
      <text>
        <r>
          <rPr>
            <b/>
            <sz val="9"/>
            <color indexed="81"/>
            <rFont val="Tahoma"/>
            <family val="2"/>
          </rPr>
          <t>Moffitt, Steve D (DFG):</t>
        </r>
        <r>
          <rPr>
            <sz val="9"/>
            <color indexed="81"/>
            <rFont val="Tahoma"/>
            <family val="2"/>
          </rPr>
          <t xml:space="preserve">
</t>
        </r>
        <r>
          <rPr>
            <sz val="14"/>
            <color indexed="81"/>
            <rFont val="Tahoma"/>
            <family val="2"/>
          </rPr>
          <t>Column offsets for Vlookup formulas in worksheet "Mean_Run_Performance", e.g., the column offset 3 in the formula below will return a previous year forecast from the year specified in cell $A8 in the worksheet "Mean_Run_Performance"</t>
        </r>
        <r>
          <rPr>
            <sz val="9"/>
            <color indexed="81"/>
            <rFont val="Tahoma"/>
            <family val="2"/>
          </rPr>
          <t xml:space="preserve">
</t>
        </r>
        <r>
          <rPr>
            <sz val="11"/>
            <color indexed="81"/>
            <rFont val="Tahoma"/>
            <family val="2"/>
          </rPr>
          <t>'=VLOOKUP($A8,MeanRuns_EvenOrOdd!$A$8:$H$36</t>
        </r>
        <r>
          <rPr>
            <sz val="11"/>
            <color indexed="10"/>
            <rFont val="Tahoma"/>
            <family val="2"/>
          </rPr>
          <t>,3,</t>
        </r>
        <r>
          <rPr>
            <sz val="11"/>
            <color indexed="81"/>
            <rFont val="Tahoma"/>
            <family val="2"/>
          </rPr>
          <t xml:space="preserve"> FALSE)</t>
        </r>
      </text>
    </comment>
    <comment ref="B7" authorId="0" shapeId="0" xr:uid="{00000000-0006-0000-0900-000003000000}">
      <text>
        <r>
          <rPr>
            <b/>
            <sz val="9"/>
            <color indexed="81"/>
            <rFont val="Tahoma"/>
            <family val="2"/>
          </rPr>
          <t>Moffitt, Steve D (DFG):</t>
        </r>
        <r>
          <rPr>
            <sz val="9"/>
            <color indexed="81"/>
            <rFont val="Tahoma"/>
            <family val="2"/>
          </rPr>
          <t xml:space="preserve">
All harvest plus escapement index adjusted for stream life, but not for observer efficiency or unsurveyed streams.</t>
        </r>
      </text>
    </comment>
    <comment ref="A8" authorId="0" shapeId="0" xr:uid="{00000000-0006-0000-0900-000004000000}">
      <text>
        <r>
          <rPr>
            <b/>
            <sz val="9"/>
            <color indexed="81"/>
            <rFont val="Tahoma"/>
            <family val="2"/>
          </rPr>
          <t>Moffitt, Steve D (DFG):</t>
        </r>
        <r>
          <rPr>
            <sz val="9"/>
            <color indexed="81"/>
            <rFont val="Tahoma"/>
            <family val="2"/>
          </rPr>
          <t xml:space="preserve">
Formula determines if this is for even or odd years</t>
        </r>
      </text>
    </comment>
    <comment ref="A37" authorId="0" shapeId="0" xr:uid="{00000000-0006-0000-0900-000005000000}">
      <text>
        <r>
          <rPr>
            <b/>
            <sz val="9"/>
            <color indexed="81"/>
            <rFont val="Tahoma"/>
            <family val="2"/>
          </rPr>
          <t>Moffitt, Steve D (DFG):</t>
        </r>
        <r>
          <rPr>
            <sz val="9"/>
            <color indexed="81"/>
            <rFont val="Tahoma"/>
            <family val="2"/>
          </rPr>
          <t xml:space="preserve">
</t>
        </r>
        <r>
          <rPr>
            <sz val="14"/>
            <color indexed="81"/>
            <rFont val="Tahoma"/>
            <family val="2"/>
          </rPr>
          <t>If you insert a row for the next year above here (above the forecast year), most formulas below will NOT need to be manually updated.</t>
        </r>
      </text>
    </comment>
    <comment ref="Z40" authorId="0" shapeId="0" xr:uid="{00000000-0006-0000-0900-000006000000}">
      <text>
        <r>
          <rPr>
            <b/>
            <sz val="9"/>
            <color indexed="81"/>
            <rFont val="Tahoma"/>
            <family val="2"/>
          </rPr>
          <t>Moffitt, Steve D (DFG):</t>
        </r>
        <r>
          <rPr>
            <sz val="9"/>
            <color indexed="81"/>
            <rFont val="Tahoma"/>
            <family val="2"/>
          </rPr>
          <t xml:space="preserve">
Mean Absolute Percentage or Proportion Error</t>
        </r>
      </text>
    </comment>
    <comment ref="A41" authorId="0" shapeId="0" xr:uid="{00000000-0006-0000-0900-000007000000}">
      <text>
        <r>
          <rPr>
            <b/>
            <sz val="9"/>
            <color indexed="81"/>
            <rFont val="Tahoma"/>
            <family val="2"/>
          </rPr>
          <t>Moffitt, Steve D (DFG):</t>
        </r>
        <r>
          <rPr>
            <sz val="9"/>
            <color indexed="81"/>
            <rFont val="Tahoma"/>
            <family val="2"/>
          </rPr>
          <t xml:space="preserve">
Number of years of data you want to summarize. Defaults to maximum number, but change as necessary. 
</t>
        </r>
      </text>
    </comment>
    <comment ref="J41" authorId="0" shapeId="0" xr:uid="{00000000-0006-0000-0900-000008000000}">
      <text>
        <r>
          <rPr>
            <b/>
            <sz val="9"/>
            <color indexed="81"/>
            <rFont val="Tahoma"/>
            <family val="2"/>
          </rPr>
          <t>Moffitt, Steve D (DFG):</t>
        </r>
        <r>
          <rPr>
            <sz val="9"/>
            <color indexed="81"/>
            <rFont val="Tahoma"/>
            <family val="2"/>
          </rPr>
          <t xml:space="preserve">
Positive is cumulative forecasts were more than cumulative actual runs. </t>
        </r>
      </text>
    </comment>
    <comment ref="A42" authorId="0" shapeId="0" xr:uid="{00000000-0006-0000-0900-000009000000}">
      <text>
        <r>
          <rPr>
            <b/>
            <sz val="9"/>
            <color indexed="81"/>
            <rFont val="Tahoma"/>
            <family val="2"/>
          </rPr>
          <t xml:space="preserve">Moffitt, Steve D (DFG):
</t>
        </r>
        <r>
          <rPr>
            <sz val="9"/>
            <color indexed="81"/>
            <rFont val="Tahoma"/>
            <family val="2"/>
          </rPr>
          <t xml:space="preserve">The maximum number of years available. </t>
        </r>
      </text>
    </comment>
    <comment ref="J42" authorId="0" shapeId="0" xr:uid="{00000000-0006-0000-0900-00000A000000}">
      <text>
        <r>
          <rPr>
            <b/>
            <sz val="9"/>
            <color indexed="81"/>
            <rFont val="Tahoma"/>
            <family val="2"/>
          </rPr>
          <t>Moffitt, Steve D (DFG):</t>
        </r>
        <r>
          <rPr>
            <sz val="9"/>
            <color indexed="81"/>
            <rFont val="Tahoma"/>
            <family val="2"/>
          </rPr>
          <t xml:space="preserve">
Foreccast more than actual.</t>
        </r>
      </text>
    </comment>
    <comment ref="B43" authorId="1" shapeId="0" xr:uid="{00000000-0006-0000-0900-00000B000000}">
      <text>
        <r>
          <rPr>
            <sz val="14"/>
            <color indexed="81"/>
            <rFont val="Tahoma"/>
            <family val="2"/>
          </rPr>
          <t>sdmoffitt:</t>
        </r>
        <r>
          <rPr>
            <sz val="9"/>
            <color indexed="81"/>
            <rFont val="Tahoma"/>
            <family val="2"/>
          </rPr>
          <t xml:space="preserve">
</t>
        </r>
        <r>
          <rPr>
            <sz val="16"/>
            <color indexed="81"/>
            <rFont val="Tahoma"/>
            <family val="2"/>
          </rPr>
          <t>OFFSET function set to calculate count, median, average, min, max, and SD based on the Forecast year and number of recent years you want to include, e.g., 5, 10, 20, or Max Year (default)   AVERAGE(OFFSET($B$10,COUNT($B$10:$B55)-B$39,0,B$39,1))</t>
        </r>
      </text>
    </comment>
    <comment ref="D43" authorId="0" shapeId="0" xr:uid="{00000000-0006-0000-0900-00000C000000}">
      <text>
        <r>
          <rPr>
            <b/>
            <sz val="9"/>
            <color indexed="81"/>
            <rFont val="Tahoma"/>
            <family val="2"/>
          </rPr>
          <t>Moffitt, Steve D (DFG):</t>
        </r>
        <r>
          <rPr>
            <sz val="9"/>
            <color indexed="81"/>
            <rFont val="Tahoma"/>
            <family val="2"/>
          </rPr>
          <t xml:space="preserve">
</t>
        </r>
        <r>
          <rPr>
            <sz val="11"/>
            <color indexed="81"/>
            <rFont val="Tahoma"/>
            <family val="2"/>
          </rPr>
          <t xml:space="preserve">Need to work on offset function for the group high lighted in yellow.
These still need to be updated each year. </t>
        </r>
      </text>
    </comment>
    <comment ref="J43" authorId="0" shapeId="0" xr:uid="{00000000-0006-0000-0900-00000D000000}">
      <text>
        <r>
          <rPr>
            <b/>
            <sz val="9"/>
            <color indexed="81"/>
            <rFont val="Tahoma"/>
            <family val="2"/>
          </rPr>
          <t>Moffitt, Steve D (DFG):</t>
        </r>
        <r>
          <rPr>
            <sz val="9"/>
            <color indexed="81"/>
            <rFont val="Tahoma"/>
            <family val="2"/>
          </rPr>
          <t xml:space="preserve">
Forecast less than actual.</t>
        </r>
      </text>
    </comment>
    <comment ref="B44" authorId="1" shapeId="0" xr:uid="{00000000-0006-0000-0900-00000E000000}">
      <text>
        <r>
          <rPr>
            <sz val="9"/>
            <color indexed="81"/>
            <rFont val="Tahoma"/>
            <family val="2"/>
          </rPr>
          <t xml:space="preserve">sdmoffitt:
</t>
        </r>
        <r>
          <rPr>
            <sz val="16"/>
            <color indexed="81"/>
            <rFont val="Tahoma"/>
            <family val="2"/>
          </rPr>
          <t>OFFSET function set to calculate count, median, average, min, max, and SD based on the Forecast year and number of recent years you want to include, e.g., 5, 10, 20, or Max Year.   AVERAGE(OFFSET($B$10,COUNT($B$10:$B55)-10,0,10,1))</t>
        </r>
      </text>
    </comment>
    <comment ref="B45" authorId="1" shapeId="0" xr:uid="{00000000-0006-0000-0900-00000F000000}">
      <text>
        <r>
          <rPr>
            <sz val="9"/>
            <color indexed="81"/>
            <rFont val="Tahoma"/>
            <family val="2"/>
          </rPr>
          <t xml:space="preserve">sdmoffitt:
</t>
        </r>
        <r>
          <rPr>
            <sz val="16"/>
            <color indexed="81"/>
            <rFont val="Tahoma"/>
            <family val="2"/>
          </rPr>
          <t>OFFSET function set to calculate count, median, average, min, max, and SD based on the Forecast year and number of recent years you want to include, e.g., 5, 10, 20, or Max Year.   AVERAGE(OFFSET($B$10,COUNT($B$10:$B55)-10,0,10,1))</t>
        </r>
      </text>
    </comment>
    <comment ref="B46" authorId="1" shapeId="0" xr:uid="{00000000-0006-0000-0900-000010000000}">
      <text>
        <r>
          <rPr>
            <sz val="9"/>
            <color indexed="81"/>
            <rFont val="Tahoma"/>
            <family val="2"/>
          </rPr>
          <t xml:space="preserve">sdmoffitt:
</t>
        </r>
        <r>
          <rPr>
            <sz val="16"/>
            <color indexed="81"/>
            <rFont val="Tahoma"/>
            <family val="2"/>
          </rPr>
          <t>OFFSET function set to calculate count, median, average, min, max, and SD based on the Forecast year and number of recent years you want to include, e.g., 5, 10, 20, or Max Year.   AVERAGE(OFFSET($B$10,COUNT($B$10:$B55)-10,0,10,1))</t>
        </r>
      </text>
    </comment>
    <comment ref="Z46" authorId="0" shapeId="0" xr:uid="{00000000-0006-0000-0900-000011000000}">
      <text>
        <r>
          <rPr>
            <b/>
            <sz val="9"/>
            <color indexed="81"/>
            <rFont val="Tahoma"/>
            <family val="2"/>
          </rPr>
          <t>Moffitt, Steve D (DFG):</t>
        </r>
        <r>
          <rPr>
            <sz val="9"/>
            <color indexed="81"/>
            <rFont val="Tahoma"/>
            <family val="2"/>
          </rPr>
          <t xml:space="preserve">
Standard Deviation of Mean Absolute Percentage or Proportion Error</t>
        </r>
      </text>
    </comment>
    <comment ref="B47" authorId="1" shapeId="0" xr:uid="{00000000-0006-0000-0900-000012000000}">
      <text>
        <r>
          <rPr>
            <sz val="9"/>
            <color indexed="81"/>
            <rFont val="Tahoma"/>
            <family val="2"/>
          </rPr>
          <t xml:space="preserve">sdmoffitt:
</t>
        </r>
        <r>
          <rPr>
            <sz val="16"/>
            <color indexed="81"/>
            <rFont val="Tahoma"/>
            <family val="2"/>
          </rPr>
          <t>OFFSET function set to calculate count, median, average, min, max, and SD based on the Forecast year and number of recent years you want to include, e.g., 5, 10, 20, or Max Year.   AVERAGE(OFFSET($B$10,COUNT($B$10:$B55)-10,0,10,1))</t>
        </r>
      </text>
    </comment>
    <comment ref="B48" authorId="1" shapeId="0" xr:uid="{00000000-0006-0000-0900-000013000000}">
      <text>
        <r>
          <rPr>
            <sz val="9"/>
            <color indexed="81"/>
            <rFont val="Tahoma"/>
            <family val="2"/>
          </rPr>
          <t xml:space="preserve">sdmoffitt:
</t>
        </r>
        <r>
          <rPr>
            <sz val="16"/>
            <color indexed="81"/>
            <rFont val="Tahoma"/>
            <family val="2"/>
          </rPr>
          <t>OFFSET function set to calculate count, median, average, min, max, and SD based on the Forecast year and number of recent years you want to include, e.g., 5, 10, 20, or Max Year.   AVERAGE(OFFSET($B$10,COUNT($B$10:$B55)-10,0,10,1))</t>
        </r>
      </text>
    </comment>
    <comment ref="K56" authorId="0" shapeId="0" xr:uid="{00000000-0006-0000-0900-000014000000}">
      <text>
        <r>
          <rPr>
            <b/>
            <sz val="8"/>
            <color indexed="81"/>
            <rFont val="Tahoma"/>
            <family val="2"/>
          </rPr>
          <t>Moffitt, Steve D (DFG):</t>
        </r>
        <r>
          <rPr>
            <sz val="8"/>
            <color indexed="81"/>
            <rFont val="Tahoma"/>
            <family val="2"/>
          </rPr>
          <t xml:space="preserve">
</t>
        </r>
        <r>
          <rPr>
            <sz val="22"/>
            <color indexed="81"/>
            <rFont val="Tahoma"/>
            <family val="2"/>
          </rPr>
          <t xml:space="preserve">Prediction bounds calculated using preformance of previous forecasts from last 5 years.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Steve Moffitt</author>
  </authors>
  <commentList>
    <comment ref="J3" authorId="0" shapeId="0" xr:uid="{00000000-0006-0000-0A00-000001000000}">
      <text>
        <r>
          <rPr>
            <b/>
            <sz val="9"/>
            <color indexed="81"/>
            <rFont val="Tahoma"/>
            <family val="2"/>
          </rPr>
          <t>Moffitt, Steve D (DFG):</t>
        </r>
        <r>
          <rPr>
            <sz val="9"/>
            <color indexed="81"/>
            <rFont val="Tahoma"/>
            <family val="2"/>
          </rPr>
          <t xml:space="preserve">
</t>
        </r>
        <r>
          <rPr>
            <sz val="14"/>
            <color indexed="81"/>
            <rFont val="Tahoma"/>
            <family val="2"/>
          </rPr>
          <t>Change in Worksheet "Readme"</t>
        </r>
      </text>
    </comment>
    <comment ref="B7" authorId="1" shapeId="0" xr:uid="{00000000-0006-0000-0A00-000002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D7" authorId="0" shapeId="0" xr:uid="{00000000-0006-0000-0A00-000003000000}">
      <text>
        <r>
          <rPr>
            <b/>
            <sz val="9"/>
            <color indexed="81"/>
            <rFont val="Tahoma"/>
            <family val="2"/>
          </rPr>
          <t>Moffitt, Steve D (DFG):</t>
        </r>
        <r>
          <rPr>
            <sz val="9"/>
            <color indexed="81"/>
            <rFont val="Tahoma"/>
            <family val="2"/>
          </rPr>
          <t xml:space="preserve">
</t>
        </r>
        <r>
          <rPr>
            <sz val="12"/>
            <color indexed="81"/>
            <rFont val="Tahoma"/>
            <family val="2"/>
          </rPr>
          <t>(Forecast minus Actual)</t>
        </r>
        <r>
          <rPr>
            <vertAlign val="superscript"/>
            <sz val="14"/>
            <color indexed="81"/>
            <rFont val="Tahoma"/>
            <family val="2"/>
          </rPr>
          <t>2</t>
        </r>
      </text>
    </comment>
    <comment ref="E7" authorId="0" shapeId="0" xr:uid="{00000000-0006-0000-0A00-000004000000}">
      <text>
        <r>
          <rPr>
            <b/>
            <sz val="9"/>
            <color indexed="81"/>
            <rFont val="Tahoma"/>
            <family val="2"/>
          </rPr>
          <t>Moffitt, Steve D (DFG):</t>
        </r>
        <r>
          <rPr>
            <sz val="9"/>
            <color indexed="81"/>
            <rFont val="Tahoma"/>
            <family val="2"/>
          </rPr>
          <t xml:space="preserve">
</t>
        </r>
        <r>
          <rPr>
            <sz val="14"/>
            <color indexed="81"/>
            <rFont val="Times New Roman"/>
            <family val="1"/>
          </rPr>
          <t>(Forecast minus Actual)/Actual</t>
        </r>
      </text>
    </comment>
    <comment ref="H7" authorId="1" shapeId="0" xr:uid="{00000000-0006-0000-0A00-000005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M7" authorId="1" shapeId="0" xr:uid="{00000000-0006-0000-0A00-000006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R7" authorId="1" shapeId="0" xr:uid="{00000000-0006-0000-0A00-000007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W7" authorId="1" shapeId="0" xr:uid="{00000000-0006-0000-0A00-000008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AB7" authorId="1" shapeId="0" xr:uid="{00000000-0006-0000-0A00-000009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A8" authorId="0" shapeId="0" xr:uid="{00000000-0006-0000-0A00-00000A000000}">
      <text>
        <r>
          <rPr>
            <b/>
            <sz val="9"/>
            <color indexed="81"/>
            <rFont val="Tahoma"/>
            <family val="2"/>
          </rPr>
          <t>Moffitt, Steve D (DFG):</t>
        </r>
        <r>
          <rPr>
            <sz val="9"/>
            <color indexed="81"/>
            <rFont val="Tahoma"/>
            <family val="2"/>
          </rPr>
          <t xml:space="preserve">
</t>
        </r>
        <r>
          <rPr>
            <sz val="12"/>
            <color indexed="81"/>
            <rFont val="Tahoma"/>
            <family val="2"/>
          </rPr>
          <t>Formula determines if this is for even or odd years.
For previous years total run forecast, the First forecast for even years is in 1962 and first forecast for odd years is in 1963</t>
        </r>
      </text>
    </comment>
    <comment ref="D46" authorId="2" shapeId="0" xr:uid="{00000000-0006-0000-0A00-00000B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E46" authorId="2" shapeId="0" xr:uid="{00000000-0006-0000-0A00-00000C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I46" authorId="2" shapeId="0" xr:uid="{00000000-0006-0000-0A00-00000D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J46" authorId="2" shapeId="0" xr:uid="{00000000-0006-0000-0A00-00000E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N46" authorId="2" shapeId="0" xr:uid="{00000000-0006-0000-0A00-00000F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O46" authorId="2" shapeId="0" xr:uid="{00000000-0006-0000-0A00-000010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S46" authorId="2" shapeId="0" xr:uid="{00000000-0006-0000-0A00-000011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T46" authorId="2" shapeId="0" xr:uid="{00000000-0006-0000-0A00-000012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X46" authorId="2" shapeId="0" xr:uid="{00000000-0006-0000-0A00-000013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Y46" authorId="2" shapeId="0" xr:uid="{00000000-0006-0000-0A00-000014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AC46" authorId="2" shapeId="0" xr:uid="{00000000-0006-0000-0A00-000015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AD46" authorId="2" shapeId="0" xr:uid="{00000000-0006-0000-0A00-000016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Steve Moffitt</author>
  </authors>
  <commentList>
    <comment ref="J3" authorId="0" shapeId="0" xr:uid="{00000000-0006-0000-0B00-000001000000}">
      <text>
        <r>
          <rPr>
            <b/>
            <sz val="9"/>
            <color indexed="81"/>
            <rFont val="Tahoma"/>
            <family val="2"/>
          </rPr>
          <t>Moffitt, Steve D (DFG):</t>
        </r>
        <r>
          <rPr>
            <sz val="9"/>
            <color indexed="81"/>
            <rFont val="Tahoma"/>
            <family val="2"/>
          </rPr>
          <t xml:space="preserve">
</t>
        </r>
        <r>
          <rPr>
            <sz val="14"/>
            <color indexed="81"/>
            <rFont val="Tahoma"/>
            <family val="2"/>
          </rPr>
          <t>Change in Worksheet "Readme"</t>
        </r>
      </text>
    </comment>
    <comment ref="B7" authorId="1" shapeId="0" xr:uid="{00000000-0006-0000-0B00-000002000000}">
      <text>
        <r>
          <rPr>
            <b/>
            <sz val="20"/>
            <color indexed="81"/>
            <rFont val="Tahoma"/>
            <family val="2"/>
          </rPr>
          <t>Steve Moffitt:</t>
        </r>
        <r>
          <rPr>
            <sz val="20"/>
            <color indexed="81"/>
            <rFont val="Tahoma"/>
            <family val="2"/>
          </rPr>
          <t xml:space="preserve"> </t>
        </r>
        <r>
          <rPr>
            <sz val="16"/>
            <color indexed="81"/>
            <rFont val="Tahoma"/>
            <family val="2"/>
          </rPr>
          <t>Total run forecast. 
Looked up Total Run from Worksheet "MeanRuns_EvenOrOdd" using vlookup formula and subtracted out Escapement Goal midpoint or median</t>
        </r>
      </text>
    </comment>
    <comment ref="D7" authorId="0" shapeId="0" xr:uid="{00000000-0006-0000-0B00-000003000000}">
      <text>
        <r>
          <rPr>
            <b/>
            <sz val="9"/>
            <color indexed="81"/>
            <rFont val="Tahoma"/>
            <family val="2"/>
          </rPr>
          <t>Moffitt, Steve D (DFG):</t>
        </r>
        <r>
          <rPr>
            <sz val="9"/>
            <color indexed="81"/>
            <rFont val="Tahoma"/>
            <family val="2"/>
          </rPr>
          <t xml:space="preserve">
</t>
        </r>
        <r>
          <rPr>
            <sz val="12"/>
            <color indexed="81"/>
            <rFont val="Tahoma"/>
            <family val="2"/>
          </rPr>
          <t>(Forecast minus Actual)</t>
        </r>
        <r>
          <rPr>
            <vertAlign val="superscript"/>
            <sz val="14"/>
            <color indexed="81"/>
            <rFont val="Tahoma"/>
            <family val="2"/>
          </rPr>
          <t>2</t>
        </r>
      </text>
    </comment>
    <comment ref="E7" authorId="0" shapeId="0" xr:uid="{00000000-0006-0000-0B00-000004000000}">
      <text>
        <r>
          <rPr>
            <b/>
            <sz val="9"/>
            <color indexed="81"/>
            <rFont val="Tahoma"/>
            <family val="2"/>
          </rPr>
          <t>Moffitt, Steve D (DFG):</t>
        </r>
        <r>
          <rPr>
            <sz val="9"/>
            <color indexed="81"/>
            <rFont val="Tahoma"/>
            <family val="2"/>
          </rPr>
          <t xml:space="preserve">
</t>
        </r>
        <r>
          <rPr>
            <sz val="14"/>
            <color indexed="81"/>
            <rFont val="Times New Roman"/>
            <family val="1"/>
          </rPr>
          <t>(Forecast minus Actual)/Actual</t>
        </r>
      </text>
    </comment>
    <comment ref="H7" authorId="1" shapeId="0" xr:uid="{00000000-0006-0000-0B00-000005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M7" authorId="1" shapeId="0" xr:uid="{00000000-0006-0000-0B00-000006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R7" authorId="1" shapeId="0" xr:uid="{00000000-0006-0000-0B00-000007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W7" authorId="1" shapeId="0" xr:uid="{00000000-0006-0000-0B00-000008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AB7" authorId="1" shapeId="0" xr:uid="{00000000-0006-0000-0B00-000009000000}">
      <text>
        <r>
          <rPr>
            <b/>
            <sz val="20"/>
            <color indexed="81"/>
            <rFont val="Tahoma"/>
            <family val="2"/>
          </rPr>
          <t>Steve Moffitt:</t>
        </r>
        <r>
          <rPr>
            <sz val="20"/>
            <color indexed="81"/>
            <rFont val="Tahoma"/>
            <family val="2"/>
          </rPr>
          <t xml:space="preserve"> </t>
        </r>
        <r>
          <rPr>
            <sz val="16"/>
            <color indexed="81"/>
            <rFont val="Tahoma"/>
            <family val="2"/>
          </rPr>
          <t xml:space="preserve">Total run forecast. 
Looked up from Worksheet "MeanRuns_EvenOrOdd" using vlookup formula. </t>
        </r>
      </text>
    </comment>
    <comment ref="A8" authorId="0" shapeId="0" xr:uid="{00000000-0006-0000-0B00-00000A000000}">
      <text>
        <r>
          <rPr>
            <b/>
            <sz val="9"/>
            <color indexed="81"/>
            <rFont val="Tahoma"/>
            <family val="2"/>
          </rPr>
          <t>Moffitt, Steve D (DFG):</t>
        </r>
        <r>
          <rPr>
            <sz val="9"/>
            <color indexed="81"/>
            <rFont val="Tahoma"/>
            <family val="2"/>
          </rPr>
          <t xml:space="preserve">
</t>
        </r>
        <r>
          <rPr>
            <sz val="12"/>
            <color indexed="81"/>
            <rFont val="Tahoma"/>
            <family val="2"/>
          </rPr>
          <t>Formula determines if this is for even or odd years.
For previous years total run forecast, the First forecast for even years is in 1962 and first forecast for odd years is in 1963</t>
        </r>
      </text>
    </comment>
    <comment ref="D46" authorId="2" shapeId="0" xr:uid="{00000000-0006-0000-0B00-00000B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E46" authorId="2" shapeId="0" xr:uid="{00000000-0006-0000-0B00-00000C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I46" authorId="2" shapeId="0" xr:uid="{00000000-0006-0000-0B00-00000D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J46" authorId="2" shapeId="0" xr:uid="{00000000-0006-0000-0B00-00000E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N46" authorId="2" shapeId="0" xr:uid="{00000000-0006-0000-0B00-00000F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O46" authorId="2" shapeId="0" xr:uid="{00000000-0006-0000-0B00-000010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S46" authorId="2" shapeId="0" xr:uid="{00000000-0006-0000-0B00-000011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T46" authorId="2" shapeId="0" xr:uid="{00000000-0006-0000-0B00-000012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X46" authorId="2" shapeId="0" xr:uid="{00000000-0006-0000-0B00-000013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Y46" authorId="2" shapeId="0" xr:uid="{00000000-0006-0000-0B00-000014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AC46" authorId="2" shapeId="0" xr:uid="{00000000-0006-0000-0B00-000015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AD46" authorId="2" shapeId="0" xr:uid="{00000000-0006-0000-0B00-00001600000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
  <commentList>
    <comment ref="P3" authorId="0" shapeId="0" xr:uid="{00000000-0006-0000-0C00-00000100000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G6" authorId="1" shapeId="0" xr:uid="{00000000-0006-0000-0C00-000002000000}">
      <text>
        <r>
          <rPr>
            <b/>
            <sz val="9"/>
            <color indexed="81"/>
            <rFont val="Tahoma"/>
            <family val="2"/>
          </rPr>
          <t>rebrenner:</t>
        </r>
        <r>
          <rPr>
            <sz val="9"/>
            <color indexed="81"/>
            <rFont val="Tahoma"/>
            <family val="2"/>
          </rPr>
          <t xml:space="preserve">
</t>
        </r>
        <r>
          <rPr>
            <sz val="14"/>
            <color indexed="81"/>
            <rFont val="Tahoma"/>
            <family val="2"/>
          </rPr>
          <t>This column uses the proportional forecast error from previous years to calculate a range of possible outcomes using the current forecast point estimate.  Y' = point estimate/(1+ proportional error).</t>
        </r>
      </text>
    </comment>
    <comment ref="B7" authorId="0" shapeId="0" xr:uid="{00000000-0006-0000-0C00-000003000000}">
      <text>
        <r>
          <rPr>
            <b/>
            <sz val="8"/>
            <color indexed="81"/>
            <rFont val="Tahoma"/>
            <family val="2"/>
          </rPr>
          <t>Moffitt, Steve D (DFG):</t>
        </r>
        <r>
          <rPr>
            <sz val="8"/>
            <color indexed="81"/>
            <rFont val="Tahoma"/>
            <family val="2"/>
          </rPr>
          <t xml:space="preserve">
Harvests + AUC adjusted for stream life only.</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Steve Moffitt</author>
    <author>Moffitt, Steve D (DFG)</author>
  </authors>
  <commentList>
    <comment ref="D8" authorId="0" shapeId="0" xr:uid="{00000000-0006-0000-0D00-00000100000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G8" authorId="0" shapeId="0" xr:uid="{00000000-0006-0000-0D00-00000200000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13" authorId="1" shapeId="0" xr:uid="{00000000-0006-0000-0D00-000003000000}">
      <text>
        <r>
          <rPr>
            <b/>
            <sz val="8"/>
            <color indexed="81"/>
            <rFont val="Tahoma"/>
            <family val="2"/>
          </rPr>
          <t>Moffitt, Steve D (DFG):</t>
        </r>
        <r>
          <rPr>
            <sz val="8"/>
            <color indexed="81"/>
            <rFont val="Tahoma"/>
            <family val="2"/>
          </rPr>
          <t xml:space="preserve">
</t>
        </r>
        <r>
          <rPr>
            <b/>
            <sz val="14"/>
            <color indexed="81"/>
            <rFont val="Tahoma"/>
            <family val="2"/>
          </rPr>
          <t>Forecasts created using Lag-1 exponential smoothing only!</t>
        </r>
      </text>
    </comment>
    <comment ref="E13" authorId="0" shapeId="0" xr:uid="{00000000-0006-0000-0D00-000004000000}">
      <text>
        <r>
          <rPr>
            <b/>
            <sz val="8"/>
            <color indexed="81"/>
            <rFont val="Tahoma"/>
            <family val="2"/>
          </rPr>
          <t>Steve Moffitt:</t>
        </r>
        <r>
          <rPr>
            <sz val="8"/>
            <color indexed="81"/>
            <rFont val="Tahoma"/>
            <family val="2"/>
          </rPr>
          <t xml:space="preserve">
</t>
        </r>
        <r>
          <rPr>
            <sz val="16"/>
            <color indexed="81"/>
            <rFont val="Tahoma"/>
            <family val="2"/>
          </rPr>
          <t xml:space="preserve">Forecast - actual </t>
        </r>
        <r>
          <rPr>
            <sz val="8"/>
            <color indexed="81"/>
            <rFont val="Tahoma"/>
            <family val="2"/>
          </rPr>
          <t xml:space="preserve">
</t>
        </r>
        <r>
          <rPr>
            <sz val="16"/>
            <color indexed="81"/>
            <rFont val="Tahoma"/>
            <family val="2"/>
          </rPr>
          <t>Forecast too high = + values
Forecast too low = - values</t>
        </r>
      </text>
    </comment>
    <comment ref="I13" authorId="0" shapeId="0" xr:uid="{00000000-0006-0000-0D00-000005000000}">
      <text>
        <r>
          <rPr>
            <b/>
            <sz val="14"/>
            <color indexed="81"/>
            <rFont val="Tahoma"/>
            <family val="2"/>
          </rPr>
          <t>Steve Moffitt:</t>
        </r>
        <r>
          <rPr>
            <sz val="8"/>
            <color indexed="81"/>
            <rFont val="Tahoma"/>
            <family val="2"/>
          </rPr>
          <t xml:space="preserve">
</t>
        </r>
        <r>
          <rPr>
            <sz val="14"/>
            <color indexed="81"/>
            <rFont val="Tahoma"/>
            <family val="2"/>
          </rPr>
          <t>From contribution estimate tables</t>
        </r>
      </text>
    </comment>
    <comment ref="H31" authorId="1" shapeId="0" xr:uid="{00000000-0006-0000-0D00-000006000000}">
      <text>
        <r>
          <rPr>
            <b/>
            <sz val="14"/>
            <color indexed="81"/>
            <rFont val="Times New Roman"/>
            <family val="1"/>
          </rPr>
          <t>Moffitt, Steve D (DFG):</t>
        </r>
        <r>
          <rPr>
            <b/>
            <sz val="9"/>
            <color indexed="81"/>
            <rFont val="Tahoma"/>
            <family val="2"/>
          </rPr>
          <t xml:space="preserve">
</t>
        </r>
        <r>
          <rPr>
            <sz val="9"/>
            <color indexed="81"/>
            <rFont val="Tahoma"/>
            <family val="2"/>
          </rPr>
          <t xml:space="preserve">
</t>
        </r>
        <r>
          <rPr>
            <sz val="12"/>
            <color indexed="81"/>
            <rFont val="Times New Roman"/>
            <family val="1"/>
          </rPr>
          <t>S</t>
        </r>
        <r>
          <rPr>
            <sz val="14"/>
            <color indexed="81"/>
            <rFont val="Times New Roman"/>
            <family val="1"/>
          </rPr>
          <t>ubtracted the escapement goal from the total run forecast for each year to estimate the harvest forecast.</t>
        </r>
      </text>
    </comment>
    <comment ref="F48" authorId="0" shapeId="0" xr:uid="{00000000-0006-0000-0D00-00000700000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G48" authorId="0" shapeId="0" xr:uid="{00000000-0006-0000-0D00-000008000000}">
      <text>
        <r>
          <rPr>
            <b/>
            <sz val="12"/>
            <color indexed="81"/>
            <rFont val="Tahoma"/>
            <family val="2"/>
          </rPr>
          <t>Steve Moffitt:</t>
        </r>
        <r>
          <rPr>
            <sz val="12"/>
            <color indexed="81"/>
            <rFont val="Tahoma"/>
            <family val="2"/>
          </rPr>
          <t xml:space="preserve">
</t>
        </r>
        <r>
          <rPr>
            <sz val="22"/>
            <color indexed="81"/>
            <rFont val="Tahoma"/>
            <family val="2"/>
          </rPr>
          <t>80% CI as a percentage of the Total Run forecast.  Make sure this formula gets updated to the</t>
        </r>
        <r>
          <rPr>
            <sz val="22"/>
            <color indexed="10"/>
            <rFont val="Tahoma"/>
            <family val="2"/>
          </rPr>
          <t xml:space="preserve"> year you are forecastings Total Run.</t>
        </r>
      </text>
    </comment>
    <comment ref="J48" authorId="0" shapeId="0" xr:uid="{00000000-0006-0000-0D00-00000900000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K48" authorId="0" shapeId="0" xr:uid="{00000000-0006-0000-0D00-00000A00000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B52" authorId="1" shapeId="0" xr:uid="{00000000-0006-0000-0D00-00000B000000}">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5, 10, 20, 25 or whatever number of years you enter in the column under Average.  It should also update automatically if you add another year by inserting a row under the last or inserting a range of cells under the last year above.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rebrenner</author>
    <author>Moffitt, Steve D (DFG)</author>
  </authors>
  <commentList>
    <comment ref="E72" authorId="0" shapeId="0" xr:uid="{00000000-0006-0000-0E00-000001000000}">
      <text>
        <r>
          <rPr>
            <b/>
            <sz val="16"/>
            <color indexed="81"/>
            <rFont val="Tahoma"/>
            <family val="2"/>
          </rPr>
          <t>rebrenner:</t>
        </r>
        <r>
          <rPr>
            <sz val="9"/>
            <color indexed="81"/>
            <rFont val="Tahoma"/>
            <family val="2"/>
          </rPr>
          <t xml:space="preserve">
</t>
        </r>
        <r>
          <rPr>
            <sz val="20"/>
            <color indexed="81"/>
            <rFont val="Tahoma"/>
            <family val="2"/>
          </rPr>
          <t>First, use SOLVER to "set the target cell" to this cell. Run the solver and obtain a forecast estimate.</t>
        </r>
      </text>
    </comment>
    <comment ref="G72" authorId="1" shapeId="0" xr:uid="{00000000-0006-0000-0E00-000002000000}">
      <text>
        <r>
          <rPr>
            <b/>
            <sz val="16"/>
            <color indexed="81"/>
            <rFont val="Tahoma"/>
            <family val="2"/>
          </rPr>
          <t>Moffitt, Steve D (DFG):</t>
        </r>
        <r>
          <rPr>
            <sz val="8"/>
            <color indexed="81"/>
            <rFont val="Tahoma"/>
            <family val="2"/>
          </rPr>
          <t xml:space="preserve">
</t>
        </r>
        <r>
          <rPr>
            <sz val="20"/>
            <color indexed="81"/>
            <rFont val="Tahoma"/>
            <family val="2"/>
          </rPr>
          <t xml:space="preserve">Second, use SOLVER to "set the target cell" to this cell:      Mean Absolute Percentage Error (MAPE)
Minimize this cell using solver to estimate the best lag 1 parameter for the exponential smoothing.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Moffitt, Steve D (DFG)</author>
  </authors>
  <commentList>
    <comment ref="G43" authorId="0" shapeId="0" xr:uid="{00000000-0006-0000-0F00-00000100000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smoothing parameters for the exponential smoothing.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rebrenner</author>
    <author>Moffitt, Steve D (DFG)</author>
  </authors>
  <commentList>
    <comment ref="E45" authorId="0" shapeId="0" xr:uid="{00000000-0006-0000-1000-000001000000}">
      <text>
        <r>
          <rPr>
            <b/>
            <sz val="9"/>
            <color indexed="81"/>
            <rFont val="Tahoma"/>
            <family val="2"/>
          </rPr>
          <t>rebrenner:</t>
        </r>
        <r>
          <rPr>
            <sz val="9"/>
            <color indexed="81"/>
            <rFont val="Tahoma"/>
            <family val="2"/>
          </rPr>
          <t xml:space="preserve">
</t>
        </r>
        <r>
          <rPr>
            <sz val="18"/>
            <color indexed="81"/>
            <rFont val="Tahoma"/>
            <family val="2"/>
          </rPr>
          <t>First, minimize this in solver. SECOND, minimize MAPE in solver.</t>
        </r>
      </text>
    </comment>
    <comment ref="G45" authorId="1" shapeId="0" xr:uid="{00000000-0006-0000-1000-00000200000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smoothing parameters for the exponential smoothing.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Moffitt, Steve D (DFG)</author>
  </authors>
  <commentList>
    <comment ref="O3" authorId="0" shapeId="0" xr:uid="{00000000-0006-0000-1100-00000100000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shapeId="0" xr:uid="{00000000-0006-0000-1100-000002000000}">
      <text>
        <r>
          <rPr>
            <b/>
            <sz val="8"/>
            <color indexed="81"/>
            <rFont val="Tahoma"/>
            <family val="2"/>
          </rPr>
          <t>Moffitt, Steve D (DFG):</t>
        </r>
        <r>
          <rPr>
            <sz val="8"/>
            <color indexed="81"/>
            <rFont val="Tahoma"/>
            <family val="2"/>
          </rPr>
          <t xml:space="preserve">
Harvests + AUC adjusted for stream life only.</t>
        </r>
      </text>
    </comment>
    <comment ref="G65" authorId="0" shapeId="0" xr:uid="{00000000-0006-0000-1100-00000300000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lag 1 parameter for the exponential smoothing.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Moffitt, Steve D (DFG)</author>
    <author>rebrenner</author>
  </authors>
  <commentList>
    <comment ref="N3" authorId="0" shapeId="0" xr:uid="{00000000-0006-0000-1300-000001000000}">
      <text>
        <r>
          <rPr>
            <b/>
            <sz val="8"/>
            <color indexed="81"/>
            <rFont val="Tahoma"/>
            <family val="2"/>
          </rPr>
          <t>Moffitt, Steve D (DFG):</t>
        </r>
        <r>
          <rPr>
            <sz val="8"/>
            <color indexed="81"/>
            <rFont val="Tahoma"/>
            <family val="2"/>
          </rPr>
          <t xml:space="preserve">
</t>
        </r>
        <r>
          <rPr>
            <sz val="12"/>
            <color indexed="81"/>
            <rFont val="Tahoma"/>
            <family val="2"/>
          </rPr>
          <t>To minimize the mean absolute percentage error (MAPE) use solver. 
Or you can just enter values to see how they influence the MAPE and the plot.</t>
        </r>
      </text>
    </comment>
    <comment ref="B7" authorId="0" shapeId="0" xr:uid="{00000000-0006-0000-1300-000002000000}">
      <text>
        <r>
          <rPr>
            <b/>
            <sz val="8"/>
            <color indexed="81"/>
            <rFont val="Tahoma"/>
            <family val="2"/>
          </rPr>
          <t>Moffitt, Steve D (DFG):</t>
        </r>
        <r>
          <rPr>
            <sz val="8"/>
            <color indexed="81"/>
            <rFont val="Tahoma"/>
            <family val="2"/>
          </rPr>
          <t xml:space="preserve">
Harvests + AUC adjusted for stream life only.</t>
        </r>
      </text>
    </comment>
    <comment ref="E69" authorId="1" shapeId="0" xr:uid="{00000000-0006-0000-1300-000003000000}">
      <text>
        <r>
          <rPr>
            <b/>
            <sz val="9"/>
            <color indexed="81"/>
            <rFont val="Tahoma"/>
            <family val="2"/>
          </rPr>
          <t>rebrenner:</t>
        </r>
        <r>
          <rPr>
            <sz val="9"/>
            <color indexed="81"/>
            <rFont val="Tahoma"/>
            <family val="2"/>
          </rPr>
          <t xml:space="preserve">
</t>
        </r>
        <r>
          <rPr>
            <sz val="20"/>
            <color indexed="81"/>
            <rFont val="Tahoma"/>
            <family val="2"/>
          </rPr>
          <t>Also try using Solver to minimize this, which might be less biased than MAPE</t>
        </r>
      </text>
    </comment>
    <comment ref="G69" authorId="0" shapeId="0" xr:uid="{00000000-0006-0000-1300-000004000000}">
      <text>
        <r>
          <rPr>
            <b/>
            <sz val="8"/>
            <color indexed="81"/>
            <rFont val="Tahoma"/>
            <family val="2"/>
          </rPr>
          <t>Moffitt, Steve D (DFG):</t>
        </r>
        <r>
          <rPr>
            <sz val="8"/>
            <color indexed="81"/>
            <rFont val="Tahoma"/>
            <family val="2"/>
          </rPr>
          <t xml:space="preserve">
</t>
        </r>
        <r>
          <rPr>
            <sz val="12"/>
            <color indexed="81"/>
            <rFont val="Tahoma"/>
            <family val="2"/>
          </rPr>
          <t xml:space="preserve">Mean Absolute Percentage Error (MAPE)
Minimize this cell using solver to estimate the best lag 1 parameter for the exponential smoothing. </t>
        </r>
      </text>
    </comment>
    <comment ref="H69" authorId="1" shapeId="0" xr:uid="{00000000-0006-0000-1300-000005000000}">
      <text>
        <r>
          <rPr>
            <b/>
            <sz val="9"/>
            <color indexed="81"/>
            <rFont val="Tahoma"/>
            <family val="2"/>
          </rPr>
          <t>rebrenner:</t>
        </r>
        <r>
          <rPr>
            <sz val="9"/>
            <color indexed="81"/>
            <rFont val="Tahoma"/>
            <family val="2"/>
          </rPr>
          <t xml:space="preserve">
</t>
        </r>
        <r>
          <rPr>
            <sz val="16"/>
            <color indexed="81"/>
            <rFont val="Tahoma"/>
            <family val="2"/>
          </rPr>
          <t>But remember that this forecast includes even and odd years, which might not be appropriate given the substantially larger odd years.</t>
        </r>
      </text>
    </comment>
  </commentList>
</comments>
</file>

<file path=xl/sharedStrings.xml><?xml version="1.0" encoding="utf-8"?>
<sst xmlns="http://schemas.openxmlformats.org/spreadsheetml/2006/main" count="1524" uniqueCount="383">
  <si>
    <t>File:</t>
  </si>
  <si>
    <t>Absolute</t>
  </si>
  <si>
    <t>Brood</t>
  </si>
  <si>
    <t>Return</t>
  </si>
  <si>
    <t>Total</t>
  </si>
  <si>
    <t>Squared</t>
  </si>
  <si>
    <t>Percent</t>
  </si>
  <si>
    <t>Year</t>
  </si>
  <si>
    <t>Error</t>
  </si>
  <si>
    <t>Lower</t>
  </si>
  <si>
    <t>Upper</t>
  </si>
  <si>
    <t>Constant</t>
  </si>
  <si>
    <t>X =</t>
  </si>
  <si>
    <t>Y=</t>
  </si>
  <si>
    <t>Graphics Section</t>
  </si>
  <si>
    <t xml:space="preserve">        Variables</t>
  </si>
  <si>
    <t xml:space="preserve">          Regression Data</t>
  </si>
  <si>
    <t xml:space="preserve">       Confidence Intervals (transformed if applicable)</t>
  </si>
  <si>
    <t>X</t>
  </si>
  <si>
    <t>(A)</t>
  </si>
  <si>
    <t>(B)</t>
  </si>
  <si>
    <t>Labels(B)</t>
  </si>
  <si>
    <t>Confidence Bounds</t>
  </si>
  <si>
    <t>Independent</t>
  </si>
  <si>
    <t>Dependent</t>
  </si>
  <si>
    <t>Std Err</t>
  </si>
  <si>
    <t>Y est</t>
  </si>
  <si>
    <t>Leave 1 out</t>
  </si>
  <si>
    <t>Point</t>
  </si>
  <si>
    <t>Brood Yr.</t>
  </si>
  <si>
    <t>Predicted</t>
  </si>
  <si>
    <t>Actual</t>
  </si>
  <si>
    <t>(C)</t>
  </si>
  <si>
    <t>(D)</t>
  </si>
  <si>
    <t>Y_x001E_do_x001F_</t>
  </si>
  <si>
    <t>N</t>
  </si>
  <si>
    <t>d.f.</t>
  </si>
  <si>
    <t>Coef. X</t>
  </si>
  <si>
    <t>Y_x001E_de_x001F_</t>
  </si>
  <si>
    <t>MSE</t>
  </si>
  <si>
    <t>Y_x001E_do_x001F_-Y_x001E_de</t>
  </si>
  <si>
    <t>E_x001E_u2_x001F_=(Y_x001E_da_x001F_-Y_x001E_de_x001F_)_x001E_u2_x001F_</t>
  </si>
  <si>
    <t>Y_x001E_de_x001F_-Avg(E_x001E_u2_x001F_)</t>
  </si>
  <si>
    <t>Y_x001E_de_x001F_+Avg(E_x001E_u2_x001F_)</t>
  </si>
  <si>
    <t>Escapement</t>
  </si>
  <si>
    <t>Y</t>
  </si>
  <si>
    <t>Forecast</t>
  </si>
  <si>
    <t>leave 1 out</t>
  </si>
  <si>
    <t>d.f. =</t>
  </si>
  <si>
    <t>M.S.E. Leave 1 out =</t>
  </si>
  <si>
    <t>t=</t>
  </si>
  <si>
    <t>regression</t>
  </si>
  <si>
    <t>M.S.E. ALL =</t>
  </si>
  <si>
    <t>M.S.E. =</t>
  </si>
  <si>
    <t>Avg Err=</t>
  </si>
  <si>
    <t xml:space="preserve">     </t>
  </si>
  <si>
    <t>Average</t>
  </si>
  <si>
    <t>Harvest</t>
  </si>
  <si>
    <t>Resid df</t>
  </si>
  <si>
    <t>Intercept</t>
  </si>
  <si>
    <t>CoefX</t>
  </si>
  <si>
    <t>CoefXSE</t>
  </si>
  <si>
    <r>
      <t>Y</t>
    </r>
    <r>
      <rPr>
        <vertAlign val="subscript"/>
        <sz val="10"/>
        <rFont val="DUTCH"/>
      </rPr>
      <t>est</t>
    </r>
  </si>
  <si>
    <t>YestSE</t>
  </si>
  <si>
    <r>
      <t>R</t>
    </r>
    <r>
      <rPr>
        <vertAlign val="superscript"/>
        <sz val="10"/>
        <rFont val="DUTCH"/>
      </rPr>
      <t>sq</t>
    </r>
  </si>
  <si>
    <t>SUMMARY OUTPUT</t>
  </si>
  <si>
    <t>Regression Statistics</t>
  </si>
  <si>
    <t>Multiple R</t>
  </si>
  <si>
    <t>R Square</t>
  </si>
  <si>
    <t>Adjusted R Square</t>
  </si>
  <si>
    <t>Standard Error</t>
  </si>
  <si>
    <t>Observations</t>
  </si>
  <si>
    <t>ANOVA</t>
  </si>
  <si>
    <t>df</t>
  </si>
  <si>
    <t>SS</t>
  </si>
  <si>
    <t>MS</t>
  </si>
  <si>
    <t>F</t>
  </si>
  <si>
    <t>Significance F</t>
  </si>
  <si>
    <t>Regression</t>
  </si>
  <si>
    <t>Residual</t>
  </si>
  <si>
    <t>Coefficients</t>
  </si>
  <si>
    <t>t Stat</t>
  </si>
  <si>
    <t>P-value</t>
  </si>
  <si>
    <t>Lower 95%</t>
  </si>
  <si>
    <t>Upper 95%</t>
  </si>
  <si>
    <t>X Variable 1</t>
  </si>
  <si>
    <t>Even</t>
  </si>
  <si>
    <t>All</t>
  </si>
  <si>
    <t>Percentage</t>
  </si>
  <si>
    <t>BYR</t>
  </si>
  <si>
    <t>Ln(S)</t>
  </si>
  <si>
    <t>RtYr</t>
  </si>
  <si>
    <t>Ln(R)</t>
  </si>
  <si>
    <t>R/S</t>
  </si>
  <si>
    <t>Ln(R/S)</t>
  </si>
  <si>
    <t>CCP</t>
  </si>
  <si>
    <t>HCR</t>
  </si>
  <si>
    <t xml:space="preserve">Confidence bounds = </t>
  </si>
  <si>
    <t>%</t>
  </si>
  <si>
    <t>α/2 =</t>
  </si>
  <si>
    <t>(1-α/2) =</t>
  </si>
  <si>
    <t>Secondary questions: what is the basic nature of the model that is used in this forecast? What assumptions are made? What alternative models or parameters have been rejected?</t>
  </si>
  <si>
    <t>Most importantly, what data need to be entered prior to analysis and what macros need to be run?</t>
  </si>
  <si>
    <t>The current forecast is simply based on the average of total odd or even year returns.</t>
  </si>
  <si>
    <t xml:space="preserve">The tabs in GREEN are still being utilized to generate a forecast. </t>
  </si>
  <si>
    <t>Ideally, we should also determine the best model using averages for 2, 3, 4, 5, 10, 20, all years by using the absolute % error.</t>
  </si>
  <si>
    <t>The forecasts for coho, sockeye and Chinook for the Copper and Bering Rivers already utilizes this approach.</t>
  </si>
  <si>
    <t>the 2 previous brood year returns, the 4 previous brood year returns or the 5 previous brood year returns have given the best forecast in past years.</t>
  </si>
  <si>
    <t>Prev. Brood Yr.</t>
  </si>
  <si>
    <t>Prev. 2 brood years</t>
  </si>
  <si>
    <t>Prev. 3 brood years</t>
  </si>
  <si>
    <t>Prev. 4 brood years</t>
  </si>
  <si>
    <t>Prev. 5 brood years</t>
  </si>
  <si>
    <t>TO DO:</t>
  </si>
  <si>
    <r>
      <t xml:space="preserve">We also need to see if the </t>
    </r>
    <r>
      <rPr>
        <u/>
        <sz val="12"/>
        <rFont val="Helv"/>
      </rPr>
      <t>commercial harvest</t>
    </r>
    <r>
      <rPr>
        <sz val="12"/>
        <rFont val="Helv"/>
      </rPr>
      <t xml:space="preserve"> from the previous brood year and 2, 3, 4, 5 year averages is a good method to predict future </t>
    </r>
    <r>
      <rPr>
        <u/>
        <sz val="12"/>
        <rFont val="Helv"/>
      </rPr>
      <t>commercial harvests</t>
    </r>
    <r>
      <rPr>
        <sz val="12"/>
        <rFont val="Helv"/>
      </rPr>
      <t>.</t>
    </r>
  </si>
  <si>
    <r>
      <t xml:space="preserve">The </t>
    </r>
    <r>
      <rPr>
        <b/>
        <sz val="12"/>
        <rFont val="Helv"/>
      </rPr>
      <t>Evaluation_Total_Run</t>
    </r>
    <r>
      <rPr>
        <sz val="12"/>
        <rFont val="Helv"/>
      </rPr>
      <t xml:space="preserve"> sheet is used to determine the best average to use as the forecast. In this sheet, we compare whether brood year returns, </t>
    </r>
  </si>
  <si>
    <t>Run</t>
  </si>
  <si>
    <t>Rank</t>
  </si>
  <si>
    <t>n</t>
  </si>
  <si>
    <t>SD</t>
  </si>
  <si>
    <t>Prev. 10 brood years</t>
  </si>
  <si>
    <t>Count</t>
  </si>
  <si>
    <t xml:space="preserve">Table </t>
  </si>
  <si>
    <t xml:space="preserve">Exponential </t>
  </si>
  <si>
    <t xml:space="preserve">Smoothing </t>
  </si>
  <si>
    <t>Damping factor at lag</t>
  </si>
  <si>
    <t>Lag 1 =</t>
  </si>
  <si>
    <t>Lag 2 =</t>
  </si>
  <si>
    <t>Lag 3 =</t>
  </si>
  <si>
    <t>Lag 4 =</t>
  </si>
  <si>
    <t>Exponential Smoothing forecast</t>
  </si>
  <si>
    <t>Absolute Error</t>
  </si>
  <si>
    <t>Absolute Percentage Error</t>
  </si>
  <si>
    <t>Total run</t>
  </si>
  <si>
    <t>Estimate</t>
  </si>
  <si>
    <t>Total Run</t>
  </si>
  <si>
    <t>Graphing section</t>
  </si>
  <si>
    <t xml:space="preserve">Ex-smoothing </t>
  </si>
  <si>
    <t>NA</t>
  </si>
  <si>
    <t>Odd</t>
  </si>
  <si>
    <t>Grand mean observer efficiency =</t>
  </si>
  <si>
    <t>Median</t>
  </si>
  <si>
    <t>Min</t>
  </si>
  <si>
    <t>Max</t>
  </si>
  <si>
    <t>Run Year</t>
  </si>
  <si>
    <t>Stdev</t>
  </si>
  <si>
    <t>Total (w/ observer eff)</t>
  </si>
  <si>
    <t>Proportion of total esc. Measured by index systems =</t>
  </si>
  <si>
    <t>Total (w/ obs eff and prop unsurveyed)</t>
  </si>
  <si>
    <t>Expanded for total streams</t>
  </si>
  <si>
    <t>Total (w/ index): strm life but not Obs. Efficiency or total streams</t>
  </si>
  <si>
    <t xml:space="preserve">Percentage </t>
  </si>
  <si>
    <t xml:space="preserve">Forecast of Prince William Sound wild pink salmon total run using a lag 1 exponential smoothing with </t>
  </si>
  <si>
    <t>a solver determined damping factor that minimizes the mean absolute percentage error (MAPE).</t>
  </si>
  <si>
    <t>Numerical Error</t>
  </si>
  <si>
    <t>Percentage Error</t>
  </si>
  <si>
    <t xml:space="preserve">Min </t>
  </si>
  <si>
    <t xml:space="preserve">Max </t>
  </si>
  <si>
    <t>Sum</t>
  </si>
  <si>
    <t>Mean Absolute Percentage error =</t>
  </si>
  <si>
    <t>Parameter "c"</t>
  </si>
  <si>
    <t xml:space="preserve">Forecast of Prince William Sound wild pink salmon CCP harvest using a lag 1 exponential smoothing with </t>
  </si>
  <si>
    <t>MAPE =</t>
  </si>
  <si>
    <t>Minimize this value with solver</t>
  </si>
  <si>
    <t xml:space="preserve">by changing the values of lag 2, 3, and 4 </t>
  </si>
  <si>
    <t>subject to the constraint that neither lags 1, 2,3, or 4 are &lt;0.</t>
  </si>
  <si>
    <t xml:space="preserve">Forecast of PWS wild pink salmon total run using exponential </t>
  </si>
  <si>
    <t>(Even Years ONLY).</t>
  </si>
  <si>
    <t>smoothing with damping factors from 0.1 to 0.5, 1962-2010.</t>
  </si>
  <si>
    <t>(Odd Years ONLY).</t>
  </si>
  <si>
    <t>smoothing with damping factors, 1961-2009.</t>
  </si>
  <si>
    <t xml:space="preserve">Forecast of Prince William Sound wild pink salmon total run using </t>
  </si>
  <si>
    <t>(ALL YEARS TOTAL RUNS).</t>
  </si>
  <si>
    <t>Brood Line</t>
  </si>
  <si>
    <t>Commercial Harvest</t>
  </si>
  <si>
    <t>Difference</t>
  </si>
  <si>
    <t>Species</t>
  </si>
  <si>
    <t>Positive</t>
  </si>
  <si>
    <t>Total Squared Error</t>
  </si>
  <si>
    <t>Mean Error</t>
  </si>
  <si>
    <t>80% of Mean Error</t>
  </si>
  <si>
    <t>1/2 Width</t>
  </si>
  <si>
    <t>80% C. I.</t>
  </si>
  <si>
    <t xml:space="preserve">Difference </t>
  </si>
  <si>
    <t>Averages</t>
  </si>
  <si>
    <t xml:space="preserve">Actual  </t>
  </si>
  <si>
    <t>Estimation of 80% Confidence Intervals for PWS wild pink salmon forecasts.</t>
  </si>
  <si>
    <t xml:space="preserve">Pink </t>
  </si>
  <si>
    <t>Method</t>
  </si>
  <si>
    <t xml:space="preserve">Point </t>
  </si>
  <si>
    <t>Run Year Projected =</t>
  </si>
  <si>
    <t>L80%</t>
  </si>
  <si>
    <t>U80%</t>
  </si>
  <si>
    <t>MAPE</t>
  </si>
  <si>
    <t>SD of MAPE</t>
  </si>
  <si>
    <t>Exponential smoothing models</t>
  </si>
  <si>
    <t>All years with damping to lag 4</t>
  </si>
  <si>
    <t>Odd years with damping to lag 4</t>
  </si>
  <si>
    <t xml:space="preserve">R/S indexed esc. </t>
  </si>
  <si>
    <t>Lower 95.0%</t>
  </si>
  <si>
    <t>Upper 95.0%</t>
  </si>
  <si>
    <t>BYR escapement</t>
  </si>
  <si>
    <r>
      <t>R</t>
    </r>
    <r>
      <rPr>
        <vertAlign val="superscript"/>
        <sz val="12"/>
        <rFont val="Times New Roman"/>
        <family val="1"/>
      </rPr>
      <t>2</t>
    </r>
  </si>
  <si>
    <t>BYR Total Return (Esc Year +2)</t>
  </si>
  <si>
    <t>Average return models</t>
  </si>
  <si>
    <t>Escapement-return regression models</t>
  </si>
  <si>
    <t>BYR return = BYR Esc.</t>
  </si>
  <si>
    <t>Ln(BYR return) = Ln(BYR Esc.)</t>
  </si>
  <si>
    <t>Odd years lag 1 exp. Smoothing</t>
  </si>
  <si>
    <t>All years lag 1 exp. Smoothing</t>
  </si>
  <si>
    <t>t value =</t>
  </si>
  <si>
    <t>DOF  (n-1) =</t>
  </si>
  <si>
    <t xml:space="preserve">Total run </t>
  </si>
  <si>
    <t xml:space="preserve">formula </t>
  </si>
  <si>
    <t>smoothing Parameter "c"</t>
  </si>
  <si>
    <t>Confidence bounds based on the preformance of forecasts in the previous 5 years.</t>
  </si>
  <si>
    <t>Preseason Forecasts</t>
  </si>
  <si>
    <t>Commercial harvest</t>
  </si>
  <si>
    <t>ERROR CHECK!! MAKE SURE THIS NUMBER MATCHES THE FORECAST YEAR</t>
  </si>
  <si>
    <t xml:space="preserve">2.)  In the 'Database' sheet, update the commercial catch, cost recovery, hatchery rack and escapement estimates </t>
  </si>
  <si>
    <t>One tailed or two?</t>
  </si>
  <si>
    <t>Summary of forecast models examined for wild pink salmon.</t>
  </si>
  <si>
    <t>FORECAST_YEAR=</t>
  </si>
  <si>
    <t>1.)  CHANGE THE FORECAST_YEAR BELOW OR EVERYTHING WILL BE INCORRECT FOR THIS ENTIRE FORECAST AND YOU COULD BE FIRED,</t>
  </si>
  <si>
    <t>RIDICULED, AND/OR FORCED TO WATCH A FRENCH MIME TROUPE</t>
  </si>
  <si>
    <t>Mean Squared Error</t>
  </si>
  <si>
    <t>Even years with damping to lag 4</t>
  </si>
  <si>
    <t>Even years lag 1 exp. Smoothing</t>
  </si>
  <si>
    <t>Total harvest (CCP + HCR)</t>
  </si>
  <si>
    <r>
      <t xml:space="preserve">Index (by definition, </t>
    </r>
    <r>
      <rPr>
        <b/>
        <u/>
        <sz val="12"/>
        <rFont val="SWISS"/>
      </rPr>
      <t>adjusted for stream life</t>
    </r>
    <r>
      <rPr>
        <sz val="12"/>
        <rFont val="SWISS"/>
      </rPr>
      <t>) but NOT observer efficiency</t>
    </r>
  </si>
  <si>
    <t>Hatchery Rack (Brood) and post-brood sales</t>
  </si>
  <si>
    <t>LOWER</t>
  </si>
  <si>
    <t>UPPER</t>
  </si>
  <si>
    <t>This sheet should provide instruction on determining a forecast for wild pink salmon in PWS</t>
  </si>
  <si>
    <t>Run Year ESCAPEMENT estimate</t>
  </si>
  <si>
    <t>Point Forecast</t>
  </si>
  <si>
    <r>
      <t>R</t>
    </r>
    <r>
      <rPr>
        <vertAlign val="superscript"/>
        <sz val="12"/>
        <color rgb="FF0000FF"/>
        <rFont val="Times New Roman"/>
        <family val="1"/>
      </rPr>
      <t>2</t>
    </r>
  </si>
  <si>
    <t>Proportional Error</t>
  </si>
  <si>
    <t>Current Year Forecast using historical proportional error</t>
  </si>
  <si>
    <t>TOTAL WILD RUN estimate</t>
  </si>
  <si>
    <t>harvest</t>
  </si>
  <si>
    <t>Expanded for Observer Efficiency</t>
  </si>
  <si>
    <t>Even Years</t>
  </si>
  <si>
    <t>Odd Years</t>
  </si>
  <si>
    <t>WILD pink salmon run</t>
  </si>
  <si>
    <t>Forecast year =</t>
  </si>
  <si>
    <t>Two tailed</t>
  </si>
  <si>
    <t>Last 10 brood years used in estimating forecast error</t>
  </si>
  <si>
    <t>Point estimate from lag-1 exponential smoothing</t>
  </si>
  <si>
    <t>Point estimate interval calculated using 1996–2014 lag-1 exponentail smoothing forecast permformance</t>
  </si>
  <si>
    <t>min</t>
  </si>
  <si>
    <t>max</t>
  </si>
  <si>
    <t>SEG</t>
  </si>
  <si>
    <t>Escapement Goal</t>
  </si>
  <si>
    <t>midpoint</t>
  </si>
  <si>
    <t>2016 Common property harvest forecast</t>
  </si>
  <si>
    <t>Run forecast = previous year's total run</t>
  </si>
  <si>
    <t xml:space="preserve">Run forecast = previous 2 year's average </t>
  </si>
  <si>
    <t xml:space="preserve">Run forecast = previous 3 year's average </t>
  </si>
  <si>
    <t xml:space="preserve">Run forecast = previous 4 year's average </t>
  </si>
  <si>
    <t xml:space="preserve">Run forecast = previous 5 year's average </t>
  </si>
  <si>
    <t xml:space="preserve">Run forecast = previous 10 year's average </t>
  </si>
  <si>
    <t>d.o.f.</t>
  </si>
  <si>
    <t>t_n-1,0.2</t>
  </si>
  <si>
    <t>1/2 width</t>
  </si>
  <si>
    <t>PY</t>
  </si>
  <si>
    <t>2 year</t>
  </si>
  <si>
    <t xml:space="preserve">1/2 Width of Prediction intervals using performance of recent 10 years of forecasts for each method. </t>
  </si>
  <si>
    <t>3 year</t>
  </si>
  <si>
    <t>4 year</t>
  </si>
  <si>
    <t>5 year</t>
  </si>
  <si>
    <t>Prev. Run Year</t>
  </si>
  <si>
    <t>Prev. 2 run years</t>
  </si>
  <si>
    <t>Prev. 3 run years</t>
  </si>
  <si>
    <t>Prev. 4 run years</t>
  </si>
  <si>
    <t>Prev. 5 run years</t>
  </si>
  <si>
    <t>Prev. 10 run years</t>
  </si>
  <si>
    <t>Run Year Harvest</t>
  </si>
  <si>
    <r>
      <rPr>
        <b/>
        <sz val="12"/>
        <rFont val="Times New Roman"/>
        <family val="1"/>
      </rPr>
      <t>FORECAST</t>
    </r>
    <r>
      <rPr>
        <sz val="12"/>
        <rFont val="Times New Roman"/>
        <family val="1"/>
      </rPr>
      <t xml:space="preserve"> using total run size averages</t>
    </r>
  </si>
  <si>
    <t xml:space="preserve">Forecast Year = </t>
  </si>
  <si>
    <t xml:space="preserve">Updating the Forecast Year in range name "Foreast_Year" changes cell A7 to 1960 for an even year forecast or 1961 for an odd year forecast. </t>
  </si>
  <si>
    <t>The Forecast year is set in worksheet "Read_Me".</t>
  </si>
  <si>
    <t xml:space="preserve">Max Years </t>
  </si>
  <si>
    <t xml:space="preserve">Years </t>
  </si>
  <si>
    <t>Cum error</t>
  </si>
  <si>
    <t>Count high</t>
  </si>
  <si>
    <t>Count low</t>
  </si>
  <si>
    <t>Is the cumulative error high (+ =forecasts too high) or low (- = forecasts too low).</t>
  </si>
  <si>
    <t>FORECAST PROPORTIONAL ERROR</t>
  </si>
  <si>
    <r>
      <rPr>
        <b/>
        <sz val="11"/>
        <rFont val="Times New Roman"/>
        <family val="1"/>
      </rPr>
      <t>FORECAST ERROR</t>
    </r>
    <r>
      <rPr>
        <sz val="11"/>
        <rFont val="Times New Roman"/>
        <family val="1"/>
      </rPr>
      <t xml:space="preserve"> in number of fish (Forecast minus actual)</t>
    </r>
  </si>
  <si>
    <t>FORECAST ABSOLUTE PROPORTIONAL ERROR</t>
  </si>
  <si>
    <t>Conditional formating used to highlight values &gt;1.00.</t>
  </si>
  <si>
    <t xml:space="preserve">To update for another year, insert row above and copy down formulas </t>
  </si>
  <si>
    <t>Conditional formating high lights minimum MAPE for each group of years</t>
  </si>
  <si>
    <t>Recent years</t>
  </si>
  <si>
    <t>Calculated as (Forecast - Actual)/Actual</t>
  </si>
  <si>
    <t>Calculated as ABS(Forecast - Actual)/Actual</t>
  </si>
  <si>
    <t>Calculation of wild pink salmon total run forecasts using previous brood year run size and averages of past run years, 1960 to present.</t>
  </si>
  <si>
    <t>What is the distribution of the errors?  Do they tend to be over forecasts or under forecast one predominate?</t>
  </si>
  <si>
    <t>Which has the lowest MAPE?</t>
  </si>
  <si>
    <t>Which has the lowest SD of the MAPE?</t>
  </si>
  <si>
    <t>Even or Odd based on the Range Name "Forecast_Year"</t>
  </si>
  <si>
    <t>Forecast_Year =</t>
  </si>
  <si>
    <t xml:space="preserve">Offset = </t>
  </si>
  <si>
    <t xml:space="preserve">Estimation of 80% Confidence Intervals for Prince William Sound Pink salmon Total Run forecasts. See Fried and Yuen 1989 for details.  </t>
  </si>
  <si>
    <t>Goal with point estimate</t>
  </si>
  <si>
    <t>Median of even escapements; goal only had range</t>
  </si>
  <si>
    <t>Median of odd escapements; goal only had range</t>
  </si>
  <si>
    <t>10 year</t>
  </si>
  <si>
    <t>S index</t>
  </si>
  <si>
    <t>Data to examine untransformed and log transformed brood year escapement index to predict brood year return index.</t>
  </si>
  <si>
    <t xml:space="preserve">Both values include the aerial survey indices of abundance based on the area under the curve adjusted for stream life, but not for observer efficiency or proportion of total escapement represented by the index streams. </t>
  </si>
  <si>
    <t xml:space="preserve">Therefore, both are indices rather than estimates. </t>
  </si>
  <si>
    <t>R = S</t>
  </si>
  <si>
    <t>R index</t>
  </si>
  <si>
    <t xml:space="preserve">% Error </t>
  </si>
  <si>
    <t>Absolute % Error)</t>
  </si>
  <si>
    <t>ln(R)=ln(S)</t>
  </si>
  <si>
    <t xml:space="preserve">MAPE = </t>
  </si>
  <si>
    <t>SD MAPE =</t>
  </si>
  <si>
    <t xml:space="preserve"> ABS error </t>
  </si>
  <si>
    <t>Back transformed =exp(Ln value)</t>
  </si>
  <si>
    <r>
      <t xml:space="preserve">To examine the other broodline data, </t>
    </r>
    <r>
      <rPr>
        <sz val="14"/>
        <color rgb="FFFF0000"/>
        <rFont val="Times New Roman"/>
        <family val="1"/>
      </rPr>
      <t>change the Forecast Year to the other broodline, e.g., 2016 (even) or 2017 (odd)</t>
    </r>
  </si>
  <si>
    <t>Return Age =</t>
  </si>
  <si>
    <r>
      <t>R</t>
    </r>
    <r>
      <rPr>
        <vertAlign val="superscript"/>
        <sz val="10"/>
        <rFont val="Times New Roman"/>
        <family val="1"/>
      </rPr>
      <t>2</t>
    </r>
    <r>
      <rPr>
        <sz val="10"/>
        <rFont val="Times New Roman"/>
        <family val="1"/>
      </rPr>
      <t>_x001F_</t>
    </r>
  </si>
  <si>
    <t>Back transformed to number of Fish</t>
  </si>
  <si>
    <t>Model = Predict log returns per spawner  (ln(BY Return) from ln(brood year escapement (S))</t>
  </si>
  <si>
    <t>ln(S)</t>
  </si>
  <si>
    <t>ln(R)</t>
  </si>
  <si>
    <t>R = brood year return</t>
  </si>
  <si>
    <t>S = brood year escapement</t>
  </si>
  <si>
    <t>Forecast Year =</t>
  </si>
  <si>
    <t xml:space="preserve">Uses VBA to run a Jackknife or leaving one year out procedure.  </t>
  </si>
  <si>
    <t>This worksheet is used to store the regression results from all the regressions in the leaving one out or Jackknife procedure run from VBA</t>
  </si>
  <si>
    <r>
      <t xml:space="preserve">If you are going to use the Jackknife procedure, don't delete the range names : </t>
    </r>
    <r>
      <rPr>
        <sz val="16"/>
        <color rgb="FFFF0000"/>
        <rFont val="Times New Roman"/>
        <family val="1"/>
      </rPr>
      <t>Rout, PartOne, and PartTwo</t>
    </r>
  </si>
  <si>
    <t>Retrospective Regression Forecasts</t>
  </si>
  <si>
    <t>Last 10 years MAPE</t>
  </si>
  <si>
    <t>Previous Year</t>
  </si>
  <si>
    <t>Previous 2 average</t>
  </si>
  <si>
    <t>Previous 3 average</t>
  </si>
  <si>
    <t>Previous 4 average</t>
  </si>
  <si>
    <t>Previous 5 average</t>
  </si>
  <si>
    <t>Previous 10 average</t>
  </si>
  <si>
    <t>Model</t>
  </si>
  <si>
    <t>Summary of Mean Run forecasts - formulas may need to be updated after a new year is inserted.</t>
  </si>
  <si>
    <r>
      <t>r</t>
    </r>
    <r>
      <rPr>
        <vertAlign val="superscript"/>
        <sz val="12"/>
        <rFont val="Times New Roman"/>
        <family val="1"/>
      </rPr>
      <t>2</t>
    </r>
  </si>
  <si>
    <t>Untransformed</t>
  </si>
  <si>
    <t>Log transformed</t>
  </si>
  <si>
    <t xml:space="preserve">Total Run (untransformed </t>
  </si>
  <si>
    <t>Regression model R=S (untransformed)</t>
  </si>
  <si>
    <t>Common Property Harvest</t>
  </si>
  <si>
    <t xml:space="preserve">Regression model ln(R)=ln(S) </t>
  </si>
  <si>
    <t>R</t>
  </si>
  <si>
    <t>R=S  total run</t>
  </si>
  <si>
    <t>R=S Common Property harvest</t>
  </si>
  <si>
    <t>ln(R) = ln(S) Total run</t>
  </si>
  <si>
    <t>ln(R) = ln(S) Common Property harvest</t>
  </si>
  <si>
    <t xml:space="preserve">Esc Goal </t>
  </si>
  <si>
    <t>Mid Point</t>
  </si>
  <si>
    <t>Model summaries</t>
  </si>
  <si>
    <t xml:space="preserve">Historical </t>
  </si>
  <si>
    <t>CCP harvest</t>
  </si>
  <si>
    <t xml:space="preserve">Fill these in if you want to use more than 10 years </t>
  </si>
  <si>
    <t>CCP Harvest</t>
  </si>
  <si>
    <t>All Years untransformed Regresssion R (column E)= S (Column S)</t>
  </si>
  <si>
    <t>All Years Log transformed Regresssion ln(R) Column F = ln(S) Column D</t>
  </si>
  <si>
    <t>Prediction interval bounds based on the preformance of forecasts in the previous 10 years.</t>
  </si>
  <si>
    <t>Point Estimate</t>
  </si>
  <si>
    <t>Point  Estimate</t>
  </si>
  <si>
    <t>L 80% PI</t>
  </si>
  <si>
    <t>U 80% PI</t>
  </si>
  <si>
    <t>Total Run Forecast</t>
  </si>
  <si>
    <t>Sum District Esc. Goals</t>
  </si>
  <si>
    <t>Mean Absolute Forecast Error</t>
  </si>
  <si>
    <t>Average of previous 3 Odd Years</t>
  </si>
  <si>
    <t>Category</t>
  </si>
  <si>
    <t>Commercial Harvest Forecast</t>
  </si>
  <si>
    <t>Time series models (Exponential smoothing not completed in 2018)</t>
  </si>
  <si>
    <t>even</t>
  </si>
  <si>
    <t>odd</t>
  </si>
  <si>
    <t>5-year-average</t>
  </si>
  <si>
    <t>both</t>
  </si>
  <si>
    <t>maximum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</si>
</sst>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_(* \(#,##0.00\);_(* &quot;-&quot;??_);_(@_)"/>
    <numFmt numFmtId="164" formatCode="0.00_)"/>
    <numFmt numFmtId="165" formatCode="0.000_)"/>
    <numFmt numFmtId="166" formatCode="0.0_)"/>
    <numFmt numFmtId="167" formatCode="0.0000_)"/>
    <numFmt numFmtId="168" formatCode="0.00000_)"/>
    <numFmt numFmtId="169" formatCode="0.0%"/>
    <numFmt numFmtId="170" formatCode="0_)"/>
    <numFmt numFmtId="171" formatCode="0.000"/>
    <numFmt numFmtId="172" formatCode="0.0"/>
    <numFmt numFmtId="173" formatCode="0.00000"/>
    <numFmt numFmtId="174" formatCode="0.0000"/>
    <numFmt numFmtId="175" formatCode="#,##0.000"/>
    <numFmt numFmtId="176" formatCode="0.0000000_)"/>
    <numFmt numFmtId="177" formatCode="0.00_);[Red]\(0.00\)"/>
    <numFmt numFmtId="178" formatCode="_(* #,##0_);_(* \(#,##0\);_(* &quot;-&quot;??_);_(@_)"/>
    <numFmt numFmtId="179" formatCode="0.00;[Red]0.00"/>
    <numFmt numFmtId="180" formatCode="#,##0.0000;[Red]#,##0.0000"/>
    <numFmt numFmtId="181" formatCode="#,##0.0000"/>
    <numFmt numFmtId="182" formatCode="#,##0;[Red]#,##0"/>
    <numFmt numFmtId="183" formatCode="#,##0.00000"/>
    <numFmt numFmtId="184" formatCode="0.000%"/>
    <numFmt numFmtId="185" formatCode="#,##0.000_);[Red]\(#,##0.000\)"/>
    <numFmt numFmtId="186" formatCode="0.000000"/>
    <numFmt numFmtId="187" formatCode="#,##0.000000"/>
  </numFmts>
  <fonts count="145">
    <font>
      <sz val="12"/>
      <name val="Helv"/>
    </font>
    <font>
      <sz val="10"/>
      <name val="Times New Roman"/>
      <family val="1"/>
    </font>
    <font>
      <sz val="10"/>
      <name val="Times New Roman"/>
      <family val="1"/>
    </font>
    <font>
      <sz val="12"/>
      <color indexed="12"/>
      <name val="Helv"/>
    </font>
    <font>
      <b/>
      <sz val="12"/>
      <name val="Helv"/>
    </font>
    <font>
      <sz val="10"/>
      <name val="DUTCH"/>
      <family val="1"/>
    </font>
    <font>
      <vertAlign val="subscript"/>
      <sz val="10"/>
      <name val="DUTCH"/>
    </font>
    <font>
      <vertAlign val="superscript"/>
      <sz val="10"/>
      <name val="DUTCH"/>
    </font>
    <font>
      <i/>
      <sz val="12"/>
      <name val="Helv"/>
    </font>
    <font>
      <sz val="8"/>
      <color indexed="81"/>
      <name val="Tahoma"/>
      <family val="2"/>
    </font>
    <font>
      <b/>
      <sz val="8"/>
      <color indexed="81"/>
      <name val="Tahoma"/>
      <family val="2"/>
    </font>
    <font>
      <sz val="12"/>
      <color indexed="81"/>
      <name val="Tahoma"/>
      <family val="2"/>
    </font>
    <font>
      <sz val="12"/>
      <name val="Times New Roman"/>
      <family val="1"/>
    </font>
    <font>
      <b/>
      <sz val="12"/>
      <color indexed="81"/>
      <name val="Tahoma"/>
      <family val="2"/>
    </font>
    <font>
      <b/>
      <sz val="14"/>
      <color indexed="81"/>
      <name val="Tahoma"/>
      <family val="2"/>
    </font>
    <font>
      <sz val="8"/>
      <name val="Helv"/>
    </font>
    <font>
      <b/>
      <sz val="12"/>
      <name val="Times New Roman"/>
      <family val="1"/>
    </font>
    <font>
      <b/>
      <sz val="10"/>
      <name val="Times New Roman"/>
      <family val="1"/>
    </font>
    <font>
      <sz val="12"/>
      <color indexed="12"/>
      <name val="Times New Roman"/>
      <family val="1"/>
    </font>
    <font>
      <sz val="12"/>
      <color indexed="8"/>
      <name val="Times New Roman"/>
      <family val="1"/>
    </font>
    <font>
      <sz val="12"/>
      <color indexed="10"/>
      <name val="Times New Roman"/>
      <family val="1"/>
    </font>
    <font>
      <b/>
      <sz val="12"/>
      <color indexed="12"/>
      <name val="Times New Roman"/>
      <family val="1"/>
    </font>
    <font>
      <sz val="12"/>
      <color indexed="12"/>
      <name val="Arial"/>
      <family val="2"/>
    </font>
    <font>
      <u/>
      <sz val="12"/>
      <name val="Helv"/>
    </font>
    <font>
      <sz val="16"/>
      <color indexed="81"/>
      <name val="Tahoma"/>
      <family val="2"/>
    </font>
    <font>
      <sz val="14"/>
      <color indexed="81"/>
      <name val="Tahoma"/>
      <family val="2"/>
    </font>
    <font>
      <sz val="20"/>
      <color indexed="81"/>
      <name val="Tahoma"/>
      <family val="2"/>
    </font>
    <font>
      <b/>
      <sz val="16"/>
      <color indexed="81"/>
      <name val="Tahoma"/>
      <family val="2"/>
    </font>
    <font>
      <sz val="18"/>
      <color indexed="81"/>
      <name val="Tahoma"/>
      <family val="2"/>
    </font>
    <font>
      <sz val="12"/>
      <name val="Arial MT"/>
    </font>
    <font>
      <sz val="8"/>
      <name val="Arial MT"/>
    </font>
    <font>
      <sz val="12"/>
      <color indexed="12"/>
      <name val="Arial MT"/>
    </font>
    <font>
      <b/>
      <sz val="12"/>
      <name val="Arial MT"/>
    </font>
    <font>
      <sz val="12"/>
      <color indexed="12"/>
      <name val="Arial MT"/>
      <family val="2"/>
    </font>
    <font>
      <b/>
      <sz val="16"/>
      <name val="Arial MT"/>
    </font>
    <font>
      <sz val="12"/>
      <color indexed="8"/>
      <name val="Arial MT"/>
    </font>
    <font>
      <sz val="12"/>
      <name val="SWISS"/>
    </font>
    <font>
      <sz val="8"/>
      <name val="SWISS"/>
    </font>
    <font>
      <sz val="12"/>
      <color indexed="12"/>
      <name val="SWISS"/>
    </font>
    <font>
      <b/>
      <sz val="12"/>
      <name val="SWISS"/>
    </font>
    <font>
      <sz val="12"/>
      <color indexed="10"/>
      <name val="SWISS"/>
    </font>
    <font>
      <sz val="9"/>
      <color indexed="81"/>
      <name val="Tahoma"/>
      <family val="2"/>
    </font>
    <font>
      <b/>
      <sz val="9"/>
      <color indexed="81"/>
      <name val="Tahoma"/>
      <family val="2"/>
    </font>
    <font>
      <b/>
      <u/>
      <sz val="12"/>
      <name val="SWISS"/>
    </font>
    <font>
      <sz val="12"/>
      <color indexed="8"/>
      <name val="SWISS"/>
    </font>
    <font>
      <sz val="12"/>
      <color indexed="8"/>
      <name val="SWISS"/>
      <family val="2"/>
    </font>
    <font>
      <sz val="12"/>
      <color indexed="10"/>
      <name val="Tahoma"/>
      <family val="2"/>
    </font>
    <font>
      <vertAlign val="superscript"/>
      <sz val="12"/>
      <name val="Times New Roman"/>
      <family val="1"/>
    </font>
    <font>
      <b/>
      <u/>
      <sz val="12"/>
      <name val="Times New Roman"/>
      <family val="1"/>
    </font>
    <font>
      <b/>
      <sz val="14"/>
      <name val="Times New Roman"/>
      <family val="1"/>
    </font>
    <font>
      <sz val="8"/>
      <color indexed="12"/>
      <name val="Times New Roman"/>
      <family val="1"/>
    </font>
    <font>
      <sz val="22"/>
      <color indexed="81"/>
      <name val="Tahoma"/>
      <family val="2"/>
    </font>
    <font>
      <b/>
      <sz val="14"/>
      <name val="SWISS"/>
    </font>
    <font>
      <sz val="10"/>
      <color indexed="12"/>
      <name val="SWISS"/>
    </font>
    <font>
      <b/>
      <sz val="18"/>
      <name val="Helv"/>
    </font>
    <font>
      <sz val="26"/>
      <name val="Arial MT"/>
    </font>
    <font>
      <sz val="22"/>
      <name val="SWISS"/>
    </font>
    <font>
      <sz val="22"/>
      <color indexed="10"/>
      <name val="Tahoma"/>
      <family val="2"/>
    </font>
    <font>
      <sz val="18"/>
      <color indexed="12"/>
      <name val="Arial MT"/>
    </font>
    <font>
      <sz val="18"/>
      <name val="Arial MT"/>
    </font>
    <font>
      <b/>
      <sz val="18"/>
      <name val="Arial MT"/>
    </font>
    <font>
      <sz val="26"/>
      <color indexed="81"/>
      <name val="Tahoma"/>
      <family val="2"/>
    </font>
    <font>
      <sz val="11"/>
      <name val="Arial MT"/>
    </font>
    <font>
      <b/>
      <sz val="28"/>
      <color indexed="12"/>
      <name val="SWISS"/>
    </font>
    <font>
      <b/>
      <sz val="16"/>
      <color indexed="12"/>
      <name val="SWISS"/>
    </font>
    <font>
      <sz val="12"/>
      <color rgb="FF0000FF"/>
      <name val="Times New Roman"/>
      <family val="1"/>
    </font>
    <font>
      <sz val="12"/>
      <color theme="1"/>
      <name val="Times New Roman"/>
      <family val="1"/>
    </font>
    <font>
      <b/>
      <sz val="12"/>
      <color theme="1"/>
      <name val="Times New Roman"/>
      <family val="1"/>
    </font>
    <font>
      <sz val="10"/>
      <color theme="1"/>
      <name val="Times New Roman"/>
      <family val="1"/>
    </font>
    <font>
      <b/>
      <sz val="12"/>
      <color rgb="FFFF0000"/>
      <name val="SWISS"/>
    </font>
    <font>
      <sz val="12"/>
      <color rgb="FFFF0000"/>
      <name val="SWISS"/>
    </font>
    <font>
      <b/>
      <sz val="12"/>
      <color rgb="FFFF0000"/>
      <name val="Arial MT"/>
    </font>
    <font>
      <sz val="12"/>
      <color theme="1"/>
      <name val="SWISS"/>
    </font>
    <font>
      <b/>
      <sz val="22"/>
      <color rgb="FF0000FF"/>
      <name val="Times New Roman"/>
      <family val="1"/>
    </font>
    <font>
      <b/>
      <sz val="22"/>
      <color rgb="FF0000FF"/>
      <name val="SWISS"/>
    </font>
    <font>
      <sz val="18"/>
      <color rgb="FFFF0000"/>
      <name val="Arial MT"/>
    </font>
    <font>
      <b/>
      <sz val="12"/>
      <name val="Helvetica"/>
      <family val="2"/>
    </font>
    <font>
      <sz val="18"/>
      <name val="Helv"/>
    </font>
    <font>
      <sz val="12"/>
      <color rgb="FF0000FF"/>
      <name val="Helv"/>
    </font>
    <font>
      <b/>
      <sz val="14"/>
      <color rgb="FF0000FF"/>
      <name val="Helv"/>
    </font>
    <font>
      <b/>
      <sz val="20"/>
      <color indexed="12"/>
      <name val="Arial MT"/>
    </font>
    <font>
      <b/>
      <sz val="18"/>
      <color indexed="12"/>
      <name val="Arial MT"/>
    </font>
    <font>
      <sz val="12"/>
      <color rgb="FFFF0000"/>
      <name val="Times New Roman"/>
      <family val="1"/>
    </font>
    <font>
      <vertAlign val="superscript"/>
      <sz val="12"/>
      <color rgb="FF0000FF"/>
      <name val="Times New Roman"/>
      <family val="1"/>
    </font>
    <font>
      <sz val="12"/>
      <color rgb="FF0000FF"/>
      <name val="Arial MT"/>
    </font>
    <font>
      <sz val="12"/>
      <color rgb="FF0000FF"/>
      <name val="SWISS"/>
    </font>
    <font>
      <sz val="18"/>
      <color theme="1"/>
      <name val="Arial MT"/>
    </font>
    <font>
      <sz val="10"/>
      <color rgb="FF000000"/>
      <name val="Times New Roman"/>
      <family val="1"/>
    </font>
    <font>
      <b/>
      <sz val="36"/>
      <color rgb="FFFF0000"/>
      <name val="SWISS"/>
    </font>
    <font>
      <sz val="14"/>
      <color indexed="12"/>
      <name val="Times New Roman"/>
      <family val="1"/>
    </font>
    <font>
      <sz val="20"/>
      <color indexed="12"/>
      <name val="Times New Roman"/>
      <family val="1"/>
    </font>
    <font>
      <sz val="18"/>
      <name val="Times New Roman"/>
      <family val="1"/>
    </font>
    <font>
      <b/>
      <sz val="14"/>
      <color rgb="FF0000FF"/>
      <name val="Times New Roman"/>
      <family val="1"/>
    </font>
    <font>
      <sz val="22"/>
      <color indexed="12"/>
      <name val="Times New Roman"/>
      <family val="1"/>
    </font>
    <font>
      <sz val="16"/>
      <color indexed="12"/>
      <name val="Times New Roman"/>
      <family val="1"/>
    </font>
    <font>
      <sz val="12"/>
      <color theme="1"/>
      <name val="Arial MT"/>
    </font>
    <font>
      <sz val="14"/>
      <name val="Times New Roman"/>
      <family val="1"/>
    </font>
    <font>
      <b/>
      <sz val="16"/>
      <name val="Times New Roman"/>
      <family val="1"/>
    </font>
    <font>
      <sz val="16"/>
      <color rgb="FFFF0000"/>
      <name val="Times New Roman"/>
      <family val="1"/>
    </font>
    <font>
      <sz val="16"/>
      <name val="Times New Roman"/>
      <family val="1"/>
    </font>
    <font>
      <sz val="16"/>
      <name val="SWISS"/>
    </font>
    <font>
      <sz val="12"/>
      <color rgb="FF3333FF"/>
      <name val="Times New Roman"/>
      <family val="1"/>
    </font>
    <font>
      <sz val="18"/>
      <color rgb="FFFF0000"/>
      <name val="Times New Roman"/>
      <family val="1"/>
    </font>
    <font>
      <sz val="14"/>
      <color rgb="FF0000FF"/>
      <name val="Times New Roman"/>
      <family val="1"/>
    </font>
    <font>
      <b/>
      <sz val="20"/>
      <color indexed="81"/>
      <name val="Tahoma"/>
      <family val="2"/>
    </font>
    <font>
      <u/>
      <sz val="6.6"/>
      <color indexed="12"/>
      <name val="Arial MT"/>
    </font>
    <font>
      <sz val="11"/>
      <color rgb="FF0000FF"/>
      <name val="Times New Roman"/>
      <family val="1"/>
    </font>
    <font>
      <sz val="11"/>
      <name val="Times New Roman"/>
      <family val="1"/>
    </font>
    <font>
      <sz val="11"/>
      <color rgb="FFFF0000"/>
      <name val="Times New Roman"/>
      <family val="1"/>
    </font>
    <font>
      <b/>
      <sz val="11"/>
      <name val="Times New Roman"/>
      <family val="1"/>
    </font>
    <font>
      <sz val="11"/>
      <color theme="1"/>
      <name val="Times New Roman"/>
      <family val="1"/>
    </font>
    <font>
      <sz val="14"/>
      <color rgb="FFFF0000"/>
      <name val="Times New Roman"/>
      <family val="1"/>
    </font>
    <font>
      <sz val="9"/>
      <name val="Times New Roman"/>
      <family val="1"/>
    </font>
    <font>
      <sz val="10"/>
      <color rgb="FF0000FF"/>
      <name val="Times New Roman"/>
      <family val="1"/>
    </font>
    <font>
      <sz val="11"/>
      <color indexed="12"/>
      <name val="Times New Roman"/>
      <family val="1"/>
    </font>
    <font>
      <b/>
      <sz val="20"/>
      <color theme="1"/>
      <name val="Times New Roman"/>
      <family val="1"/>
    </font>
    <font>
      <b/>
      <sz val="18"/>
      <name val="Times New Roman"/>
      <family val="1"/>
    </font>
    <font>
      <sz val="11"/>
      <color indexed="81"/>
      <name val="Tahoma"/>
      <family val="2"/>
    </font>
    <font>
      <sz val="11"/>
      <color indexed="10"/>
      <name val="Tahoma"/>
      <family val="2"/>
    </font>
    <font>
      <i/>
      <sz val="12"/>
      <name val="Times New Roman"/>
      <family val="1"/>
    </font>
    <font>
      <vertAlign val="superscript"/>
      <sz val="14"/>
      <color indexed="81"/>
      <name val="Tahoma"/>
      <family val="2"/>
    </font>
    <font>
      <sz val="14"/>
      <color indexed="81"/>
      <name val="Times New Roman"/>
      <family val="1"/>
    </font>
    <font>
      <b/>
      <sz val="16"/>
      <color indexed="10"/>
      <name val="Tahoma"/>
      <family val="2"/>
    </font>
    <font>
      <b/>
      <sz val="14"/>
      <color indexed="10"/>
      <name val="Tahoma"/>
      <family val="2"/>
    </font>
    <font>
      <sz val="10"/>
      <color rgb="FF3333FF"/>
      <name val="Times New Roman"/>
      <family val="1"/>
    </font>
    <font>
      <sz val="12"/>
      <color indexed="81"/>
      <name val="Times New Roman"/>
      <family val="1"/>
    </font>
    <font>
      <b/>
      <sz val="14"/>
      <color indexed="81"/>
      <name val="Times New Roman"/>
      <family val="1"/>
    </font>
    <font>
      <b/>
      <sz val="12"/>
      <color rgb="FF002060"/>
      <name val="Times New Roman"/>
      <family val="1"/>
    </font>
    <font>
      <b/>
      <sz val="14"/>
      <color rgb="FF002060"/>
      <name val="Times New Roman"/>
      <family val="1"/>
    </font>
    <font>
      <vertAlign val="superscript"/>
      <sz val="10"/>
      <name val="Times New Roman"/>
      <family val="1"/>
    </font>
    <font>
      <b/>
      <sz val="14"/>
      <color theme="1"/>
      <name val="Times New Roman"/>
      <family val="1"/>
    </font>
    <font>
      <sz val="22"/>
      <color rgb="FFFF0000"/>
      <name val="Times New Roman"/>
      <family val="1"/>
    </font>
    <font>
      <b/>
      <sz val="14"/>
      <color rgb="FFFF0000"/>
      <name val="Times New Roman"/>
      <family val="1"/>
    </font>
    <font>
      <b/>
      <sz val="16"/>
      <color rgb="FFFF0000"/>
      <name val="Times New Roman"/>
      <family val="1"/>
    </font>
    <font>
      <sz val="20"/>
      <name val="Times New Roman"/>
      <family val="1"/>
    </font>
    <font>
      <b/>
      <sz val="9"/>
      <color rgb="FF000000"/>
      <name val="Tahoma"/>
      <family val="2"/>
    </font>
    <font>
      <sz val="9"/>
      <color rgb="FF000000"/>
      <name val="Tahoma"/>
      <family val="2"/>
    </font>
    <font>
      <sz val="14"/>
      <color rgb="FF000000"/>
      <name val="Tahoma"/>
      <family val="2"/>
    </font>
    <font>
      <b/>
      <sz val="8"/>
      <color rgb="FF000000"/>
      <name val="Tahoma"/>
      <family val="2"/>
    </font>
    <font>
      <sz val="8"/>
      <color rgb="FF000000"/>
      <name val="Tahoma"/>
      <family val="2"/>
    </font>
    <font>
      <sz val="24"/>
      <color rgb="FF000000"/>
      <name val="Tahoma"/>
      <family val="2"/>
    </font>
    <font>
      <b/>
      <sz val="22"/>
      <color rgb="FF000000"/>
      <name val="Tahoma"/>
      <family val="2"/>
    </font>
    <font>
      <sz val="22"/>
      <color rgb="FF000000"/>
      <name val="Tahoma"/>
      <family val="2"/>
    </font>
    <font>
      <b/>
      <sz val="28"/>
      <color rgb="FF000000"/>
      <name val="Tahoma"/>
      <family val="2"/>
    </font>
    <font>
      <sz val="12"/>
      <color rgb="FF000000"/>
      <name val="Tahoma"/>
      <family val="2"/>
    </font>
  </fonts>
  <fills count="14">
    <fill>
      <patternFill patternType="none"/>
    </fill>
    <fill>
      <patternFill patternType="gray125"/>
    </fill>
    <fill>
      <patternFill patternType="solid">
        <fgColor indexed="13"/>
        <bgColor indexed="64"/>
      </patternFill>
    </fill>
    <fill>
      <patternFill patternType="solid">
        <fgColor indexed="15"/>
        <bgColor indexed="15"/>
      </patternFill>
    </fill>
    <fill>
      <patternFill patternType="solid">
        <fgColor indexed="10"/>
        <bgColor indexed="64"/>
      </patternFill>
    </fill>
    <fill>
      <patternFill patternType="solid">
        <fgColor indexed="57"/>
        <bgColor indexed="64"/>
      </patternFill>
    </fill>
    <fill>
      <patternFill patternType="solid">
        <fgColor indexed="22"/>
        <bgColor indexed="64"/>
      </patternFill>
    </fill>
    <fill>
      <patternFill patternType="solid">
        <fgColor theme="0"/>
        <bgColor indexed="64"/>
      </patternFill>
    </fill>
    <fill>
      <patternFill patternType="solid">
        <fgColor rgb="FFFFFF00"/>
        <bgColor indexed="64"/>
      </patternFill>
    </fill>
    <fill>
      <patternFill patternType="solid">
        <fgColor rgb="FFFFFF00"/>
        <bgColor indexed="15"/>
      </patternFill>
    </fill>
    <fill>
      <patternFill patternType="solid">
        <fgColor theme="0"/>
        <bgColor indexed="15"/>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s>
  <borders count="50">
    <border>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style="thin">
        <color indexed="8"/>
      </top>
      <bottom/>
      <diagonal/>
    </border>
    <border>
      <left style="thin">
        <color indexed="8"/>
      </left>
      <right style="thin">
        <color indexed="8"/>
      </right>
      <top/>
      <bottom/>
      <diagonal/>
    </border>
    <border>
      <left style="thin">
        <color indexed="8"/>
      </left>
      <right/>
      <top/>
      <bottom/>
      <diagonal/>
    </border>
    <border>
      <left/>
      <right style="thin">
        <color indexed="8"/>
      </right>
      <top/>
      <bottom/>
      <diagonal/>
    </border>
    <border>
      <left/>
      <right/>
      <top/>
      <bottom style="thin">
        <color indexed="8"/>
      </bottom>
      <diagonal/>
    </border>
    <border>
      <left/>
      <right/>
      <top style="thin">
        <color indexed="64"/>
      </top>
      <bottom/>
      <diagonal/>
    </border>
    <border>
      <left/>
      <right/>
      <top/>
      <bottom style="medium">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style="thin">
        <color indexed="8"/>
      </right>
      <top/>
      <bottom style="thin">
        <color indexed="64"/>
      </bottom>
      <diagonal/>
    </border>
    <border>
      <left style="thin">
        <color indexed="64"/>
      </left>
      <right/>
      <top style="thin">
        <color indexed="8"/>
      </top>
      <bottom/>
      <diagonal/>
    </border>
    <border>
      <left style="thin">
        <color indexed="8"/>
      </left>
      <right style="thin">
        <color indexed="8"/>
      </right>
      <top style="thin">
        <color indexed="64"/>
      </top>
      <bottom/>
      <diagonal/>
    </border>
    <border>
      <left style="thin">
        <color indexed="8"/>
      </left>
      <right/>
      <top style="thin">
        <color indexed="64"/>
      </top>
      <bottom style="thin">
        <color indexed="8"/>
      </bottom>
      <diagonal/>
    </border>
    <border>
      <left/>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bottom style="hair">
        <color indexed="64"/>
      </bottom>
      <diagonal/>
    </border>
    <border>
      <left/>
      <right/>
      <top style="hair">
        <color indexed="64"/>
      </top>
      <bottom style="thin">
        <color indexed="64"/>
      </bottom>
      <diagonal/>
    </border>
  </borders>
  <cellStyleXfs count="9">
    <xf numFmtId="0" fontId="0" fillId="0" borderId="0"/>
    <xf numFmtId="43" fontId="2" fillId="0" borderId="0" applyFont="0" applyFill="0" applyBorder="0" applyAlignment="0" applyProtection="0"/>
    <xf numFmtId="0" fontId="29" fillId="0" borderId="0"/>
    <xf numFmtId="0" fontId="36" fillId="0" borderId="0"/>
    <xf numFmtId="9" fontId="2" fillId="0" borderId="0" applyFont="0" applyFill="0" applyBorder="0" applyAlignment="0" applyProtection="0"/>
    <xf numFmtId="0" fontId="36" fillId="0" borderId="0"/>
    <xf numFmtId="9" fontId="1" fillId="0" borderId="0" applyFont="0" applyFill="0" applyBorder="0" applyAlignment="0" applyProtection="0"/>
    <xf numFmtId="0" fontId="105" fillId="0" borderId="0" applyNumberFormat="0" applyFill="0" applyBorder="0" applyAlignment="0" applyProtection="0">
      <alignment vertical="top"/>
      <protection locked="0"/>
    </xf>
    <xf numFmtId="0" fontId="1" fillId="0" borderId="0"/>
  </cellStyleXfs>
  <cellXfs count="1131">
    <xf numFmtId="0" fontId="0" fillId="0" borderId="0" xfId="0"/>
    <xf numFmtId="0" fontId="3" fillId="0" borderId="0" xfId="0" applyFont="1"/>
    <xf numFmtId="0" fontId="4" fillId="0" borderId="0" xfId="0" applyFont="1"/>
    <xf numFmtId="0" fontId="0" fillId="0" borderId="0" xfId="0" applyBorder="1"/>
    <xf numFmtId="0" fontId="5" fillId="0" borderId="10" xfId="0" applyFont="1" applyBorder="1" applyAlignment="1">
      <alignment horizontal="center"/>
    </xf>
    <xf numFmtId="164" fontId="5" fillId="0" borderId="10" xfId="0" applyNumberFormat="1" applyFont="1" applyBorder="1" applyAlignment="1" applyProtection="1">
      <alignment horizontal="center"/>
    </xf>
    <xf numFmtId="176" fontId="5" fillId="0" borderId="10" xfId="0" applyNumberFormat="1" applyFont="1" applyBorder="1" applyAlignment="1" applyProtection="1">
      <alignment horizontal="center"/>
    </xf>
    <xf numFmtId="168" fontId="5" fillId="0" borderId="10" xfId="0" applyNumberFormat="1" applyFont="1" applyBorder="1" applyAlignment="1" applyProtection="1">
      <alignment horizontal="center"/>
    </xf>
    <xf numFmtId="0" fontId="0" fillId="0" borderId="0" xfId="0" applyFill="1" applyBorder="1" applyAlignment="1"/>
    <xf numFmtId="0" fontId="0" fillId="0" borderId="17" xfId="0" applyFill="1" applyBorder="1" applyAlignment="1"/>
    <xf numFmtId="0" fontId="8" fillId="0" borderId="18" xfId="0" applyFont="1" applyFill="1" applyBorder="1" applyAlignment="1">
      <alignment horizontal="center"/>
    </xf>
    <xf numFmtId="0" fontId="8" fillId="0" borderId="18" xfId="0" applyFont="1" applyFill="1" applyBorder="1" applyAlignment="1">
      <alignment horizontal="centerContinuous"/>
    </xf>
    <xf numFmtId="0" fontId="12" fillId="0" borderId="0" xfId="0" applyFont="1"/>
    <xf numFmtId="0" fontId="12" fillId="0" borderId="0" xfId="0" applyFont="1" applyBorder="1"/>
    <xf numFmtId="0" fontId="16" fillId="0" borderId="0" xfId="0" applyFont="1"/>
    <xf numFmtId="0" fontId="12" fillId="0" borderId="19" xfId="0" applyFont="1" applyBorder="1" applyAlignment="1">
      <alignment horizontal="center"/>
    </xf>
    <xf numFmtId="0" fontId="12" fillId="0" borderId="0" xfId="0" applyFont="1" applyBorder="1" applyAlignment="1">
      <alignment horizontal="center"/>
    </xf>
    <xf numFmtId="0" fontId="12" fillId="0" borderId="24" xfId="0" applyFont="1" applyBorder="1"/>
    <xf numFmtId="0" fontId="12" fillId="0" borderId="1" xfId="0" applyFont="1" applyBorder="1"/>
    <xf numFmtId="0" fontId="12" fillId="0" borderId="7" xfId="0" applyFont="1" applyBorder="1"/>
    <xf numFmtId="164" fontId="18" fillId="0" borderId="0" xfId="0" applyNumberFormat="1" applyFont="1" applyProtection="1"/>
    <xf numFmtId="0" fontId="12" fillId="0" borderId="0" xfId="0" applyFont="1" applyFill="1" applyBorder="1"/>
    <xf numFmtId="0" fontId="12" fillId="0" borderId="0" xfId="0" applyFont="1" applyAlignment="1">
      <alignment horizontal="right"/>
    </xf>
    <xf numFmtId="0" fontId="18" fillId="0" borderId="0" xfId="0" applyFont="1"/>
    <xf numFmtId="3" fontId="12" fillId="0" borderId="0" xfId="0" applyNumberFormat="1" applyFont="1"/>
    <xf numFmtId="171" fontId="22" fillId="0" borderId="0" xfId="0" applyNumberFormat="1" applyFont="1" applyBorder="1"/>
    <xf numFmtId="3" fontId="18" fillId="0" borderId="0" xfId="0" applyNumberFormat="1" applyFont="1"/>
    <xf numFmtId="0" fontId="18" fillId="0" borderId="0" xfId="0" applyFont="1" applyBorder="1"/>
    <xf numFmtId="171" fontId="18" fillId="0" borderId="0" xfId="0" applyNumberFormat="1" applyFont="1" applyBorder="1"/>
    <xf numFmtId="0" fontId="0" fillId="4" borderId="0" xfId="0" applyFill="1"/>
    <xf numFmtId="0" fontId="0" fillId="5" borderId="0" xfId="0" applyFill="1"/>
    <xf numFmtId="0" fontId="12" fillId="0" borderId="0" xfId="0" applyFont="1" applyAlignment="1">
      <alignment horizontal="center"/>
    </xf>
    <xf numFmtId="2" fontId="0" fillId="0" borderId="0" xfId="0" applyNumberFormat="1"/>
    <xf numFmtId="0" fontId="31" fillId="0" borderId="0" xfId="2" applyFont="1"/>
    <xf numFmtId="0" fontId="29" fillId="0" borderId="0" xfId="2"/>
    <xf numFmtId="0" fontId="32" fillId="0" borderId="0" xfId="2" applyFont="1"/>
    <xf numFmtId="0" fontId="29" fillId="0" borderId="16" xfId="2" applyBorder="1"/>
    <xf numFmtId="0" fontId="29" fillId="2" borderId="16" xfId="2" applyFill="1" applyBorder="1" applyAlignment="1">
      <alignment horizontal="center"/>
    </xf>
    <xf numFmtId="0" fontId="29" fillId="0" borderId="16" xfId="2" applyBorder="1" applyAlignment="1">
      <alignment horizontal="center"/>
    </xf>
    <xf numFmtId="0" fontId="29" fillId="0" borderId="0" xfId="2" applyBorder="1" applyAlignment="1">
      <alignment horizontal="center"/>
    </xf>
    <xf numFmtId="178" fontId="29" fillId="0" borderId="0" xfId="1" applyNumberFormat="1" applyFont="1" applyBorder="1" applyAlignment="1">
      <alignment horizontal="center"/>
    </xf>
    <xf numFmtId="0" fontId="29" fillId="0" borderId="0" xfId="2" applyBorder="1"/>
    <xf numFmtId="0" fontId="29" fillId="2" borderId="0" xfId="2" applyFill="1" applyBorder="1" applyAlignment="1">
      <alignment horizontal="center"/>
    </xf>
    <xf numFmtId="0" fontId="29" fillId="0" borderId="19" xfId="2" applyBorder="1" applyAlignment="1">
      <alignment horizontal="center"/>
    </xf>
    <xf numFmtId="178" fontId="29" fillId="0" borderId="19" xfId="1" applyNumberFormat="1" applyFont="1" applyBorder="1" applyAlignment="1">
      <alignment horizontal="center"/>
    </xf>
    <xf numFmtId="0" fontId="29" fillId="0" borderId="19" xfId="2" applyBorder="1"/>
    <xf numFmtId="0" fontId="29" fillId="2" borderId="19" xfId="2" applyFill="1" applyBorder="1" applyAlignment="1">
      <alignment horizontal="center"/>
    </xf>
    <xf numFmtId="3" fontId="29" fillId="0" borderId="0" xfId="2" applyNumberFormat="1"/>
    <xf numFmtId="0" fontId="29" fillId="0" borderId="22" xfId="2" applyBorder="1"/>
    <xf numFmtId="0" fontId="29" fillId="0" borderId="27" xfId="2" applyBorder="1"/>
    <xf numFmtId="0" fontId="29" fillId="0" borderId="23" xfId="2" applyBorder="1" applyAlignment="1">
      <alignment horizontal="right"/>
    </xf>
    <xf numFmtId="2" fontId="31" fillId="0" borderId="28" xfId="2" applyNumberFormat="1" applyFont="1" applyBorder="1" applyAlignment="1">
      <alignment horizontal="right"/>
    </xf>
    <xf numFmtId="3" fontId="31" fillId="0" borderId="0" xfId="2" applyNumberFormat="1" applyFont="1"/>
    <xf numFmtId="2" fontId="29" fillId="0" borderId="28" xfId="2" applyNumberFormat="1" applyBorder="1"/>
    <xf numFmtId="38" fontId="31" fillId="0" borderId="0" xfId="2" applyNumberFormat="1" applyFont="1"/>
    <xf numFmtId="9" fontId="31" fillId="0" borderId="0" xfId="4" applyFont="1"/>
    <xf numFmtId="0" fontId="29" fillId="0" borderId="24" xfId="2" applyBorder="1" applyAlignment="1">
      <alignment horizontal="right"/>
    </xf>
    <xf numFmtId="2" fontId="29" fillId="0" borderId="29" xfId="2" applyNumberFormat="1" applyBorder="1"/>
    <xf numFmtId="0" fontId="29" fillId="0" borderId="0" xfId="2" applyAlignment="1">
      <alignment vertical="top"/>
    </xf>
    <xf numFmtId="0" fontId="29" fillId="0" borderId="19" xfId="2" applyBorder="1" applyAlignment="1">
      <alignment horizontal="right"/>
    </xf>
    <xf numFmtId="0" fontId="29" fillId="0" borderId="0" xfId="2" applyFill="1" applyBorder="1" applyAlignment="1">
      <alignment horizontal="center"/>
    </xf>
    <xf numFmtId="0" fontId="29" fillId="0" borderId="0" xfId="2" applyFill="1"/>
    <xf numFmtId="3" fontId="31" fillId="0" borderId="0" xfId="2" applyNumberFormat="1" applyFont="1" applyFill="1"/>
    <xf numFmtId="4" fontId="29" fillId="0" borderId="0" xfId="2" applyNumberFormat="1"/>
    <xf numFmtId="4" fontId="31" fillId="0" borderId="0" xfId="2" applyNumberFormat="1" applyFont="1"/>
    <xf numFmtId="0" fontId="29" fillId="0" borderId="0" xfId="2" applyFont="1"/>
    <xf numFmtId="0" fontId="29" fillId="0" borderId="0" xfId="2" applyFont="1" applyBorder="1" applyAlignment="1">
      <alignment horizontal="centerContinuous"/>
    </xf>
    <xf numFmtId="0" fontId="29" fillId="0" borderId="0" xfId="2" applyFont="1" applyBorder="1" applyAlignment="1">
      <alignment horizontal="center"/>
    </xf>
    <xf numFmtId="0" fontId="38" fillId="0" borderId="0" xfId="3" applyFont="1"/>
    <xf numFmtId="0" fontId="36" fillId="0" borderId="0" xfId="3"/>
    <xf numFmtId="0" fontId="39" fillId="0" borderId="20" xfId="3" applyFont="1" applyBorder="1" applyAlignment="1">
      <alignment horizontal="centerContinuous"/>
    </xf>
    <xf numFmtId="0" fontId="36" fillId="0" borderId="19" xfId="3" applyBorder="1" applyAlignment="1">
      <alignment horizontal="centerContinuous"/>
    </xf>
    <xf numFmtId="0" fontId="36" fillId="0" borderId="0" xfId="3" applyBorder="1"/>
    <xf numFmtId="0" fontId="36" fillId="0" borderId="19" xfId="3" applyBorder="1" applyAlignment="1">
      <alignment horizontal="center"/>
    </xf>
    <xf numFmtId="0" fontId="36" fillId="0" borderId="19" xfId="3" applyBorder="1" applyAlignment="1">
      <alignment horizontal="right"/>
    </xf>
    <xf numFmtId="0" fontId="36" fillId="0" borderId="0" xfId="3" applyAlignment="1">
      <alignment horizontal="center"/>
    </xf>
    <xf numFmtId="0" fontId="36" fillId="0" borderId="0" xfId="3" applyFont="1" applyBorder="1" applyAlignment="1">
      <alignment horizontal="center"/>
    </xf>
    <xf numFmtId="0" fontId="36" fillId="0" borderId="0" xfId="3" applyFont="1" applyAlignment="1">
      <alignment horizontal="center"/>
    </xf>
    <xf numFmtId="3" fontId="36" fillId="0" borderId="0" xfId="3" applyNumberFormat="1"/>
    <xf numFmtId="3" fontId="36" fillId="0" borderId="0" xfId="3" applyNumberFormat="1" applyAlignment="1">
      <alignment horizontal="right"/>
    </xf>
    <xf numFmtId="3" fontId="36" fillId="0" borderId="33" xfId="3" applyNumberFormat="1" applyBorder="1"/>
    <xf numFmtId="3" fontId="36" fillId="0" borderId="34" xfId="3" applyNumberFormat="1" applyBorder="1"/>
    <xf numFmtId="3" fontId="36" fillId="0" borderId="35" xfId="3" applyNumberFormat="1" applyBorder="1"/>
    <xf numFmtId="3" fontId="38" fillId="0" borderId="0" xfId="3" applyNumberFormat="1" applyFont="1"/>
    <xf numFmtId="0" fontId="36" fillId="0" borderId="0" xfId="3" applyBorder="1" applyAlignment="1">
      <alignment horizontal="right"/>
    </xf>
    <xf numFmtId="3" fontId="36" fillId="0" borderId="33" xfId="3" applyNumberFormat="1" applyBorder="1" applyAlignment="1">
      <alignment horizontal="right"/>
    </xf>
    <xf numFmtId="3" fontId="36" fillId="0" borderId="34" xfId="3" applyNumberFormat="1" applyBorder="1" applyAlignment="1">
      <alignment horizontal="right"/>
    </xf>
    <xf numFmtId="3" fontId="36" fillId="2" borderId="34" xfId="3" applyNumberFormat="1" applyFill="1" applyBorder="1"/>
    <xf numFmtId="3" fontId="36" fillId="0" borderId="34" xfId="3" applyNumberFormat="1" applyFill="1" applyBorder="1" applyAlignment="1">
      <alignment horizontal="right"/>
    </xf>
    <xf numFmtId="3" fontId="36" fillId="0" borderId="34" xfId="3" applyNumberFormat="1" applyFill="1" applyBorder="1"/>
    <xf numFmtId="3" fontId="36" fillId="2" borderId="33" xfId="3" applyNumberFormat="1" applyFill="1" applyBorder="1"/>
    <xf numFmtId="3" fontId="36" fillId="2" borderId="35" xfId="3" applyNumberFormat="1" applyFill="1" applyBorder="1"/>
    <xf numFmtId="3" fontId="36" fillId="0" borderId="35" xfId="3" applyNumberFormat="1" applyFont="1" applyBorder="1"/>
    <xf numFmtId="0" fontId="36" fillId="0" borderId="0" xfId="3" applyFont="1" applyBorder="1" applyAlignment="1">
      <alignment horizontal="right"/>
    </xf>
    <xf numFmtId="0" fontId="36" fillId="0" borderId="0" xfId="3" applyBorder="1" applyAlignment="1">
      <alignment horizontal="left"/>
    </xf>
    <xf numFmtId="0" fontId="36" fillId="0" borderId="19" xfId="3" applyFont="1" applyBorder="1" applyAlignment="1">
      <alignment horizontal="right"/>
    </xf>
    <xf numFmtId="3" fontId="36" fillId="0" borderId="27" xfId="3" applyNumberFormat="1" applyBorder="1"/>
    <xf numFmtId="3" fontId="36" fillId="0" borderId="28" xfId="3" applyNumberFormat="1" applyBorder="1"/>
    <xf numFmtId="3" fontId="36" fillId="0" borderId="29" xfId="3" applyNumberFormat="1" applyBorder="1"/>
    <xf numFmtId="3" fontId="36" fillId="0" borderId="23" xfId="3" applyNumberFormat="1" applyBorder="1"/>
    <xf numFmtId="3" fontId="36" fillId="0" borderId="24" xfId="3" applyNumberFormat="1" applyBorder="1"/>
    <xf numFmtId="0" fontId="39" fillId="0" borderId="19" xfId="3" applyFont="1" applyBorder="1" applyAlignment="1">
      <alignment horizontal="centerContinuous"/>
    </xf>
    <xf numFmtId="0" fontId="36" fillId="0" borderId="32" xfId="3" applyBorder="1"/>
    <xf numFmtId="0" fontId="36" fillId="0" borderId="30" xfId="3" applyFont="1" applyBorder="1" applyAlignment="1">
      <alignment horizontal="right"/>
    </xf>
    <xf numFmtId="0" fontId="36" fillId="2" borderId="31" xfId="3" applyFill="1" applyBorder="1" applyAlignment="1">
      <alignment horizontal="center"/>
    </xf>
    <xf numFmtId="0" fontId="36" fillId="0" borderId="0" xfId="3" applyFill="1" applyBorder="1" applyAlignment="1">
      <alignment horizontal="center"/>
    </xf>
    <xf numFmtId="0" fontId="36" fillId="0" borderId="20" xfId="3" applyBorder="1" applyAlignment="1">
      <alignment horizontal="centerContinuous"/>
    </xf>
    <xf numFmtId="3" fontId="38" fillId="0" borderId="22" xfId="3" applyNumberFormat="1" applyFont="1" applyBorder="1"/>
    <xf numFmtId="3" fontId="38" fillId="0" borderId="23" xfId="3" applyNumberFormat="1" applyFont="1" applyBorder="1"/>
    <xf numFmtId="3" fontId="38" fillId="0" borderId="24" xfId="3" applyNumberFormat="1" applyFont="1" applyBorder="1"/>
    <xf numFmtId="3" fontId="40" fillId="0" borderId="22" xfId="3" applyNumberFormat="1" applyFont="1" applyBorder="1" applyAlignment="1">
      <alignment horizontal="right"/>
    </xf>
    <xf numFmtId="3" fontId="40" fillId="0" borderId="27" xfId="3" applyNumberFormat="1" applyFont="1" applyBorder="1" applyAlignment="1">
      <alignment horizontal="right"/>
    </xf>
    <xf numFmtId="3" fontId="40" fillId="0" borderId="23" xfId="3" applyNumberFormat="1" applyFont="1" applyBorder="1"/>
    <xf numFmtId="3" fontId="40" fillId="0" borderId="28" xfId="3" applyNumberFormat="1" applyFont="1" applyBorder="1"/>
    <xf numFmtId="3" fontId="40" fillId="0" borderId="24" xfId="3" applyNumberFormat="1" applyFont="1" applyBorder="1"/>
    <xf numFmtId="3" fontId="40" fillId="0" borderId="29" xfId="3" applyNumberFormat="1" applyFont="1" applyBorder="1"/>
    <xf numFmtId="0" fontId="36" fillId="0" borderId="26" xfId="3" applyBorder="1"/>
    <xf numFmtId="0" fontId="39" fillId="0" borderId="0" xfId="3" applyFont="1" applyBorder="1"/>
    <xf numFmtId="0" fontId="36" fillId="0" borderId="23" xfId="3" applyBorder="1"/>
    <xf numFmtId="0" fontId="36" fillId="0" borderId="24" xfId="3" applyBorder="1"/>
    <xf numFmtId="0" fontId="36" fillId="0" borderId="17" xfId="3" applyBorder="1"/>
    <xf numFmtId="0" fontId="36" fillId="0" borderId="17" xfId="3" applyFont="1" applyBorder="1" applyAlignment="1">
      <alignment horizontal="right"/>
    </xf>
    <xf numFmtId="3" fontId="38" fillId="0" borderId="0" xfId="3" applyNumberFormat="1" applyFont="1" applyBorder="1"/>
    <xf numFmtId="3" fontId="38" fillId="0" borderId="17" xfId="3" applyNumberFormat="1" applyFont="1" applyBorder="1"/>
    <xf numFmtId="3" fontId="38" fillId="0" borderId="29" xfId="3" applyNumberFormat="1" applyFont="1" applyBorder="1"/>
    <xf numFmtId="0" fontId="36" fillId="0" borderId="16" xfId="3" applyFont="1" applyBorder="1" applyAlignment="1">
      <alignment horizontal="center"/>
    </xf>
    <xf numFmtId="0" fontId="36" fillId="0" borderId="22" xfId="3" applyFont="1" applyBorder="1"/>
    <xf numFmtId="0" fontId="36" fillId="0" borderId="27" xfId="3" applyBorder="1"/>
    <xf numFmtId="0" fontId="36" fillId="0" borderId="23" xfId="3" applyFont="1" applyBorder="1"/>
    <xf numFmtId="3" fontId="36" fillId="0" borderId="0" xfId="3" applyNumberFormat="1" applyBorder="1"/>
    <xf numFmtId="0" fontId="36" fillId="0" borderId="28" xfId="3" applyBorder="1"/>
    <xf numFmtId="0" fontId="36" fillId="0" borderId="0" xfId="3" applyFont="1" applyBorder="1"/>
    <xf numFmtId="0" fontId="36" fillId="0" borderId="28" xfId="3" applyFont="1" applyBorder="1"/>
    <xf numFmtId="3" fontId="36" fillId="0" borderId="17" xfId="3" applyNumberFormat="1" applyBorder="1"/>
    <xf numFmtId="0" fontId="36" fillId="0" borderId="0" xfId="3" applyBorder="1" applyAlignment="1">
      <alignment horizontal="centerContinuous"/>
    </xf>
    <xf numFmtId="0" fontId="36" fillId="0" borderId="26" xfId="3" applyFont="1" applyBorder="1"/>
    <xf numFmtId="0" fontId="36" fillId="0" borderId="20" xfId="3" applyBorder="1"/>
    <xf numFmtId="0" fontId="36" fillId="2" borderId="36" xfId="3" applyFill="1" applyBorder="1" applyAlignment="1">
      <alignment horizontal="center"/>
    </xf>
    <xf numFmtId="0" fontId="36" fillId="0" borderId="22" xfId="3" applyBorder="1"/>
    <xf numFmtId="0" fontId="36" fillId="0" borderId="17" xfId="3" applyFont="1" applyFill="1" applyBorder="1" applyAlignment="1">
      <alignment horizontal="right"/>
    </xf>
    <xf numFmtId="0" fontId="36" fillId="0" borderId="19" xfId="3" applyBorder="1" applyAlignment="1">
      <alignment horizontal="right" wrapText="1"/>
    </xf>
    <xf numFmtId="0" fontId="36" fillId="0" borderId="20" xfId="3" applyFont="1" applyBorder="1" applyAlignment="1">
      <alignment horizontal="right" wrapText="1"/>
    </xf>
    <xf numFmtId="3" fontId="19" fillId="0" borderId="0" xfId="0" applyNumberFormat="1" applyFont="1" applyBorder="1" applyProtection="1"/>
    <xf numFmtId="3" fontId="18" fillId="0" borderId="0" xfId="1" applyNumberFormat="1" applyFont="1" applyFill="1" applyBorder="1" applyAlignment="1" applyProtection="1">
      <alignment horizontal="right"/>
    </xf>
    <xf numFmtId="3" fontId="31" fillId="2" borderId="0" xfId="2" applyNumberFormat="1" applyFont="1" applyFill="1"/>
    <xf numFmtId="0" fontId="36" fillId="0" borderId="19" xfId="3" applyFont="1" applyBorder="1" applyAlignment="1">
      <alignment horizontal="right" wrapText="1"/>
    </xf>
    <xf numFmtId="0" fontId="66" fillId="0" borderId="0" xfId="0" applyFont="1"/>
    <xf numFmtId="164" fontId="66" fillId="0" borderId="12" xfId="0" applyNumberFormat="1" applyFont="1" applyBorder="1" applyProtection="1"/>
    <xf numFmtId="164" fontId="66" fillId="0" borderId="0" xfId="0" applyNumberFormat="1" applyFont="1" applyProtection="1"/>
    <xf numFmtId="0" fontId="66" fillId="0" borderId="13" xfId="0" applyFont="1" applyBorder="1"/>
    <xf numFmtId="0" fontId="66" fillId="0" borderId="10" xfId="0" applyFont="1" applyBorder="1"/>
    <xf numFmtId="0" fontId="66" fillId="0" borderId="15" xfId="0" applyFont="1" applyBorder="1"/>
    <xf numFmtId="0" fontId="66" fillId="0" borderId="9" xfId="0" applyFont="1" applyBorder="1"/>
    <xf numFmtId="0" fontId="66" fillId="0" borderId="0" xfId="0" applyFont="1" applyAlignment="1">
      <alignment horizontal="right"/>
    </xf>
    <xf numFmtId="3" fontId="31" fillId="0" borderId="0" xfId="1" applyNumberFormat="1" applyFont="1" applyBorder="1" applyAlignment="1">
      <alignment horizontal="right"/>
    </xf>
    <xf numFmtId="3" fontId="29" fillId="0" borderId="0" xfId="2" applyNumberFormat="1" applyBorder="1"/>
    <xf numFmtId="3" fontId="33" fillId="0" borderId="0" xfId="1" applyNumberFormat="1" applyFont="1" applyProtection="1"/>
    <xf numFmtId="3" fontId="31" fillId="0" borderId="0" xfId="2" applyNumberFormat="1" applyFont="1" applyBorder="1" applyAlignment="1">
      <alignment horizontal="center"/>
    </xf>
    <xf numFmtId="178" fontId="29" fillId="0" borderId="0" xfId="1" applyNumberFormat="1" applyFont="1" applyBorder="1" applyAlignment="1">
      <alignment horizontal="right"/>
    </xf>
    <xf numFmtId="178" fontId="29" fillId="0" borderId="19" xfId="1" applyNumberFormat="1" applyFont="1" applyBorder="1" applyAlignment="1">
      <alignment horizontal="right"/>
    </xf>
    <xf numFmtId="3" fontId="29" fillId="0" borderId="0" xfId="2" applyNumberFormat="1" applyAlignment="1">
      <alignment horizontal="right"/>
    </xf>
    <xf numFmtId="3" fontId="31" fillId="0" borderId="0" xfId="2" applyNumberFormat="1" applyFont="1" applyBorder="1" applyAlignment="1">
      <alignment horizontal="right"/>
    </xf>
    <xf numFmtId="3" fontId="31" fillId="0" borderId="0" xfId="2" applyNumberFormat="1" applyFont="1" applyAlignment="1">
      <alignment horizontal="right"/>
    </xf>
    <xf numFmtId="0" fontId="29" fillId="0" borderId="0" xfId="2" applyBorder="1" applyAlignment="1">
      <alignment horizontal="right"/>
    </xf>
    <xf numFmtId="0" fontId="29" fillId="0" borderId="16" xfId="2" applyBorder="1" applyAlignment="1">
      <alignment horizontal="right"/>
    </xf>
    <xf numFmtId="3" fontId="29" fillId="0" borderId="0" xfId="2" applyNumberFormat="1" applyFill="1" applyBorder="1" applyAlignment="1">
      <alignment horizontal="right"/>
    </xf>
    <xf numFmtId="9" fontId="31" fillId="8" borderId="0" xfId="4" applyFont="1" applyFill="1" applyBorder="1"/>
    <xf numFmtId="3" fontId="31" fillId="0" borderId="0" xfId="1" applyNumberFormat="1" applyFont="1" applyBorder="1" applyAlignment="1">
      <alignment horizontal="center"/>
    </xf>
    <xf numFmtId="172" fontId="29" fillId="0" borderId="19" xfId="2" applyNumberFormat="1" applyBorder="1"/>
    <xf numFmtId="0" fontId="29" fillId="0" borderId="20" xfId="2" applyFill="1" applyBorder="1" applyAlignment="1">
      <alignment horizontal="centerContinuous" wrapText="1"/>
    </xf>
    <xf numFmtId="0" fontId="29" fillId="0" borderId="20" xfId="2" applyFill="1" applyBorder="1" applyAlignment="1">
      <alignment horizontal="center" wrapText="1"/>
    </xf>
    <xf numFmtId="0" fontId="29" fillId="0" borderId="20" xfId="2" applyFill="1" applyBorder="1" applyAlignment="1">
      <alignment horizontal="right" wrapText="1"/>
    </xf>
    <xf numFmtId="0" fontId="69" fillId="0" borderId="20" xfId="3" applyFont="1" applyBorder="1" applyAlignment="1">
      <alignment horizontal="centerContinuous"/>
    </xf>
    <xf numFmtId="0" fontId="70" fillId="0" borderId="20" xfId="3" applyFont="1" applyBorder="1" applyAlignment="1">
      <alignment horizontal="centerContinuous"/>
    </xf>
    <xf numFmtId="172" fontId="29" fillId="0" borderId="20" xfId="2" applyNumberFormat="1" applyBorder="1"/>
    <xf numFmtId="3" fontId="33" fillId="0" borderId="0" xfId="1" applyNumberFormat="1" applyFont="1" applyBorder="1" applyProtection="1"/>
    <xf numFmtId="3" fontId="31" fillId="0" borderId="0" xfId="2" applyNumberFormat="1" applyFont="1" applyFill="1" applyBorder="1"/>
    <xf numFmtId="3" fontId="31" fillId="0" borderId="0" xfId="2" applyNumberFormat="1" applyFont="1" applyBorder="1"/>
    <xf numFmtId="9" fontId="31" fillId="0" borderId="0" xfId="4" applyFont="1" applyBorder="1"/>
    <xf numFmtId="3" fontId="31" fillId="0" borderId="16" xfId="2" applyNumberFormat="1" applyFont="1" applyBorder="1"/>
    <xf numFmtId="3" fontId="31" fillId="0" borderId="19" xfId="2" applyNumberFormat="1" applyFont="1" applyBorder="1"/>
    <xf numFmtId="9" fontId="31" fillId="0" borderId="19" xfId="4" applyFont="1" applyBorder="1"/>
    <xf numFmtId="0" fontId="29" fillId="0" borderId="26" xfId="2" applyBorder="1"/>
    <xf numFmtId="0" fontId="29" fillId="0" borderId="26" xfId="2" applyBorder="1" applyAlignment="1">
      <alignment horizontal="right"/>
    </xf>
    <xf numFmtId="0" fontId="29" fillId="8" borderId="27" xfId="2" applyFill="1" applyBorder="1"/>
    <xf numFmtId="0" fontId="29" fillId="0" borderId="24" xfId="2" applyBorder="1"/>
    <xf numFmtId="0" fontId="29" fillId="0" borderId="17" xfId="2" applyBorder="1"/>
    <xf numFmtId="0" fontId="29" fillId="0" borderId="17" xfId="2" applyBorder="1" applyAlignment="1">
      <alignment horizontal="right"/>
    </xf>
    <xf numFmtId="9" fontId="29" fillId="8" borderId="29" xfId="2" applyNumberFormat="1" applyFill="1" applyBorder="1"/>
    <xf numFmtId="178" fontId="29" fillId="0" borderId="16" xfId="1" applyNumberFormat="1" applyFont="1" applyBorder="1" applyAlignment="1">
      <alignment horizontal="center"/>
    </xf>
    <xf numFmtId="3" fontId="31" fillId="8" borderId="0" xfId="2" applyNumberFormat="1" applyFont="1" applyFill="1" applyBorder="1"/>
    <xf numFmtId="38" fontId="31" fillId="0" borderId="16" xfId="2" applyNumberFormat="1" applyFont="1" applyBorder="1"/>
    <xf numFmtId="38" fontId="29" fillId="0" borderId="0" xfId="2" applyNumberFormat="1" applyBorder="1"/>
    <xf numFmtId="38" fontId="31" fillId="0" borderId="0" xfId="2" applyNumberFormat="1" applyFont="1" applyBorder="1"/>
    <xf numFmtId="38" fontId="31" fillId="0" borderId="19" xfId="2" applyNumberFormat="1" applyFont="1" applyBorder="1"/>
    <xf numFmtId="0" fontId="29" fillId="0" borderId="0" xfId="2" applyFill="1" applyBorder="1"/>
    <xf numFmtId="3" fontId="34" fillId="0" borderId="0" xfId="2" applyNumberFormat="1" applyFont="1" applyFill="1" applyBorder="1" applyAlignment="1">
      <alignment horizontal="right"/>
    </xf>
    <xf numFmtId="3" fontId="35" fillId="0" borderId="0" xfId="2" applyNumberFormat="1" applyFont="1" applyFill="1" applyBorder="1"/>
    <xf numFmtId="9" fontId="29" fillId="8" borderId="0" xfId="2" applyNumberFormat="1" applyFill="1"/>
    <xf numFmtId="0" fontId="71" fillId="0" borderId="0" xfId="2" applyFont="1"/>
    <xf numFmtId="0" fontId="36" fillId="0" borderId="19" xfId="3" applyBorder="1" applyAlignment="1">
      <alignment horizontal="center" wrapText="1"/>
    </xf>
    <xf numFmtId="0" fontId="36" fillId="0" borderId="19" xfId="3" applyFont="1" applyBorder="1" applyAlignment="1">
      <alignment horizontal="center" wrapText="1"/>
    </xf>
    <xf numFmtId="0" fontId="0" fillId="0" borderId="0" xfId="0" applyAlignment="1" applyProtection="1">
      <alignment horizontal="right"/>
    </xf>
    <xf numFmtId="0" fontId="0" fillId="0" borderId="0" xfId="0" applyProtection="1"/>
    <xf numFmtId="0" fontId="0" fillId="0" borderId="0" xfId="0" applyFill="1" applyProtection="1"/>
    <xf numFmtId="0" fontId="0" fillId="0" borderId="0" xfId="0" applyFill="1" applyAlignment="1" applyProtection="1">
      <alignment horizontal="right"/>
    </xf>
    <xf numFmtId="0" fontId="0" fillId="0" borderId="0" xfId="0" applyFill="1" applyBorder="1" applyAlignment="1" applyProtection="1">
      <alignment horizontal="centerContinuous"/>
    </xf>
    <xf numFmtId="0" fontId="0" fillId="0" borderId="13" xfId="0"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xf>
    <xf numFmtId="169" fontId="38" fillId="0" borderId="0" xfId="0" applyNumberFormat="1" applyFont="1" applyBorder="1" applyAlignment="1" applyProtection="1">
      <alignment horizontal="center"/>
    </xf>
    <xf numFmtId="169" fontId="38" fillId="0" borderId="0" xfId="0" applyNumberFormat="1" applyFont="1" applyFill="1" applyBorder="1" applyAlignment="1" applyProtection="1">
      <alignment horizontal="center"/>
    </xf>
    <xf numFmtId="0" fontId="0" fillId="0" borderId="13" xfId="0" applyBorder="1" applyProtection="1"/>
    <xf numFmtId="3" fontId="38" fillId="0" borderId="0" xfId="0" applyNumberFormat="1" applyFont="1" applyBorder="1" applyAlignment="1" applyProtection="1">
      <alignment horizontal="right"/>
    </xf>
    <xf numFmtId="0" fontId="0" fillId="0" borderId="0" xfId="0" applyBorder="1" applyProtection="1"/>
    <xf numFmtId="0" fontId="39" fillId="0" borderId="13" xfId="0" applyFont="1" applyBorder="1" applyAlignment="1" applyProtection="1">
      <alignment horizontal="center"/>
    </xf>
    <xf numFmtId="11" fontId="38" fillId="0" borderId="0" xfId="0" applyNumberFormat="1" applyFont="1" applyBorder="1" applyAlignment="1" applyProtection="1">
      <alignment horizontal="right"/>
    </xf>
    <xf numFmtId="38" fontId="38" fillId="0" borderId="0" xfId="0" applyNumberFormat="1" applyFont="1" applyBorder="1" applyAlignment="1" applyProtection="1">
      <alignment horizontal="right"/>
    </xf>
    <xf numFmtId="169" fontId="38" fillId="8" borderId="0" xfId="0" applyNumberFormat="1" applyFont="1" applyFill="1" applyBorder="1" applyAlignment="1" applyProtection="1">
      <alignment horizontal="center"/>
    </xf>
    <xf numFmtId="0" fontId="12" fillId="0" borderId="0" xfId="0" applyFont="1" applyBorder="1" applyAlignment="1">
      <alignment horizontal="right" wrapText="1"/>
    </xf>
    <xf numFmtId="9" fontId="18" fillId="0" borderId="0" xfId="4" applyFont="1"/>
    <xf numFmtId="0" fontId="12" fillId="8" borderId="0" xfId="0" applyFont="1" applyFill="1" applyAlignment="1">
      <alignment horizontal="center"/>
    </xf>
    <xf numFmtId="0" fontId="36" fillId="0" borderId="0" xfId="3" applyAlignment="1">
      <alignment horizontal="center" wrapText="1"/>
    </xf>
    <xf numFmtId="0" fontId="12" fillId="0" borderId="26" xfId="0" applyFont="1" applyBorder="1"/>
    <xf numFmtId="0" fontId="12" fillId="0" borderId="0" xfId="0" applyFont="1" applyBorder="1" applyAlignment="1">
      <alignment horizontal="right"/>
    </xf>
    <xf numFmtId="0" fontId="12" fillId="0" borderId="17" xfId="0" applyFont="1" applyBorder="1"/>
    <xf numFmtId="0" fontId="12" fillId="0" borderId="16" xfId="0" applyFont="1" applyBorder="1"/>
    <xf numFmtId="0" fontId="12" fillId="0" borderId="19" xfId="0" applyFont="1" applyBorder="1" applyAlignment="1">
      <alignment horizontal="right"/>
    </xf>
    <xf numFmtId="0" fontId="48" fillId="0" borderId="0" xfId="0" applyFont="1"/>
    <xf numFmtId="0" fontId="48" fillId="0" borderId="0" xfId="0" applyFont="1" applyAlignment="1">
      <alignment horizontal="right"/>
    </xf>
    <xf numFmtId="3" fontId="18" fillId="0" borderId="0" xfId="0" applyNumberFormat="1" applyFont="1" applyBorder="1"/>
    <xf numFmtId="0" fontId="12" fillId="0" borderId="19" xfId="0" applyFont="1" applyBorder="1"/>
    <xf numFmtId="3" fontId="18" fillId="0" borderId="19" xfId="0" applyNumberFormat="1" applyFont="1" applyBorder="1"/>
    <xf numFmtId="0" fontId="18" fillId="0" borderId="19" xfId="0" applyFont="1" applyBorder="1"/>
    <xf numFmtId="0" fontId="48" fillId="0" borderId="0" xfId="0" applyFont="1" applyBorder="1"/>
    <xf numFmtId="0" fontId="12" fillId="0" borderId="20" xfId="0" applyFont="1" applyBorder="1" applyAlignment="1">
      <alignment horizontal="right"/>
    </xf>
    <xf numFmtId="2" fontId="18" fillId="0" borderId="19" xfId="0" applyNumberFormat="1" applyFont="1" applyBorder="1"/>
    <xf numFmtId="173" fontId="18" fillId="0" borderId="19" xfId="0" applyNumberFormat="1" applyFont="1" applyBorder="1"/>
    <xf numFmtId="9" fontId="18" fillId="8" borderId="0" xfId="4" applyFont="1" applyFill="1"/>
    <xf numFmtId="0" fontId="49" fillId="0" borderId="0" xfId="0" applyFont="1"/>
    <xf numFmtId="0" fontId="50" fillId="0" borderId="0" xfId="0" applyFont="1"/>
    <xf numFmtId="9" fontId="31" fillId="8" borderId="29" xfId="2" applyNumberFormat="1" applyFont="1" applyFill="1" applyBorder="1"/>
    <xf numFmtId="0" fontId="31" fillId="0" borderId="0" xfId="2" applyFont="1" applyBorder="1" applyAlignment="1">
      <alignment horizontal="center"/>
    </xf>
    <xf numFmtId="3" fontId="3" fillId="0" borderId="0" xfId="0" applyNumberFormat="1" applyFont="1" applyBorder="1" applyAlignment="1" applyProtection="1">
      <alignment horizontal="right"/>
    </xf>
    <xf numFmtId="37" fontId="31" fillId="0" borderId="0" xfId="0" applyNumberFormat="1" applyFont="1" applyFill="1" applyBorder="1" applyProtection="1"/>
    <xf numFmtId="3" fontId="3" fillId="9" borderId="0" xfId="0" applyNumberFormat="1" applyFont="1" applyFill="1" applyBorder="1" applyAlignment="1" applyProtection="1">
      <alignment horizontal="right"/>
    </xf>
    <xf numFmtId="0" fontId="52" fillId="0" borderId="0" xfId="0" applyFont="1" applyProtection="1"/>
    <xf numFmtId="0" fontId="0" fillId="0" borderId="0" xfId="0" applyBorder="1" applyAlignment="1">
      <alignment horizontal="right"/>
    </xf>
    <xf numFmtId="0" fontId="53" fillId="0" borderId="0" xfId="0" applyFont="1" applyAlignment="1" applyProtection="1">
      <alignment horizontal="left"/>
    </xf>
    <xf numFmtId="0" fontId="12" fillId="8" borderId="19" xfId="0" applyFont="1" applyFill="1" applyBorder="1" applyAlignment="1">
      <alignment horizontal="right"/>
    </xf>
    <xf numFmtId="173" fontId="18" fillId="0" borderId="0" xfId="0" applyNumberFormat="1" applyFont="1" applyBorder="1"/>
    <xf numFmtId="0" fontId="16" fillId="0" borderId="20" xfId="0" applyFont="1" applyBorder="1"/>
    <xf numFmtId="0" fontId="0" fillId="0" borderId="20" xfId="0" applyFont="1" applyBorder="1"/>
    <xf numFmtId="0" fontId="12" fillId="8" borderId="0" xfId="0" applyFont="1" applyFill="1"/>
    <xf numFmtId="3" fontId="18" fillId="8" borderId="0" xfId="0" applyNumberFormat="1" applyFont="1" applyFill="1"/>
    <xf numFmtId="9" fontId="18" fillId="0" borderId="0" xfId="4" applyFont="1" applyFill="1"/>
    <xf numFmtId="0" fontId="48" fillId="0" borderId="16" xfId="0" applyFont="1" applyBorder="1"/>
    <xf numFmtId="9" fontId="18" fillId="0" borderId="0" xfId="0" applyNumberFormat="1" applyFont="1"/>
    <xf numFmtId="9" fontId="12" fillId="0" borderId="0" xfId="0" applyNumberFormat="1" applyFont="1"/>
    <xf numFmtId="9" fontId="18" fillId="0" borderId="0" xfId="0" applyNumberFormat="1" applyFont="1" applyFill="1"/>
    <xf numFmtId="9" fontId="18" fillId="8" borderId="0" xfId="0" applyNumberFormat="1" applyFont="1" applyFill="1"/>
    <xf numFmtId="3" fontId="18" fillId="0" borderId="16" xfId="0" applyNumberFormat="1" applyFont="1" applyBorder="1"/>
    <xf numFmtId="0" fontId="18" fillId="0" borderId="16" xfId="0" applyFont="1" applyBorder="1"/>
    <xf numFmtId="2" fontId="18" fillId="0" borderId="16" xfId="0" applyNumberFormat="1" applyFont="1" applyBorder="1"/>
    <xf numFmtId="0" fontId="36" fillId="2" borderId="19" xfId="3" applyFont="1" applyFill="1" applyBorder="1" applyAlignment="1">
      <alignment horizontal="right" wrapText="1"/>
    </xf>
    <xf numFmtId="0" fontId="72" fillId="0" borderId="0" xfId="3" applyFont="1"/>
    <xf numFmtId="3" fontId="44" fillId="0" borderId="0" xfId="0" applyNumberFormat="1" applyFont="1" applyFill="1" applyBorder="1" applyAlignment="1" applyProtection="1">
      <alignment horizontal="right"/>
    </xf>
    <xf numFmtId="3" fontId="45" fillId="0" borderId="0" xfId="0" applyNumberFormat="1" applyFont="1" applyFill="1" applyBorder="1" applyAlignment="1" applyProtection="1">
      <alignment horizontal="right"/>
    </xf>
    <xf numFmtId="3" fontId="38" fillId="0" borderId="26" xfId="3" applyNumberFormat="1" applyFont="1" applyBorder="1"/>
    <xf numFmtId="0" fontId="36" fillId="8" borderId="0" xfId="3" applyFill="1"/>
    <xf numFmtId="0" fontId="38" fillId="0" borderId="16" xfId="3" applyFont="1" applyBorder="1"/>
    <xf numFmtId="0" fontId="39" fillId="0" borderId="16" xfId="3" applyFont="1" applyBorder="1"/>
    <xf numFmtId="0" fontId="36" fillId="0" borderId="16" xfId="3" applyFont="1" applyBorder="1" applyAlignment="1">
      <alignment horizontal="right"/>
    </xf>
    <xf numFmtId="0" fontId="36" fillId="0" borderId="16" xfId="3" applyBorder="1"/>
    <xf numFmtId="0" fontId="36" fillId="0" borderId="19" xfId="3" applyBorder="1"/>
    <xf numFmtId="3" fontId="38" fillId="0" borderId="19" xfId="3" applyNumberFormat="1" applyFont="1" applyBorder="1"/>
    <xf numFmtId="0" fontId="0" fillId="8" borderId="0" xfId="0" applyFill="1" applyBorder="1" applyAlignment="1" applyProtection="1">
      <alignment horizontal="center"/>
    </xf>
    <xf numFmtId="0" fontId="55" fillId="0" borderId="36" xfId="2" applyFont="1" applyBorder="1"/>
    <xf numFmtId="0" fontId="56" fillId="0" borderId="0" xfId="3" quotePrefix="1" applyFont="1"/>
    <xf numFmtId="0" fontId="73" fillId="8" borderId="36" xfId="0" applyFont="1" applyFill="1" applyBorder="1" applyAlignment="1">
      <alignment horizontal="center"/>
    </xf>
    <xf numFmtId="0" fontId="12" fillId="0" borderId="0" xfId="0" applyFont="1" applyFill="1" applyAlignment="1">
      <alignment horizontal="right"/>
    </xf>
    <xf numFmtId="3" fontId="18" fillId="0" borderId="0" xfId="0" applyNumberFormat="1" applyFont="1" applyFill="1"/>
    <xf numFmtId="0" fontId="0" fillId="7" borderId="0" xfId="0" applyFont="1" applyFill="1"/>
    <xf numFmtId="0" fontId="54" fillId="0" borderId="0" xfId="0" applyFont="1"/>
    <xf numFmtId="0" fontId="16" fillId="8" borderId="0" xfId="0" applyFont="1" applyFill="1" applyAlignment="1">
      <alignment horizontal="center"/>
    </xf>
    <xf numFmtId="3" fontId="12" fillId="8" borderId="0" xfId="0" applyNumberFormat="1" applyFont="1" applyFill="1"/>
    <xf numFmtId="0" fontId="58" fillId="0" borderId="0" xfId="2" applyFont="1"/>
    <xf numFmtId="0" fontId="59" fillId="0" borderId="0" xfId="2" applyFont="1"/>
    <xf numFmtId="0" fontId="59" fillId="0" borderId="22" xfId="2" applyFont="1" applyBorder="1"/>
    <xf numFmtId="0" fontId="59" fillId="0" borderId="27" xfId="2" applyFont="1" applyBorder="1"/>
    <xf numFmtId="0" fontId="59" fillId="0" borderId="23" xfId="2" applyFont="1" applyBorder="1" applyAlignment="1">
      <alignment horizontal="right"/>
    </xf>
    <xf numFmtId="2" fontId="58" fillId="0" borderId="28" xfId="2" applyNumberFormat="1" applyFont="1" applyBorder="1" applyAlignment="1">
      <alignment horizontal="right"/>
    </xf>
    <xf numFmtId="2" fontId="59" fillId="0" borderId="28" xfId="2" applyNumberFormat="1" applyFont="1" applyBorder="1"/>
    <xf numFmtId="0" fontId="60" fillId="0" borderId="0" xfId="2" applyFont="1"/>
    <xf numFmtId="0" fontId="59" fillId="0" borderId="24" xfId="2" applyFont="1" applyBorder="1" applyAlignment="1">
      <alignment horizontal="right"/>
    </xf>
    <xf numFmtId="2" fontId="59" fillId="0" borderId="29" xfId="2" applyNumberFormat="1" applyFont="1" applyBorder="1"/>
    <xf numFmtId="2" fontId="58" fillId="0" borderId="0" xfId="2" applyNumberFormat="1" applyFont="1"/>
    <xf numFmtId="0" fontId="75" fillId="0" borderId="0" xfId="2" applyFont="1"/>
    <xf numFmtId="0" fontId="59" fillId="0" borderId="16" xfId="2" applyFont="1" applyBorder="1"/>
    <xf numFmtId="0" fontId="59" fillId="2" borderId="16" xfId="2" applyFont="1" applyFill="1" applyBorder="1" applyAlignment="1">
      <alignment horizontal="center"/>
    </xf>
    <xf numFmtId="0" fontId="59" fillId="0" borderId="16" xfId="2" applyFont="1" applyBorder="1" applyAlignment="1">
      <alignment horizontal="center"/>
    </xf>
    <xf numFmtId="0" fontId="59" fillId="0" borderId="0" xfId="2" applyFont="1" applyBorder="1" applyAlignment="1">
      <alignment horizontal="center"/>
    </xf>
    <xf numFmtId="178" fontId="59" fillId="0" borderId="0" xfId="1" applyNumberFormat="1" applyFont="1" applyBorder="1" applyAlignment="1">
      <alignment horizontal="center"/>
    </xf>
    <xf numFmtId="0" fontId="59" fillId="2" borderId="0" xfId="2" applyFont="1" applyFill="1" applyBorder="1" applyAlignment="1">
      <alignment horizontal="center"/>
    </xf>
    <xf numFmtId="0" fontId="59" fillId="0" borderId="0" xfId="2" applyFont="1" applyBorder="1"/>
    <xf numFmtId="0" fontId="59" fillId="0" borderId="0" xfId="2" applyFont="1" applyBorder="1" applyAlignment="1">
      <alignment horizontal="centerContinuous"/>
    </xf>
    <xf numFmtId="0" fontId="59" fillId="0" borderId="0" xfId="2" applyFont="1" applyAlignment="1">
      <alignment horizontal="right"/>
    </xf>
    <xf numFmtId="0" fontId="59" fillId="0" borderId="19" xfId="2" applyFont="1" applyBorder="1" applyAlignment="1">
      <alignment horizontal="center"/>
    </xf>
    <xf numFmtId="178" fontId="59" fillId="0" borderId="19" xfId="1" applyNumberFormat="1" applyFont="1" applyBorder="1" applyAlignment="1">
      <alignment horizontal="center"/>
    </xf>
    <xf numFmtId="0" fontId="59" fillId="2" borderId="19" xfId="2" applyFont="1" applyFill="1" applyBorder="1" applyAlignment="1">
      <alignment horizontal="center"/>
    </xf>
    <xf numFmtId="3" fontId="58" fillId="0" borderId="0" xfId="1" applyNumberFormat="1" applyFont="1" applyBorder="1" applyAlignment="1">
      <alignment horizontal="right"/>
    </xf>
    <xf numFmtId="3" fontId="59" fillId="0" borderId="0" xfId="2" applyNumberFormat="1" applyFont="1" applyFill="1" applyBorder="1" applyAlignment="1">
      <alignment horizontal="center"/>
    </xf>
    <xf numFmtId="3" fontId="59" fillId="0" borderId="0" xfId="2" applyNumberFormat="1" applyFont="1" applyBorder="1" applyAlignment="1">
      <alignment horizontal="center"/>
    </xf>
    <xf numFmtId="3" fontId="58" fillId="0" borderId="0" xfId="2" applyNumberFormat="1" applyFont="1" applyBorder="1" applyAlignment="1">
      <alignment horizontal="center"/>
    </xf>
    <xf numFmtId="3" fontId="58" fillId="0" borderId="0" xfId="2" applyNumberFormat="1" applyFont="1" applyAlignment="1">
      <alignment horizontal="right"/>
    </xf>
    <xf numFmtId="3" fontId="58" fillId="0" borderId="0" xfId="2" applyNumberFormat="1" applyFont="1" applyFill="1"/>
    <xf numFmtId="38" fontId="58" fillId="0" borderId="0" xfId="2" applyNumberFormat="1" applyFont="1"/>
    <xf numFmtId="3" fontId="58" fillId="0" borderId="0" xfId="2" applyNumberFormat="1" applyFont="1"/>
    <xf numFmtId="9" fontId="58" fillId="0" borderId="0" xfId="4" applyFont="1"/>
    <xf numFmtId="0" fontId="60" fillId="0" borderId="0" xfId="2" applyFont="1" applyBorder="1" applyAlignment="1">
      <alignment horizontal="center"/>
    </xf>
    <xf numFmtId="2" fontId="58" fillId="0" borderId="0" xfId="2" applyNumberFormat="1" applyFont="1" applyBorder="1" applyAlignment="1">
      <alignment horizontal="center"/>
    </xf>
    <xf numFmtId="178" fontId="58" fillId="0" borderId="0" xfId="1" applyNumberFormat="1" applyFont="1" applyProtection="1"/>
    <xf numFmtId="4" fontId="58" fillId="0" borderId="0" xfId="2" applyNumberFormat="1" applyFont="1" applyFill="1"/>
    <xf numFmtId="177" fontId="58" fillId="0" borderId="0" xfId="2" applyNumberFormat="1" applyFont="1"/>
    <xf numFmtId="4" fontId="58" fillId="0" borderId="0" xfId="2" applyNumberFormat="1" applyFont="1"/>
    <xf numFmtId="3" fontId="58" fillId="0" borderId="16" xfId="2" applyNumberFormat="1" applyFont="1" applyBorder="1"/>
    <xf numFmtId="3" fontId="58" fillId="0" borderId="0" xfId="2" applyNumberFormat="1" applyFont="1" applyFill="1" applyBorder="1"/>
    <xf numFmtId="3" fontId="59" fillId="0" borderId="0" xfId="2" applyNumberFormat="1" applyFont="1" applyBorder="1"/>
    <xf numFmtId="3" fontId="58" fillId="8" borderId="0" xfId="2" applyNumberFormat="1" applyFont="1" applyFill="1" applyBorder="1"/>
    <xf numFmtId="9" fontId="58" fillId="8" borderId="0" xfId="4" applyFont="1" applyFill="1" applyBorder="1"/>
    <xf numFmtId="3" fontId="59" fillId="0" borderId="0" xfId="2" applyNumberFormat="1" applyFont="1" applyFill="1" applyBorder="1"/>
    <xf numFmtId="3" fontId="58" fillId="0" borderId="0" xfId="2" applyNumberFormat="1" applyFont="1" applyBorder="1"/>
    <xf numFmtId="9" fontId="58" fillId="0" borderId="0" xfId="4" applyFont="1" applyBorder="1"/>
    <xf numFmtId="9" fontId="58" fillId="0" borderId="0" xfId="4" applyFont="1" applyFill="1" applyBorder="1"/>
    <xf numFmtId="0" fontId="59" fillId="0" borderId="19" xfId="2" applyFont="1" applyBorder="1"/>
    <xf numFmtId="3" fontId="58" fillId="0" borderId="19" xfId="2" applyNumberFormat="1" applyFont="1" applyBorder="1"/>
    <xf numFmtId="9" fontId="58" fillId="0" borderId="19" xfId="4" applyFont="1" applyBorder="1"/>
    <xf numFmtId="169" fontId="31" fillId="0" borderId="0" xfId="4" applyNumberFormat="1" applyFont="1" applyBorder="1"/>
    <xf numFmtId="169" fontId="31" fillId="8" borderId="0" xfId="4" applyNumberFormat="1" applyFont="1" applyFill="1" applyBorder="1"/>
    <xf numFmtId="169" fontId="31" fillId="0" borderId="19" xfId="4" applyNumberFormat="1" applyFont="1" applyBorder="1"/>
    <xf numFmtId="3" fontId="31" fillId="0" borderId="0" xfId="1" applyNumberFormat="1" applyFont="1" applyFill="1" applyBorder="1" applyAlignment="1">
      <alignment horizontal="center"/>
    </xf>
    <xf numFmtId="38" fontId="31" fillId="0" borderId="0" xfId="2" applyNumberFormat="1" applyFont="1" applyFill="1"/>
    <xf numFmtId="9" fontId="31" fillId="0" borderId="0" xfId="4" applyFont="1" applyFill="1"/>
    <xf numFmtId="3" fontId="33" fillId="0" borderId="0" xfId="1" applyNumberFormat="1" applyFont="1" applyFill="1" applyProtection="1"/>
    <xf numFmtId="3" fontId="33" fillId="0" borderId="0" xfId="1" applyNumberFormat="1" applyFont="1" applyFill="1" applyBorder="1" applyProtection="1"/>
    <xf numFmtId="9" fontId="31" fillId="0" borderId="0" xfId="4" applyFont="1" applyFill="1" applyBorder="1"/>
    <xf numFmtId="0" fontId="62" fillId="0" borderId="17" xfId="2" applyFont="1" applyBorder="1" applyAlignment="1">
      <alignment horizontal="right"/>
    </xf>
    <xf numFmtId="3" fontId="65" fillId="0" borderId="0" xfId="0" applyNumberFormat="1" applyFont="1" applyBorder="1"/>
    <xf numFmtId="0" fontId="65" fillId="0" borderId="0" xfId="0" applyFont="1" applyBorder="1"/>
    <xf numFmtId="2" fontId="65" fillId="0" borderId="0" xfId="0" applyNumberFormat="1" applyFont="1" applyBorder="1"/>
    <xf numFmtId="0" fontId="36" fillId="0" borderId="0" xfId="3" applyAlignment="1">
      <alignment wrapText="1"/>
    </xf>
    <xf numFmtId="0" fontId="63" fillId="0" borderId="0" xfId="3" applyFont="1"/>
    <xf numFmtId="0" fontId="64" fillId="0" borderId="0" xfId="3" applyFont="1"/>
    <xf numFmtId="0" fontId="38" fillId="0" borderId="0" xfId="3" applyFont="1" applyAlignment="1">
      <alignment horizontal="center"/>
    </xf>
    <xf numFmtId="0" fontId="36" fillId="0" borderId="0" xfId="3" applyFont="1" applyBorder="1" applyAlignment="1">
      <alignment horizontal="right" wrapText="1"/>
    </xf>
    <xf numFmtId="3" fontId="36" fillId="0" borderId="0" xfId="3" applyNumberFormat="1" applyFill="1" applyBorder="1"/>
    <xf numFmtId="3" fontId="38" fillId="0" borderId="0" xfId="3" applyNumberFormat="1" applyFont="1" applyFill="1"/>
    <xf numFmtId="3" fontId="36" fillId="0" borderId="0" xfId="0" applyNumberFormat="1" applyFont="1" applyAlignment="1">
      <alignment horizontal="right"/>
    </xf>
    <xf numFmtId="0" fontId="39" fillId="0" borderId="0" xfId="2" applyFont="1"/>
    <xf numFmtId="0" fontId="76" fillId="0" borderId="0" xfId="2" applyFont="1"/>
    <xf numFmtId="0" fontId="77" fillId="0" borderId="0" xfId="0" applyFont="1" applyAlignment="1">
      <alignment wrapText="1"/>
    </xf>
    <xf numFmtId="3" fontId="77" fillId="8" borderId="0" xfId="0" applyNumberFormat="1" applyFont="1" applyFill="1" applyAlignment="1">
      <alignment wrapText="1"/>
    </xf>
    <xf numFmtId="0" fontId="36" fillId="0" borderId="0" xfId="3" applyBorder="1" applyAlignment="1">
      <alignment horizontal="right" vertical="top" wrapText="1"/>
    </xf>
    <xf numFmtId="0" fontId="79" fillId="0" borderId="0" xfId="0" applyFont="1" applyAlignment="1">
      <alignment vertical="top" wrapText="1"/>
    </xf>
    <xf numFmtId="9" fontId="80" fillId="8" borderId="0" xfId="4" applyFont="1" applyFill="1" applyBorder="1"/>
    <xf numFmtId="3" fontId="80" fillId="0" borderId="0" xfId="2" applyNumberFormat="1" applyFont="1" applyBorder="1"/>
    <xf numFmtId="3" fontId="31" fillId="0" borderId="0" xfId="2" applyNumberFormat="1" applyFont="1" applyFill="1" applyAlignment="1">
      <alignment horizontal="right"/>
    </xf>
    <xf numFmtId="3" fontId="81" fillId="0" borderId="0" xfId="2" applyNumberFormat="1" applyFont="1" applyBorder="1"/>
    <xf numFmtId="3" fontId="82" fillId="0" borderId="0" xfId="0" applyNumberFormat="1" applyFont="1" applyBorder="1"/>
    <xf numFmtId="0" fontId="82" fillId="0" borderId="0" xfId="0" applyFont="1" applyBorder="1"/>
    <xf numFmtId="2" fontId="82" fillId="0" borderId="0" xfId="0" applyNumberFormat="1" applyFont="1" applyBorder="1"/>
    <xf numFmtId="2" fontId="82" fillId="0" borderId="19" xfId="0" applyNumberFormat="1" applyFont="1" applyBorder="1"/>
    <xf numFmtId="3" fontId="65" fillId="0" borderId="0" xfId="0" applyNumberFormat="1" applyFont="1"/>
    <xf numFmtId="9" fontId="65" fillId="0" borderId="0" xfId="4" applyFont="1"/>
    <xf numFmtId="0" fontId="12" fillId="0" borderId="0" xfId="0" applyFont="1" applyFill="1"/>
    <xf numFmtId="3" fontId="65" fillId="0" borderId="0" xfId="0" applyNumberFormat="1" applyFont="1" applyFill="1"/>
    <xf numFmtId="0" fontId="65" fillId="0" borderId="0" xfId="0" applyFont="1"/>
    <xf numFmtId="0" fontId="78" fillId="0" borderId="20" xfId="0" applyFont="1" applyBorder="1"/>
    <xf numFmtId="0" fontId="65" fillId="0" borderId="16" xfId="0" applyFont="1" applyBorder="1"/>
    <xf numFmtId="0" fontId="65" fillId="0" borderId="20" xfId="0" applyFont="1" applyBorder="1" applyAlignment="1">
      <alignment horizontal="right"/>
    </xf>
    <xf numFmtId="3" fontId="65" fillId="0" borderId="16" xfId="0" applyNumberFormat="1" applyFont="1" applyBorder="1"/>
    <xf numFmtId="3" fontId="65" fillId="0" borderId="19" xfId="0" applyNumberFormat="1" applyFont="1" applyBorder="1"/>
    <xf numFmtId="0" fontId="65" fillId="0" borderId="19" xfId="0" applyFont="1" applyBorder="1"/>
    <xf numFmtId="179" fontId="31" fillId="0" borderId="0" xfId="2" applyNumberFormat="1" applyFont="1"/>
    <xf numFmtId="180" fontId="31" fillId="0" borderId="0" xfId="2" applyNumberFormat="1" applyFont="1" applyBorder="1"/>
    <xf numFmtId="181" fontId="31" fillId="0" borderId="19" xfId="2" applyNumberFormat="1" applyFont="1" applyBorder="1"/>
    <xf numFmtId="181" fontId="31" fillId="0" borderId="0" xfId="2" applyNumberFormat="1" applyFont="1" applyBorder="1"/>
    <xf numFmtId="181" fontId="31" fillId="0" borderId="0" xfId="2" applyNumberFormat="1" applyFont="1" applyFill="1" applyBorder="1"/>
    <xf numFmtId="182" fontId="31" fillId="0" borderId="0" xfId="2" applyNumberFormat="1" applyFont="1"/>
    <xf numFmtId="182" fontId="29" fillId="0" borderId="0" xfId="2" applyNumberFormat="1"/>
    <xf numFmtId="9" fontId="65" fillId="11" borderId="0" xfId="4" applyFont="1" applyFill="1"/>
    <xf numFmtId="3" fontId="65" fillId="11" borderId="0" xfId="0" applyNumberFormat="1" applyFont="1" applyFill="1"/>
    <xf numFmtId="3" fontId="36" fillId="0" borderId="0" xfId="3" applyNumberFormat="1" applyBorder="1" applyAlignment="1">
      <alignment horizontal="right"/>
    </xf>
    <xf numFmtId="0" fontId="36" fillId="0" borderId="0" xfId="3" applyFont="1" applyBorder="1" applyAlignment="1">
      <alignment horizontal="center" wrapText="1"/>
    </xf>
    <xf numFmtId="0" fontId="36" fillId="0" borderId="0" xfId="3" applyBorder="1" applyAlignment="1">
      <alignment horizontal="right" wrapText="1"/>
    </xf>
    <xf numFmtId="0" fontId="36" fillId="2" borderId="0" xfId="3" applyFont="1" applyFill="1" applyBorder="1" applyAlignment="1">
      <alignment horizontal="right" wrapText="1"/>
    </xf>
    <xf numFmtId="0" fontId="84" fillId="0" borderId="0" xfId="2" applyNumberFormat="1" applyFont="1" applyAlignment="1">
      <alignment horizontal="left"/>
    </xf>
    <xf numFmtId="3" fontId="31" fillId="0" borderId="0" xfId="1" applyNumberFormat="1" applyFont="1" applyFill="1" applyBorder="1" applyAlignment="1">
      <alignment horizontal="right"/>
    </xf>
    <xf numFmtId="3" fontId="31" fillId="0" borderId="0" xfId="2" applyNumberFormat="1" applyFont="1" applyFill="1" applyBorder="1" applyAlignment="1">
      <alignment horizontal="center"/>
    </xf>
    <xf numFmtId="0" fontId="29" fillId="0" borderId="0" xfId="2" applyFont="1" applyFill="1" applyBorder="1" applyAlignment="1">
      <alignment horizontal="center"/>
    </xf>
    <xf numFmtId="3" fontId="82" fillId="0" borderId="0" xfId="0" applyNumberFormat="1" applyFont="1"/>
    <xf numFmtId="0" fontId="82" fillId="0" borderId="0" xfId="0" applyFont="1"/>
    <xf numFmtId="3" fontId="82" fillId="8" borderId="0" xfId="0" applyNumberFormat="1" applyFont="1" applyFill="1"/>
    <xf numFmtId="178" fontId="31" fillId="11" borderId="0" xfId="1" applyNumberFormat="1" applyFont="1" applyFill="1"/>
    <xf numFmtId="3" fontId="77" fillId="11" borderId="0" xfId="0" applyNumberFormat="1" applyFont="1" applyFill="1" applyAlignment="1">
      <alignment vertical="center" wrapText="1"/>
    </xf>
    <xf numFmtId="178" fontId="31" fillId="11" borderId="0" xfId="1" applyNumberFormat="1" applyFont="1" applyFill="1" applyAlignment="1">
      <alignment vertical="center"/>
    </xf>
    <xf numFmtId="178" fontId="84" fillId="11" borderId="0" xfId="2" applyNumberFormat="1" applyFont="1" applyFill="1"/>
    <xf numFmtId="0" fontId="85" fillId="0" borderId="0" xfId="3" applyFont="1"/>
    <xf numFmtId="0" fontId="85" fillId="0" borderId="0" xfId="3" applyFont="1" applyAlignment="1">
      <alignment horizontal="center"/>
    </xf>
    <xf numFmtId="0" fontId="72" fillId="11" borderId="0" xfId="3" applyFont="1" applyFill="1"/>
    <xf numFmtId="178" fontId="84" fillId="11" borderId="0" xfId="2" applyNumberFormat="1" applyFont="1" applyFill="1" applyAlignment="1">
      <alignment vertical="center"/>
    </xf>
    <xf numFmtId="9" fontId="86" fillId="11" borderId="0" xfId="4" applyFont="1" applyFill="1" applyAlignment="1">
      <alignment horizontal="center"/>
    </xf>
    <xf numFmtId="0" fontId="59" fillId="11" borderId="0" xfId="2" applyFont="1" applyFill="1" applyAlignment="1">
      <alignment horizontal="center"/>
    </xf>
    <xf numFmtId="0" fontId="87" fillId="0" borderId="30" xfId="0" applyFont="1" applyBorder="1" applyAlignment="1">
      <alignment horizontal="right" vertical="center" wrapText="1"/>
    </xf>
    <xf numFmtId="3" fontId="87" fillId="0" borderId="30" xfId="0" applyNumberFormat="1" applyFont="1" applyBorder="1" applyAlignment="1">
      <alignment horizontal="right" vertical="center" wrapText="1"/>
    </xf>
    <xf numFmtId="0" fontId="87" fillId="0" borderId="0" xfId="0" applyFont="1" applyBorder="1" applyAlignment="1">
      <alignment horizontal="right" vertical="center" wrapText="1"/>
    </xf>
    <xf numFmtId="3" fontId="87" fillId="0" borderId="0" xfId="0" applyNumberFormat="1" applyFont="1" applyBorder="1" applyAlignment="1">
      <alignment horizontal="right" vertical="center" wrapText="1"/>
    </xf>
    <xf numFmtId="0" fontId="88" fillId="0" borderId="19" xfId="3" applyFont="1" applyBorder="1" applyAlignment="1">
      <alignment horizontal="centerContinuous"/>
    </xf>
    <xf numFmtId="0" fontId="74" fillId="0" borderId="0" xfId="3" applyFont="1" applyAlignment="1">
      <alignment horizontal="right"/>
    </xf>
    <xf numFmtId="169" fontId="31" fillId="8" borderId="19" xfId="4" applyNumberFormat="1" applyFont="1" applyFill="1" applyBorder="1"/>
    <xf numFmtId="3" fontId="70" fillId="0" borderId="0" xfId="3" applyNumberFormat="1" applyFont="1" applyBorder="1"/>
    <xf numFmtId="0" fontId="12" fillId="0" borderId="0" xfId="2" applyFont="1" applyBorder="1" applyAlignment="1">
      <alignment horizontal="center"/>
    </xf>
    <xf numFmtId="3" fontId="18" fillId="0" borderId="0" xfId="1" applyNumberFormat="1" applyFont="1" applyBorder="1" applyAlignment="1">
      <alignment horizontal="center"/>
    </xf>
    <xf numFmtId="3" fontId="18" fillId="0" borderId="0" xfId="2" applyNumberFormat="1" applyFont="1"/>
    <xf numFmtId="38" fontId="18" fillId="0" borderId="0" xfId="2" applyNumberFormat="1" applyFont="1"/>
    <xf numFmtId="3" fontId="18" fillId="0" borderId="0" xfId="2" applyNumberFormat="1" applyFont="1" applyFill="1"/>
    <xf numFmtId="178" fontId="36" fillId="0" borderId="0" xfId="1" applyNumberFormat="1" applyFont="1"/>
    <xf numFmtId="0" fontId="36" fillId="0" borderId="0" xfId="3" applyAlignment="1">
      <alignment horizontal="right"/>
    </xf>
    <xf numFmtId="178" fontId="36" fillId="0" borderId="0" xfId="3" applyNumberFormat="1"/>
    <xf numFmtId="0" fontId="12" fillId="0" borderId="22" xfId="2" applyFont="1" applyBorder="1" applyAlignment="1">
      <alignment horizontal="center"/>
    </xf>
    <xf numFmtId="3" fontId="18" fillId="0" borderId="26" xfId="1" applyNumberFormat="1" applyFont="1" applyBorder="1" applyAlignment="1">
      <alignment horizontal="center"/>
    </xf>
    <xf numFmtId="3" fontId="18" fillId="0" borderId="26" xfId="2" applyNumberFormat="1" applyFont="1" applyBorder="1"/>
    <xf numFmtId="38" fontId="18" fillId="0" borderId="26" xfId="2" applyNumberFormat="1" applyFont="1" applyBorder="1"/>
    <xf numFmtId="3" fontId="18" fillId="0" borderId="26" xfId="2" applyNumberFormat="1" applyFont="1" applyFill="1" applyBorder="1"/>
    <xf numFmtId="9" fontId="18" fillId="0" borderId="26" xfId="4" applyFont="1" applyFill="1" applyBorder="1"/>
    <xf numFmtId="9" fontId="18" fillId="0" borderId="26" xfId="4" applyFont="1" applyBorder="1"/>
    <xf numFmtId="0" fontId="12" fillId="0" borderId="23" xfId="2" applyFont="1" applyBorder="1" applyAlignment="1">
      <alignment horizontal="center"/>
    </xf>
    <xf numFmtId="0" fontId="91" fillId="0" borderId="0" xfId="0" applyFont="1" applyBorder="1" applyAlignment="1">
      <alignment wrapText="1"/>
    </xf>
    <xf numFmtId="3" fontId="90" fillId="11" borderId="0" xfId="2" applyNumberFormat="1" applyFont="1" applyFill="1" applyBorder="1" applyAlignment="1">
      <alignment vertical="center"/>
    </xf>
    <xf numFmtId="38" fontId="89" fillId="0" borderId="0" xfId="2" applyNumberFormat="1" applyFont="1" applyBorder="1"/>
    <xf numFmtId="3" fontId="91" fillId="0" borderId="0" xfId="0" applyNumberFormat="1" applyFont="1" applyFill="1" applyBorder="1" applyAlignment="1">
      <alignment wrapText="1"/>
    </xf>
    <xf numFmtId="9" fontId="18" fillId="0" borderId="0" xfId="4" applyFont="1" applyFill="1" applyBorder="1"/>
    <xf numFmtId="9" fontId="18" fillId="0" borderId="0" xfId="4" applyFont="1" applyBorder="1"/>
    <xf numFmtId="0" fontId="29" fillId="0" borderId="28" xfId="2" applyBorder="1"/>
    <xf numFmtId="38" fontId="93" fillId="0" borderId="0" xfId="2" applyNumberFormat="1" applyFont="1" applyBorder="1" applyAlignment="1">
      <alignment vertical="center"/>
    </xf>
    <xf numFmtId="3" fontId="91" fillId="0" borderId="0" xfId="0" applyNumberFormat="1" applyFont="1" applyFill="1" applyBorder="1" applyAlignment="1">
      <alignment vertical="center" wrapText="1"/>
    </xf>
    <xf numFmtId="0" fontId="12" fillId="0" borderId="24" xfId="2" applyFont="1" applyBorder="1" applyAlignment="1">
      <alignment horizontal="center"/>
    </xf>
    <xf numFmtId="3" fontId="18" fillId="0" borderId="17" xfId="1" applyNumberFormat="1" applyFont="1" applyBorder="1" applyAlignment="1">
      <alignment horizontal="center"/>
    </xf>
    <xf numFmtId="3" fontId="18" fillId="0" borderId="17" xfId="2" applyNumberFormat="1" applyFont="1" applyBorder="1"/>
    <xf numFmtId="38" fontId="18" fillId="0" borderId="17" xfId="2" applyNumberFormat="1" applyFont="1" applyBorder="1"/>
    <xf numFmtId="0" fontId="12" fillId="0" borderId="17" xfId="2" applyFont="1" applyBorder="1"/>
    <xf numFmtId="9" fontId="18" fillId="0" borderId="17" xfId="4" applyFont="1" applyBorder="1"/>
    <xf numFmtId="0" fontId="29" fillId="0" borderId="29" xfId="2" applyBorder="1"/>
    <xf numFmtId="3" fontId="94" fillId="11" borderId="0" xfId="2" applyNumberFormat="1" applyFont="1" applyFill="1" applyBorder="1" applyAlignment="1">
      <alignment vertical="center"/>
    </xf>
    <xf numFmtId="3" fontId="95" fillId="0" borderId="0" xfId="1" applyNumberFormat="1" applyFont="1" applyFill="1" applyBorder="1" applyAlignment="1">
      <alignment horizontal="center"/>
    </xf>
    <xf numFmtId="3" fontId="95" fillId="0" borderId="16" xfId="1" applyNumberFormat="1" applyFont="1" applyFill="1" applyBorder="1" applyAlignment="1">
      <alignment horizontal="center"/>
    </xf>
    <xf numFmtId="3" fontId="31" fillId="0" borderId="16" xfId="2" applyNumberFormat="1" applyFont="1" applyFill="1" applyBorder="1"/>
    <xf numFmtId="38" fontId="31" fillId="0" borderId="16" xfId="2" applyNumberFormat="1" applyFont="1" applyFill="1" applyBorder="1"/>
    <xf numFmtId="3" fontId="95" fillId="0" borderId="0" xfId="2" applyNumberFormat="1" applyFont="1" applyFill="1" applyBorder="1"/>
    <xf numFmtId="3" fontId="33" fillId="0" borderId="19" xfId="1" applyNumberFormat="1" applyFont="1" applyFill="1" applyBorder="1" applyProtection="1"/>
    <xf numFmtId="38" fontId="31" fillId="0" borderId="19" xfId="2" applyNumberFormat="1" applyFont="1" applyFill="1" applyBorder="1"/>
    <xf numFmtId="37" fontId="44" fillId="9" borderId="16" xfId="0" applyNumberFormat="1" applyFont="1" applyFill="1" applyBorder="1" applyAlignment="1" applyProtection="1">
      <alignment horizontal="center" vertical="center"/>
    </xf>
    <xf numFmtId="37" fontId="44" fillId="9" borderId="0" xfId="0" applyNumberFormat="1" applyFont="1" applyFill="1" applyBorder="1" applyAlignment="1" applyProtection="1">
      <alignment horizontal="center" vertical="center"/>
    </xf>
    <xf numFmtId="0" fontId="29" fillId="0" borderId="22" xfId="2" applyFill="1" applyBorder="1" applyAlignment="1">
      <alignment horizontal="center"/>
    </xf>
    <xf numFmtId="3" fontId="33" fillId="0" borderId="26" xfId="1" applyNumberFormat="1" applyFont="1" applyFill="1" applyBorder="1" applyProtection="1"/>
    <xf numFmtId="3" fontId="31" fillId="0" borderId="26" xfId="2" applyNumberFormat="1" applyFont="1" applyFill="1" applyBorder="1"/>
    <xf numFmtId="0" fontId="29" fillId="0" borderId="26" xfId="2" applyFill="1" applyBorder="1"/>
    <xf numFmtId="9" fontId="31" fillId="0" borderId="26" xfId="4" applyFont="1" applyFill="1" applyBorder="1"/>
    <xf numFmtId="0" fontId="29" fillId="0" borderId="27" xfId="2" applyFill="1" applyBorder="1"/>
    <xf numFmtId="0" fontId="29" fillId="0" borderId="23" xfId="2" applyFill="1" applyBorder="1" applyAlignment="1">
      <alignment horizontal="center"/>
    </xf>
    <xf numFmtId="0" fontId="29" fillId="0" borderId="23" xfId="2" applyFill="1" applyBorder="1"/>
    <xf numFmtId="0" fontId="29" fillId="0" borderId="23" xfId="2" applyBorder="1"/>
    <xf numFmtId="0" fontId="12" fillId="0" borderId="0" xfId="5" applyFont="1" applyAlignment="1" applyProtection="1">
      <alignment horizontal="right"/>
    </xf>
    <xf numFmtId="0" fontId="12" fillId="0" borderId="0" xfId="5" applyFont="1" applyProtection="1"/>
    <xf numFmtId="0" fontId="12" fillId="0" borderId="0" xfId="5" applyFont="1" applyFill="1" applyProtection="1"/>
    <xf numFmtId="0" fontId="36" fillId="0" borderId="0" xfId="5" applyFill="1" applyProtection="1"/>
    <xf numFmtId="0" fontId="36" fillId="0" borderId="0" xfId="5" applyProtection="1"/>
    <xf numFmtId="0" fontId="36" fillId="0" borderId="0" xfId="5"/>
    <xf numFmtId="0" fontId="97" fillId="0" borderId="0" xfId="5" applyFont="1" applyProtection="1"/>
    <xf numFmtId="0" fontId="12" fillId="0" borderId="0" xfId="5" applyFont="1" applyBorder="1" applyAlignment="1" applyProtection="1">
      <alignment horizontal="right"/>
    </xf>
    <xf numFmtId="0" fontId="12" fillId="0" borderId="0" xfId="5" applyFont="1" applyFill="1" applyBorder="1" applyAlignment="1" applyProtection="1">
      <alignment horizontal="right"/>
    </xf>
    <xf numFmtId="0" fontId="36" fillId="0" borderId="0" xfId="5" applyFill="1" applyAlignment="1" applyProtection="1">
      <alignment horizontal="right"/>
    </xf>
    <xf numFmtId="0" fontId="98" fillId="0" borderId="0" xfId="5" applyFont="1" applyProtection="1"/>
    <xf numFmtId="0" fontId="99" fillId="0" borderId="0" xfId="5" applyFont="1" applyAlignment="1" applyProtection="1">
      <alignment horizontal="right"/>
    </xf>
    <xf numFmtId="0" fontId="99" fillId="0" borderId="0" xfId="5" applyFont="1" applyProtection="1"/>
    <xf numFmtId="0" fontId="100" fillId="0" borderId="0" xfId="5" applyFont="1" applyFill="1" applyProtection="1"/>
    <xf numFmtId="0" fontId="100" fillId="0" borderId="0" xfId="5" applyFont="1"/>
    <xf numFmtId="0" fontId="12" fillId="0" borderId="6" xfId="5" applyFont="1" applyBorder="1" applyProtection="1"/>
    <xf numFmtId="0" fontId="16" fillId="2" borderId="1" xfId="5" applyFont="1" applyFill="1" applyBorder="1" applyAlignment="1" applyProtection="1">
      <alignment horizontal="left"/>
    </xf>
    <xf numFmtId="0" fontId="12" fillId="2" borderId="2" xfId="5" applyFont="1" applyFill="1" applyBorder="1" applyAlignment="1" applyProtection="1">
      <alignment horizontal="left"/>
    </xf>
    <xf numFmtId="0" fontId="12" fillId="0" borderId="0" xfId="5" applyFont="1" applyFill="1" applyBorder="1" applyAlignment="1" applyProtection="1">
      <alignment horizontal="centerContinuous"/>
    </xf>
    <xf numFmtId="0" fontId="36" fillId="0" borderId="0" xfId="5" applyFill="1" applyBorder="1" applyAlignment="1" applyProtection="1">
      <alignment horizontal="centerContinuous"/>
    </xf>
    <xf numFmtId="0" fontId="12" fillId="0" borderId="12" xfId="5" applyFont="1" applyBorder="1" applyAlignment="1" applyProtection="1">
      <alignment horizontal="center"/>
    </xf>
    <xf numFmtId="0" fontId="12" fillId="0" borderId="6" xfId="5" applyFont="1" applyBorder="1" applyAlignment="1" applyProtection="1">
      <alignment horizontal="right"/>
    </xf>
    <xf numFmtId="0" fontId="12" fillId="0" borderId="10" xfId="5" applyFont="1" applyBorder="1" applyAlignment="1" applyProtection="1">
      <alignment horizontal="center"/>
    </xf>
    <xf numFmtId="0" fontId="12" fillId="0" borderId="6" xfId="5" applyFont="1" applyBorder="1" applyAlignment="1" applyProtection="1">
      <alignment horizontal="center"/>
    </xf>
    <xf numFmtId="0" fontId="12" fillId="0" borderId="7" xfId="5" applyFont="1" applyBorder="1" applyAlignment="1" applyProtection="1">
      <alignment horizontal="center"/>
    </xf>
    <xf numFmtId="0" fontId="12" fillId="0" borderId="0" xfId="5" applyFont="1" applyFill="1" applyBorder="1" applyAlignment="1" applyProtection="1">
      <alignment horizontal="center"/>
    </xf>
    <xf numFmtId="0" fontId="36" fillId="0" borderId="0" xfId="5" applyFill="1" applyBorder="1" applyAlignment="1" applyProtection="1">
      <alignment horizontal="center"/>
    </xf>
    <xf numFmtId="0" fontId="12" fillId="0" borderId="8" xfId="5" applyFont="1" applyBorder="1" applyAlignment="1" applyProtection="1">
      <alignment horizontal="center"/>
    </xf>
    <xf numFmtId="0" fontId="12" fillId="0" borderId="12" xfId="5" applyFont="1" applyBorder="1" applyAlignment="1">
      <alignment horizontal="center"/>
    </xf>
    <xf numFmtId="3" fontId="101" fillId="0" borderId="0" xfId="5" applyNumberFormat="1" applyFont="1" applyAlignment="1" applyProtection="1">
      <alignment horizontal="right"/>
    </xf>
    <xf numFmtId="11" fontId="18" fillId="0" borderId="0" xfId="5" applyNumberFormat="1" applyFont="1" applyAlignment="1" applyProtection="1">
      <alignment horizontal="right"/>
    </xf>
    <xf numFmtId="169" fontId="18" fillId="0" borderId="0" xfId="5" applyNumberFormat="1" applyFont="1" applyBorder="1" applyAlignment="1" applyProtection="1">
      <alignment horizontal="center"/>
    </xf>
    <xf numFmtId="169" fontId="12" fillId="0" borderId="0" xfId="5" applyNumberFormat="1" applyFont="1" applyFill="1" applyBorder="1" applyAlignment="1" applyProtection="1">
      <alignment horizontal="center"/>
    </xf>
    <xf numFmtId="0" fontId="12" fillId="0" borderId="12" xfId="5" applyFont="1" applyFill="1" applyBorder="1" applyAlignment="1">
      <alignment horizontal="center"/>
    </xf>
    <xf numFmtId="169" fontId="18" fillId="0" borderId="0" xfId="5" applyNumberFormat="1" applyFont="1" applyFill="1" applyBorder="1" applyAlignment="1" applyProtection="1">
      <alignment horizontal="center"/>
    </xf>
    <xf numFmtId="0" fontId="36" fillId="0" borderId="0" xfId="5" applyFill="1"/>
    <xf numFmtId="169" fontId="38" fillId="0" borderId="0" xfId="5" applyNumberFormat="1" applyFont="1" applyFill="1" applyBorder="1" applyAlignment="1" applyProtection="1">
      <alignment horizontal="center"/>
    </xf>
    <xf numFmtId="169" fontId="18" fillId="11" borderId="0" xfId="5" applyNumberFormat="1" applyFont="1" applyFill="1" applyBorder="1" applyAlignment="1" applyProtection="1">
      <alignment horizontal="center"/>
    </xf>
    <xf numFmtId="37" fontId="18" fillId="3" borderId="13" xfId="5" applyNumberFormat="1" applyFont="1" applyFill="1" applyBorder="1" applyAlignment="1" applyProtection="1">
      <alignment horizontal="right"/>
    </xf>
    <xf numFmtId="3" fontId="66" fillId="0" borderId="0" xfId="5" applyNumberFormat="1" applyFont="1" applyFill="1" applyAlignment="1" applyProtection="1">
      <alignment horizontal="right"/>
    </xf>
    <xf numFmtId="170" fontId="12" fillId="0" borderId="0" xfId="5" applyNumberFormat="1" applyFont="1" applyFill="1" applyAlignment="1" applyProtection="1">
      <alignment horizontal="right"/>
    </xf>
    <xf numFmtId="169" fontId="12" fillId="0" borderId="0" xfId="5" applyNumberFormat="1" applyFont="1" applyFill="1" applyBorder="1" applyProtection="1"/>
    <xf numFmtId="0" fontId="12" fillId="0" borderId="0" xfId="5" applyFont="1" applyBorder="1" applyAlignment="1">
      <alignment horizontal="center"/>
    </xf>
    <xf numFmtId="3" fontId="18" fillId="0" borderId="0" xfId="5" applyNumberFormat="1" applyFont="1" applyFill="1" applyBorder="1" applyAlignment="1" applyProtection="1">
      <alignment horizontal="right"/>
    </xf>
    <xf numFmtId="3" fontId="66" fillId="0" borderId="0" xfId="5" applyNumberFormat="1" applyFont="1" applyFill="1" applyBorder="1" applyAlignment="1" applyProtection="1">
      <alignment horizontal="right"/>
    </xf>
    <xf numFmtId="170" fontId="12" fillId="0" borderId="0" xfId="5" applyNumberFormat="1" applyFont="1" applyFill="1" applyBorder="1" applyAlignment="1" applyProtection="1">
      <alignment horizontal="right"/>
    </xf>
    <xf numFmtId="3" fontId="36" fillId="0" borderId="0" xfId="5" applyNumberFormat="1" applyBorder="1"/>
    <xf numFmtId="37" fontId="18" fillId="0" borderId="0" xfId="5" applyNumberFormat="1" applyFont="1" applyFill="1" applyBorder="1" applyAlignment="1" applyProtection="1">
      <alignment horizontal="right"/>
    </xf>
    <xf numFmtId="0" fontId="12" fillId="0" borderId="0" xfId="5" applyFont="1" applyFill="1" applyBorder="1" applyProtection="1"/>
    <xf numFmtId="3" fontId="18" fillId="0" borderId="0" xfId="5" applyNumberFormat="1" applyFont="1" applyBorder="1" applyProtection="1"/>
    <xf numFmtId="170" fontId="12" fillId="0" borderId="0" xfId="5" applyNumberFormat="1" applyFont="1" applyBorder="1" applyAlignment="1" applyProtection="1">
      <alignment horizontal="right"/>
    </xf>
    <xf numFmtId="169" fontId="12" fillId="0" borderId="0" xfId="5" applyNumberFormat="1" applyFont="1" applyBorder="1" applyProtection="1"/>
    <xf numFmtId="0" fontId="12" fillId="0" borderId="0" xfId="5" applyFont="1" applyBorder="1" applyAlignment="1" applyProtection="1">
      <alignment horizontal="center"/>
    </xf>
    <xf numFmtId="169" fontId="18" fillId="0" borderId="0" xfId="5" applyNumberFormat="1" applyFont="1" applyBorder="1" applyProtection="1"/>
    <xf numFmtId="169" fontId="18" fillId="0" borderId="0" xfId="5" applyNumberFormat="1" applyFont="1" applyFill="1" applyBorder="1" applyProtection="1"/>
    <xf numFmtId="0" fontId="12" fillId="0" borderId="0" xfId="5" applyFont="1" applyBorder="1" applyProtection="1"/>
    <xf numFmtId="3" fontId="18" fillId="0" borderId="0" xfId="5" applyNumberFormat="1" applyFont="1" applyBorder="1" applyAlignment="1" applyProtection="1">
      <alignment horizontal="right"/>
    </xf>
    <xf numFmtId="10" fontId="18" fillId="0" borderId="0" xfId="5" applyNumberFormat="1" applyFont="1" applyBorder="1" applyProtection="1"/>
    <xf numFmtId="10" fontId="18" fillId="0" borderId="0" xfId="5" applyNumberFormat="1" applyFont="1" applyFill="1" applyBorder="1" applyProtection="1"/>
    <xf numFmtId="3" fontId="20" fillId="0" borderId="0" xfId="5" applyNumberFormat="1" applyFont="1" applyBorder="1" applyProtection="1"/>
    <xf numFmtId="3" fontId="101" fillId="0" borderId="0" xfId="5" applyNumberFormat="1" applyFont="1" applyBorder="1" applyProtection="1"/>
    <xf numFmtId="181" fontId="101" fillId="0" borderId="0" xfId="5" applyNumberFormat="1" applyFont="1" applyBorder="1" applyProtection="1"/>
    <xf numFmtId="37" fontId="12" fillId="0" borderId="0" xfId="5" applyNumberFormat="1" applyFont="1" applyBorder="1" applyProtection="1"/>
    <xf numFmtId="167" fontId="12" fillId="0" borderId="0" xfId="5" applyNumberFormat="1" applyFont="1" applyBorder="1" applyProtection="1"/>
    <xf numFmtId="167" fontId="12" fillId="0" borderId="0" xfId="5" applyNumberFormat="1" applyFont="1" applyFill="1" applyBorder="1" applyProtection="1"/>
    <xf numFmtId="10" fontId="12" fillId="0" borderId="0" xfId="5" applyNumberFormat="1" applyFont="1" applyFill="1" applyBorder="1" applyProtection="1"/>
    <xf numFmtId="169" fontId="18" fillId="0" borderId="0" xfId="5" applyNumberFormat="1" applyFont="1" applyFill="1" applyBorder="1" applyAlignment="1" applyProtection="1">
      <alignment horizontal="right"/>
    </xf>
    <xf numFmtId="0" fontId="36" fillId="0" borderId="0" xfId="5" applyBorder="1" applyProtection="1"/>
    <xf numFmtId="0" fontId="36" fillId="0" borderId="0" xfId="5" applyBorder="1"/>
    <xf numFmtId="0" fontId="12" fillId="0" borderId="22" xfId="5" applyFont="1" applyBorder="1" applyAlignment="1" applyProtection="1">
      <alignment horizontal="right"/>
    </xf>
    <xf numFmtId="37" fontId="12" fillId="0" borderId="26" xfId="5" quotePrefix="1" applyNumberFormat="1" applyFont="1" applyBorder="1" applyAlignment="1" applyProtection="1">
      <alignment horizontal="center"/>
    </xf>
    <xf numFmtId="0" fontId="12" fillId="0" borderId="27" xfId="5" applyFont="1" applyBorder="1" applyProtection="1"/>
    <xf numFmtId="174" fontId="20" fillId="0" borderId="0" xfId="6" applyNumberFormat="1" applyFont="1" applyFill="1" applyBorder="1" applyProtection="1"/>
    <xf numFmtId="0" fontId="66" fillId="0" borderId="23" xfId="5" applyFont="1" applyBorder="1" applyAlignment="1" applyProtection="1">
      <alignment horizontal="right"/>
    </xf>
    <xf numFmtId="3" fontId="18" fillId="11" borderId="0" xfId="5" applyNumberFormat="1" applyFont="1" applyFill="1" applyBorder="1" applyAlignment="1" applyProtection="1">
      <alignment horizontal="right"/>
    </xf>
    <xf numFmtId="9" fontId="1" fillId="0" borderId="28" xfId="6" applyFont="1" applyBorder="1" applyProtection="1"/>
    <xf numFmtId="0" fontId="12" fillId="0" borderId="0" xfId="5" quotePrefix="1" applyFont="1" applyBorder="1" applyAlignment="1" applyProtection="1">
      <alignment horizontal="right"/>
    </xf>
    <xf numFmtId="3" fontId="66" fillId="0" borderId="23" xfId="5" quotePrefix="1" applyNumberFormat="1" applyFont="1" applyBorder="1" applyAlignment="1" applyProtection="1">
      <alignment horizontal="right"/>
    </xf>
    <xf numFmtId="0" fontId="102" fillId="0" borderId="0" xfId="5" quotePrefix="1" applyFont="1" applyFill="1" applyBorder="1" applyAlignment="1" applyProtection="1">
      <alignment horizontal="left"/>
    </xf>
    <xf numFmtId="0" fontId="12" fillId="0" borderId="0" xfId="5" quotePrefix="1" applyFont="1" applyFill="1" applyBorder="1" applyAlignment="1" applyProtection="1">
      <alignment horizontal="right"/>
    </xf>
    <xf numFmtId="3" fontId="36" fillId="0" borderId="0" xfId="5" applyNumberFormat="1"/>
    <xf numFmtId="0" fontId="12" fillId="0" borderId="28" xfId="5" applyFont="1" applyBorder="1" applyProtection="1"/>
    <xf numFmtId="0" fontId="12" fillId="0" borderId="24" xfId="5" applyFont="1" applyBorder="1" applyAlignment="1" applyProtection="1">
      <alignment horizontal="right"/>
    </xf>
    <xf numFmtId="0" fontId="12" fillId="0" borderId="17" xfId="5" applyFont="1" applyBorder="1" applyProtection="1"/>
    <xf numFmtId="0" fontId="12" fillId="0" borderId="29" xfId="5" applyFont="1" applyBorder="1" applyProtection="1"/>
    <xf numFmtId="0" fontId="12" fillId="0" borderId="0" xfId="5" applyFont="1"/>
    <xf numFmtId="169" fontId="66" fillId="0" borderId="0" xfId="5" applyNumberFormat="1" applyFont="1" applyBorder="1" applyAlignment="1" applyProtection="1">
      <alignment horizontal="right"/>
    </xf>
    <xf numFmtId="1" fontId="66" fillId="0" borderId="0" xfId="5" applyNumberFormat="1" applyFont="1" applyBorder="1" applyAlignment="1" applyProtection="1">
      <alignment horizontal="right"/>
    </xf>
    <xf numFmtId="9" fontId="65" fillId="0" borderId="0" xfId="5" applyNumberFormat="1" applyFont="1" applyFill="1" applyBorder="1" applyAlignment="1" applyProtection="1">
      <alignment horizontal="right"/>
    </xf>
    <xf numFmtId="0" fontId="12" fillId="0" borderId="0" xfId="5" applyFont="1" applyFill="1" applyBorder="1"/>
    <xf numFmtId="1" fontId="12" fillId="0" borderId="0" xfId="5" applyNumberFormat="1" applyFont="1" applyFill="1" applyBorder="1" applyAlignment="1" applyProtection="1">
      <alignment horizontal="right"/>
    </xf>
    <xf numFmtId="10" fontId="36" fillId="0" borderId="0" xfId="5" applyNumberFormat="1" applyFill="1" applyBorder="1" applyProtection="1"/>
    <xf numFmtId="0" fontId="49" fillId="0" borderId="0" xfId="5" applyFont="1" applyFill="1" applyBorder="1" applyAlignment="1" applyProtection="1">
      <alignment horizontal="centerContinuous"/>
    </xf>
    <xf numFmtId="0" fontId="96" fillId="0" borderId="0" xfId="5" applyFont="1" applyFill="1" applyBorder="1" applyAlignment="1" applyProtection="1">
      <alignment horizontal="centerContinuous"/>
    </xf>
    <xf numFmtId="0" fontId="96" fillId="0" borderId="0" xfId="5" applyFont="1" applyFill="1" applyBorder="1" applyAlignment="1" applyProtection="1">
      <alignment horizontal="right"/>
    </xf>
    <xf numFmtId="10" fontId="66" fillId="0" borderId="0" xfId="5" applyNumberFormat="1" applyFont="1" applyFill="1" applyBorder="1" applyAlignment="1" applyProtection="1">
      <alignment horizontal="right"/>
    </xf>
    <xf numFmtId="10" fontId="38" fillId="0" borderId="0" xfId="5" applyNumberFormat="1" applyFont="1" applyFill="1" applyBorder="1" applyProtection="1"/>
    <xf numFmtId="169" fontId="38" fillId="0" borderId="0" xfId="5" applyNumberFormat="1" applyFont="1" applyFill="1" applyBorder="1" applyProtection="1"/>
    <xf numFmtId="3" fontId="103" fillId="0" borderId="0" xfId="5" applyNumberFormat="1" applyFont="1" applyFill="1" applyBorder="1" applyAlignment="1" applyProtection="1">
      <alignment horizontal="right"/>
    </xf>
    <xf numFmtId="38" fontId="89" fillId="0" borderId="0" xfId="5" applyNumberFormat="1" applyFont="1" applyFill="1" applyBorder="1" applyAlignment="1" applyProtection="1">
      <alignment horizontal="right"/>
    </xf>
    <xf numFmtId="1" fontId="66" fillId="0" borderId="0" xfId="5" applyNumberFormat="1" applyFont="1" applyFill="1" applyBorder="1" applyAlignment="1" applyProtection="1">
      <alignment horizontal="right"/>
    </xf>
    <xf numFmtId="0" fontId="36" fillId="0" borderId="0" xfId="5" applyFill="1" applyBorder="1" applyProtection="1"/>
    <xf numFmtId="174" fontId="40" fillId="0" borderId="0" xfId="6" applyNumberFormat="1" applyFont="1" applyFill="1" applyBorder="1" applyProtection="1"/>
    <xf numFmtId="3" fontId="36" fillId="0" borderId="0" xfId="5" applyNumberFormat="1" applyAlignment="1" applyProtection="1">
      <alignment horizontal="right"/>
    </xf>
    <xf numFmtId="0" fontId="36" fillId="0" borderId="0" xfId="5" applyFill="1" applyBorder="1"/>
    <xf numFmtId="0" fontId="66" fillId="0" borderId="0" xfId="5" applyFont="1" applyFill="1" applyBorder="1" applyProtection="1"/>
    <xf numFmtId="0" fontId="65" fillId="0" borderId="0" xfId="5" applyFont="1" applyFill="1" applyBorder="1" applyProtection="1"/>
    <xf numFmtId="0" fontId="12" fillId="0" borderId="0" xfId="5" quotePrefix="1" applyFont="1" applyFill="1" applyBorder="1" applyAlignment="1" applyProtection="1">
      <alignment horizontal="center"/>
    </xf>
    <xf numFmtId="178" fontId="12" fillId="0" borderId="0" xfId="5" quotePrefix="1" applyNumberFormat="1" applyFont="1" applyFill="1" applyBorder="1" applyAlignment="1" applyProtection="1">
      <alignment horizontal="center"/>
    </xf>
    <xf numFmtId="172" fontId="18" fillId="0" borderId="0" xfId="5" applyNumberFormat="1" applyFont="1" applyFill="1" applyBorder="1" applyProtection="1"/>
    <xf numFmtId="0" fontId="36" fillId="0" borderId="0" xfId="5" applyFill="1" applyBorder="1" applyAlignment="1" applyProtection="1">
      <alignment horizontal="right"/>
    </xf>
    <xf numFmtId="172" fontId="36" fillId="0" borderId="0" xfId="5" applyNumberFormat="1" applyFill="1" applyBorder="1" applyProtection="1"/>
    <xf numFmtId="0" fontId="36" fillId="0" borderId="0" xfId="5" applyAlignment="1" applyProtection="1">
      <alignment horizontal="right"/>
    </xf>
    <xf numFmtId="0" fontId="65" fillId="0" borderId="0" xfId="0" applyFont="1" applyAlignment="1">
      <alignment horizontal="center"/>
    </xf>
    <xf numFmtId="0" fontId="103" fillId="0" borderId="13" xfId="5" applyFont="1" applyBorder="1" applyAlignment="1" applyProtection="1">
      <alignment horizontal="left"/>
    </xf>
    <xf numFmtId="0" fontId="106" fillId="0" borderId="13" xfId="5" applyFont="1" applyBorder="1" applyAlignment="1" applyProtection="1">
      <alignment horizontal="left"/>
    </xf>
    <xf numFmtId="0" fontId="36" fillId="11" borderId="19" xfId="3" applyFont="1" applyFill="1" applyBorder="1" applyAlignment="1">
      <alignment horizontal="right" wrapText="1"/>
    </xf>
    <xf numFmtId="0" fontId="37" fillId="0" borderId="0" xfId="3" applyFont="1" applyBorder="1" applyAlignment="1">
      <alignment horizontal="center"/>
    </xf>
    <xf numFmtId="1" fontId="36" fillId="0" borderId="0" xfId="3" applyNumberFormat="1" applyAlignment="1">
      <alignment horizontal="center"/>
    </xf>
    <xf numFmtId="0" fontId="12" fillId="0" borderId="20" xfId="0" applyFont="1" applyBorder="1" applyAlignment="1">
      <alignment horizontal="centerContinuous"/>
    </xf>
    <xf numFmtId="0" fontId="12" fillId="0" borderId="16" xfId="0" applyFont="1" applyBorder="1" applyAlignment="1">
      <alignment horizontal="centerContinuous"/>
    </xf>
    <xf numFmtId="0" fontId="12" fillId="0" borderId="19" xfId="0" applyFont="1" applyBorder="1" applyAlignment="1">
      <alignment horizontal="right" wrapText="1"/>
    </xf>
    <xf numFmtId="0" fontId="12" fillId="0" borderId="20" xfId="0" applyFont="1" applyBorder="1" applyAlignment="1">
      <alignment horizontal="right" wrapText="1"/>
    </xf>
    <xf numFmtId="0" fontId="67" fillId="11" borderId="0" xfId="0" applyFont="1" applyFill="1" applyAlignment="1">
      <alignment horizontal="center"/>
    </xf>
    <xf numFmtId="1" fontId="16" fillId="8" borderId="0" xfId="0" applyNumberFormat="1" applyFont="1" applyFill="1" applyAlignment="1">
      <alignment horizontal="center"/>
    </xf>
    <xf numFmtId="3" fontId="68" fillId="0" borderId="0" xfId="1" quotePrefix="1" applyNumberFormat="1" applyFont="1" applyBorder="1" applyAlignment="1" applyProtection="1">
      <alignment horizontal="left"/>
    </xf>
    <xf numFmtId="1" fontId="12" fillId="0" borderId="0" xfId="0" applyNumberFormat="1" applyFont="1"/>
    <xf numFmtId="1" fontId="65" fillId="0" borderId="0" xfId="0" applyNumberFormat="1" applyFont="1"/>
    <xf numFmtId="0" fontId="12" fillId="8" borderId="0" xfId="0" applyFont="1" applyFill="1" applyAlignment="1">
      <alignment horizontal="left"/>
    </xf>
    <xf numFmtId="0" fontId="65" fillId="0" borderId="0" xfId="0" applyFont="1" applyBorder="1" applyAlignment="1">
      <alignment horizontal="center"/>
    </xf>
    <xf numFmtId="3" fontId="65" fillId="0" borderId="0" xfId="0" applyNumberFormat="1" applyFont="1" applyFill="1" applyBorder="1"/>
    <xf numFmtId="0" fontId="12" fillId="0" borderId="0" xfId="0" quotePrefix="1" applyFont="1"/>
    <xf numFmtId="0" fontId="12" fillId="0" borderId="0" xfId="0" applyFont="1" applyBorder="1" applyAlignment="1">
      <alignment horizontal="centerContinuous"/>
    </xf>
    <xf numFmtId="0" fontId="107" fillId="0" borderId="0" xfId="0" applyFont="1"/>
    <xf numFmtId="0" fontId="106" fillId="0" borderId="0" xfId="0" applyFont="1"/>
    <xf numFmtId="3" fontId="106" fillId="0" borderId="0" xfId="0" applyNumberFormat="1" applyFont="1"/>
    <xf numFmtId="0" fontId="12" fillId="0" borderId="19" xfId="0" applyFont="1" applyBorder="1" applyAlignment="1">
      <alignment horizontal="center" wrapText="1"/>
    </xf>
    <xf numFmtId="0" fontId="108" fillId="0" borderId="19" xfId="0" applyFont="1" applyBorder="1" applyAlignment="1">
      <alignment horizontal="center"/>
    </xf>
    <xf numFmtId="0" fontId="107" fillId="0" borderId="16" xfId="0" applyFont="1" applyBorder="1"/>
    <xf numFmtId="0" fontId="107" fillId="0" borderId="19" xfId="0" applyFont="1" applyBorder="1" applyAlignment="1">
      <alignment horizontal="center" wrapText="1"/>
    </xf>
    <xf numFmtId="0" fontId="107" fillId="0" borderId="19" xfId="0" applyFont="1" applyBorder="1" applyAlignment="1">
      <alignment horizontal="right" wrapText="1"/>
    </xf>
    <xf numFmtId="1" fontId="106" fillId="0" borderId="0" xfId="0" applyNumberFormat="1" applyFont="1" applyAlignment="1">
      <alignment horizontal="center"/>
    </xf>
    <xf numFmtId="0" fontId="107" fillId="0" borderId="0" xfId="0" applyFont="1" applyAlignment="1">
      <alignment horizontal="right"/>
    </xf>
    <xf numFmtId="4" fontId="18" fillId="0" borderId="0" xfId="0" applyNumberFormat="1" applyFont="1" applyBorder="1" applyAlignment="1" applyProtection="1">
      <alignment horizontal="right"/>
    </xf>
    <xf numFmtId="0" fontId="107" fillId="0" borderId="0" xfId="0" applyFont="1" applyBorder="1"/>
    <xf numFmtId="0" fontId="107" fillId="0" borderId="19" xfId="0" applyFont="1" applyBorder="1" applyAlignment="1">
      <alignment horizontal="right"/>
    </xf>
    <xf numFmtId="0" fontId="107" fillId="0" borderId="16" xfId="0" applyFont="1" applyBorder="1" applyAlignment="1">
      <alignment horizontal="right"/>
    </xf>
    <xf numFmtId="0" fontId="107" fillId="0" borderId="19" xfId="0" applyFont="1" applyBorder="1"/>
    <xf numFmtId="0" fontId="111" fillId="0" borderId="0" xfId="0" applyFont="1"/>
    <xf numFmtId="0" fontId="111" fillId="0" borderId="19" xfId="0" applyFont="1" applyBorder="1" applyAlignment="1">
      <alignment horizontal="left"/>
    </xf>
    <xf numFmtId="0" fontId="107" fillId="0" borderId="20" xfId="0" applyFont="1" applyBorder="1"/>
    <xf numFmtId="0" fontId="107" fillId="0" borderId="0" xfId="0" applyFont="1" applyBorder="1" applyAlignment="1">
      <alignment horizontal="right"/>
    </xf>
    <xf numFmtId="0" fontId="1" fillId="0" borderId="0" xfId="0" applyFont="1"/>
    <xf numFmtId="38" fontId="113" fillId="0" borderId="0" xfId="0" applyNumberFormat="1" applyFont="1"/>
    <xf numFmtId="1" fontId="107" fillId="0" borderId="0" xfId="0" applyNumberFormat="1" applyFont="1"/>
    <xf numFmtId="1" fontId="106" fillId="0" borderId="0" xfId="0" applyNumberFormat="1" applyFont="1"/>
    <xf numFmtId="1" fontId="106" fillId="0" borderId="0" xfId="0" applyNumberFormat="1" applyFont="1" applyFill="1"/>
    <xf numFmtId="3" fontId="114" fillId="0" borderId="0" xfId="1" applyNumberFormat="1" applyFont="1" applyFill="1" applyBorder="1" applyAlignment="1" applyProtection="1">
      <alignment horizontal="right"/>
    </xf>
    <xf numFmtId="3" fontId="114" fillId="0" borderId="0" xfId="1" quotePrefix="1" applyNumberFormat="1" applyFont="1" applyFill="1" applyBorder="1" applyAlignment="1" applyProtection="1">
      <alignment horizontal="right"/>
    </xf>
    <xf numFmtId="3" fontId="106" fillId="8" borderId="0" xfId="1" applyNumberFormat="1" applyFont="1" applyFill="1" applyBorder="1" applyAlignment="1" applyProtection="1">
      <alignment horizontal="right"/>
    </xf>
    <xf numFmtId="0" fontId="96" fillId="0" borderId="0" xfId="0" applyFont="1"/>
    <xf numFmtId="0" fontId="12" fillId="0" borderId="12" xfId="5" applyFont="1" applyFill="1" applyBorder="1" applyAlignment="1" applyProtection="1">
      <alignment horizontal="center"/>
    </xf>
    <xf numFmtId="0" fontId="101" fillId="0" borderId="12" xfId="5" applyFont="1" applyFill="1" applyBorder="1" applyAlignment="1" applyProtection="1">
      <alignment horizontal="center"/>
    </xf>
    <xf numFmtId="0" fontId="115" fillId="11" borderId="0" xfId="0" applyFont="1" applyFill="1" applyAlignment="1">
      <alignment horizontal="center"/>
    </xf>
    <xf numFmtId="1" fontId="116" fillId="8" borderId="0" xfId="0" applyNumberFormat="1" applyFont="1" applyFill="1" applyAlignment="1">
      <alignment horizontal="center"/>
    </xf>
    <xf numFmtId="1" fontId="101" fillId="0" borderId="12" xfId="5" applyNumberFormat="1" applyFont="1" applyBorder="1" applyAlignment="1">
      <alignment horizontal="center"/>
    </xf>
    <xf numFmtId="0" fontId="101" fillId="0" borderId="12" xfId="5" applyFont="1" applyBorder="1" applyAlignment="1" applyProtection="1">
      <alignment horizontal="center"/>
    </xf>
    <xf numFmtId="3" fontId="101" fillId="0" borderId="0" xfId="5" applyNumberFormat="1" applyFont="1" applyBorder="1" applyAlignment="1" applyProtection="1">
      <alignment horizontal="center"/>
    </xf>
    <xf numFmtId="37" fontId="18" fillId="0" borderId="13" xfId="5" applyNumberFormat="1" applyFont="1" applyFill="1" applyBorder="1" applyAlignment="1" applyProtection="1">
      <alignment horizontal="right"/>
    </xf>
    <xf numFmtId="0" fontId="101" fillId="0" borderId="0" xfId="5" applyFont="1" applyFill="1" applyBorder="1" applyAlignment="1" applyProtection="1">
      <alignment horizontal="center"/>
    </xf>
    <xf numFmtId="0" fontId="12" fillId="0" borderId="0" xfId="5" applyFont="1" applyFill="1" applyBorder="1" applyAlignment="1">
      <alignment horizontal="center"/>
    </xf>
    <xf numFmtId="0" fontId="101" fillId="0" borderId="13" xfId="5" applyFont="1" applyFill="1" applyBorder="1" applyAlignment="1" applyProtection="1">
      <alignment horizontal="center"/>
    </xf>
    <xf numFmtId="3" fontId="101" fillId="0" borderId="25" xfId="5" applyNumberFormat="1" applyFont="1" applyBorder="1" applyAlignment="1" applyProtection="1">
      <alignment horizontal="center"/>
    </xf>
    <xf numFmtId="0" fontId="108" fillId="0" borderId="0" xfId="0" applyFont="1" applyBorder="1" applyAlignment="1">
      <alignment horizontal="center"/>
    </xf>
    <xf numFmtId="184" fontId="18" fillId="0" borderId="0" xfId="5" applyNumberFormat="1" applyFont="1" applyBorder="1" applyProtection="1"/>
    <xf numFmtId="3" fontId="101" fillId="0" borderId="0" xfId="5" applyNumberFormat="1" applyFont="1" applyFill="1" applyBorder="1" applyAlignment="1" applyProtection="1">
      <alignment horizontal="center"/>
    </xf>
    <xf numFmtId="1" fontId="66" fillId="11" borderId="12" xfId="5" applyNumberFormat="1" applyFont="1" applyFill="1" applyBorder="1" applyAlignment="1">
      <alignment horizontal="center"/>
    </xf>
    <xf numFmtId="3" fontId="66" fillId="11" borderId="0" xfId="5" applyNumberFormat="1" applyFont="1" applyFill="1" applyBorder="1" applyAlignment="1" applyProtection="1">
      <alignment horizontal="center"/>
    </xf>
    <xf numFmtId="169" fontId="66" fillId="11" borderId="0" xfId="5" applyNumberFormat="1" applyFont="1" applyFill="1" applyBorder="1" applyAlignment="1" applyProtection="1">
      <alignment horizontal="center"/>
    </xf>
    <xf numFmtId="0" fontId="66" fillId="11" borderId="12" xfId="5" applyFont="1" applyFill="1" applyBorder="1" applyAlignment="1" applyProtection="1">
      <alignment horizontal="center"/>
    </xf>
    <xf numFmtId="11" fontId="66" fillId="11" borderId="0" xfId="5" applyNumberFormat="1" applyFont="1" applyFill="1" applyAlignment="1" applyProtection="1">
      <alignment horizontal="right"/>
    </xf>
    <xf numFmtId="3" fontId="66" fillId="11" borderId="25" xfId="5" applyNumberFormat="1" applyFont="1" applyFill="1" applyBorder="1" applyAlignment="1" applyProtection="1">
      <alignment horizontal="center"/>
    </xf>
    <xf numFmtId="0" fontId="72" fillId="11" borderId="0" xfId="5" applyFont="1" applyFill="1" applyBorder="1" applyAlignment="1" applyProtection="1">
      <alignment horizontal="center"/>
    </xf>
    <xf numFmtId="0" fontId="72" fillId="11" borderId="0" xfId="5" applyFont="1" applyFill="1"/>
    <xf numFmtId="0" fontId="12" fillId="0" borderId="16" xfId="5" applyFont="1" applyBorder="1" applyAlignment="1" applyProtection="1">
      <alignment horizontal="center"/>
    </xf>
    <xf numFmtId="0" fontId="12" fillId="0" borderId="16" xfId="5" applyFont="1" applyBorder="1" applyAlignment="1" applyProtection="1">
      <alignment horizontal="right"/>
    </xf>
    <xf numFmtId="0" fontId="12" fillId="0" borderId="16" xfId="5" applyFont="1" applyBorder="1" applyAlignment="1" applyProtection="1">
      <alignment wrapText="1"/>
    </xf>
    <xf numFmtId="11" fontId="18" fillId="0" borderId="16" xfId="5" applyNumberFormat="1" applyFont="1" applyBorder="1" applyAlignment="1" applyProtection="1">
      <alignment horizontal="right"/>
    </xf>
    <xf numFmtId="169" fontId="18" fillId="0" borderId="16" xfId="5" applyNumberFormat="1" applyFont="1" applyBorder="1" applyProtection="1"/>
    <xf numFmtId="169" fontId="18" fillId="0" borderId="16" xfId="5" applyNumberFormat="1" applyFont="1" applyFill="1" applyBorder="1" applyProtection="1"/>
    <xf numFmtId="169" fontId="38" fillId="0" borderId="16" xfId="5" applyNumberFormat="1" applyFont="1" applyFill="1" applyBorder="1" applyAlignment="1" applyProtection="1">
      <alignment horizontal="center"/>
    </xf>
    <xf numFmtId="3" fontId="36" fillId="0" borderId="16" xfId="5" applyNumberFormat="1" applyBorder="1"/>
    <xf numFmtId="0" fontId="36" fillId="0" borderId="16" xfId="5" applyBorder="1"/>
    <xf numFmtId="0" fontId="12" fillId="0" borderId="19" xfId="5" applyFont="1" applyBorder="1" applyAlignment="1" applyProtection="1">
      <alignment horizontal="center"/>
    </xf>
    <xf numFmtId="0" fontId="12" fillId="0" borderId="19" xfId="5" applyFont="1" applyBorder="1" applyAlignment="1" applyProtection="1">
      <alignment horizontal="left"/>
    </xf>
    <xf numFmtId="3" fontId="21" fillId="11" borderId="19" xfId="5" applyNumberFormat="1" applyFont="1" applyFill="1" applyBorder="1" applyProtection="1"/>
    <xf numFmtId="169" fontId="18" fillId="2" borderId="19" xfId="5" applyNumberFormat="1" applyFont="1" applyFill="1" applyBorder="1" applyProtection="1"/>
    <xf numFmtId="169" fontId="18" fillId="0" borderId="19" xfId="5" applyNumberFormat="1" applyFont="1" applyFill="1" applyBorder="1" applyProtection="1"/>
    <xf numFmtId="169" fontId="38" fillId="0" borderId="19" xfId="5" applyNumberFormat="1" applyFont="1" applyFill="1" applyBorder="1" applyAlignment="1" applyProtection="1">
      <alignment horizontal="center"/>
    </xf>
    <xf numFmtId="3" fontId="36" fillId="0" borderId="19" xfId="5" applyNumberFormat="1" applyBorder="1"/>
    <xf numFmtId="0" fontId="36" fillId="0" borderId="19" xfId="5" applyBorder="1"/>
    <xf numFmtId="174" fontId="65" fillId="0" borderId="0" xfId="0" applyNumberFormat="1" applyFont="1" applyBorder="1"/>
    <xf numFmtId="0" fontId="8" fillId="0" borderId="0" xfId="0" applyFont="1" applyFill="1" applyBorder="1" applyAlignment="1">
      <alignment horizontal="center"/>
    </xf>
    <xf numFmtId="0" fontId="67" fillId="13" borderId="0" xfId="0" applyFont="1" applyFill="1" applyAlignment="1">
      <alignment horizontal="center"/>
    </xf>
    <xf numFmtId="0" fontId="66" fillId="13" borderId="0" xfId="0" applyFont="1" applyFill="1"/>
    <xf numFmtId="0" fontId="66" fillId="13" borderId="0" xfId="0" applyFont="1" applyFill="1" applyAlignment="1">
      <alignment horizontal="center"/>
    </xf>
    <xf numFmtId="3" fontId="101" fillId="0" borderId="38" xfId="5" quotePrefix="1" applyNumberFormat="1" applyFont="1" applyBorder="1" applyAlignment="1" applyProtection="1">
      <alignment horizontal="center"/>
    </xf>
    <xf numFmtId="0" fontId="12" fillId="0" borderId="39" xfId="0" applyFont="1" applyBorder="1" applyProtection="1"/>
    <xf numFmtId="0" fontId="16" fillId="2" borderId="40" xfId="0" applyFont="1" applyFill="1" applyBorder="1" applyAlignment="1" applyProtection="1">
      <alignment horizontal="centerContinuous"/>
    </xf>
    <xf numFmtId="0" fontId="12" fillId="2" borderId="41" xfId="0" applyFont="1" applyFill="1" applyBorder="1" applyAlignment="1" applyProtection="1">
      <alignment horizontal="centerContinuous"/>
    </xf>
    <xf numFmtId="0" fontId="12" fillId="2" borderId="42" xfId="0" applyFont="1" applyFill="1" applyBorder="1" applyAlignment="1" applyProtection="1">
      <alignment horizontal="centerContinuous"/>
    </xf>
    <xf numFmtId="0" fontId="16" fillId="6" borderId="40" xfId="0" applyFont="1" applyFill="1" applyBorder="1" applyAlignment="1" applyProtection="1">
      <alignment horizontal="centerContinuous"/>
    </xf>
    <xf numFmtId="0" fontId="12" fillId="6" borderId="41" xfId="0" applyFont="1" applyFill="1" applyBorder="1" applyAlignment="1" applyProtection="1">
      <alignment horizontal="centerContinuous"/>
    </xf>
    <xf numFmtId="0" fontId="12" fillId="6" borderId="42" xfId="0" applyFont="1" applyFill="1" applyBorder="1" applyAlignment="1" applyProtection="1">
      <alignment horizontal="centerContinuous"/>
    </xf>
    <xf numFmtId="0" fontId="12" fillId="6" borderId="0" xfId="0" applyFont="1" applyFill="1" applyBorder="1" applyAlignment="1" applyProtection="1">
      <alignment horizontal="centerContinuous"/>
    </xf>
    <xf numFmtId="0" fontId="12" fillId="0" borderId="12" xfId="0" applyFont="1" applyBorder="1" applyAlignment="1" applyProtection="1">
      <alignment horizontal="center"/>
    </xf>
    <xf numFmtId="0" fontId="12" fillId="0" borderId="6" xfId="0" applyFont="1" applyBorder="1" applyAlignment="1" applyProtection="1">
      <alignment horizontal="right"/>
    </xf>
    <xf numFmtId="0" fontId="12" fillId="0" borderId="10" xfId="0" applyFont="1" applyBorder="1" applyAlignment="1" applyProtection="1">
      <alignment horizontal="center"/>
    </xf>
    <xf numFmtId="0" fontId="12" fillId="0" borderId="7" xfId="0" applyFont="1" applyBorder="1" applyAlignment="1" applyProtection="1">
      <alignment horizontal="centerContinuous"/>
    </xf>
    <xf numFmtId="0" fontId="12" fillId="0" borderId="6" xfId="0" applyFont="1" applyBorder="1" applyAlignment="1" applyProtection="1">
      <alignment horizontal="center"/>
    </xf>
    <xf numFmtId="0" fontId="12" fillId="12" borderId="0" xfId="0" applyFont="1" applyFill="1" applyBorder="1" applyAlignment="1" applyProtection="1">
      <alignment horizontal="center"/>
    </xf>
    <xf numFmtId="0" fontId="12" fillId="0" borderId="37" xfId="0" applyFont="1" applyBorder="1" applyAlignment="1" applyProtection="1">
      <alignment horizontal="center"/>
    </xf>
    <xf numFmtId="0" fontId="12" fillId="0" borderId="21" xfId="0" applyFont="1" applyBorder="1" applyAlignment="1" applyProtection="1">
      <alignment horizontal="center"/>
    </xf>
    <xf numFmtId="0" fontId="12" fillId="12" borderId="12" xfId="0" applyFont="1" applyFill="1" applyBorder="1" applyAlignment="1" applyProtection="1">
      <alignment horizontal="center"/>
    </xf>
    <xf numFmtId="0" fontId="107" fillId="0" borderId="22" xfId="0" applyFont="1" applyBorder="1" applyAlignment="1">
      <alignment horizontal="right"/>
    </xf>
    <xf numFmtId="0" fontId="12" fillId="2" borderId="26" xfId="0" applyFont="1" applyFill="1" applyBorder="1"/>
    <xf numFmtId="0" fontId="12" fillId="0" borderId="26" xfId="0" applyFont="1" applyFill="1" applyBorder="1"/>
    <xf numFmtId="0" fontId="12" fillId="0" borderId="22" xfId="0" applyFont="1" applyBorder="1" applyAlignment="1">
      <alignment horizontal="right"/>
    </xf>
    <xf numFmtId="0" fontId="18" fillId="0" borderId="27" xfId="0" applyFont="1" applyBorder="1"/>
    <xf numFmtId="0" fontId="12" fillId="0" borderId="23" xfId="0" applyFont="1" applyBorder="1" applyAlignment="1">
      <alignment horizontal="right"/>
    </xf>
    <xf numFmtId="0" fontId="18" fillId="0" borderId="28" xfId="0" applyFont="1" applyBorder="1"/>
    <xf numFmtId="171" fontId="18" fillId="8" borderId="0" xfId="0" applyNumberFormat="1" applyFont="1" applyFill="1" applyBorder="1"/>
    <xf numFmtId="1" fontId="18" fillId="0" borderId="0" xfId="0" applyNumberFormat="1" applyFont="1" applyBorder="1"/>
    <xf numFmtId="0" fontId="82" fillId="8" borderId="0" xfId="0" applyFont="1" applyFill="1" applyBorder="1"/>
    <xf numFmtId="0" fontId="82" fillId="8" borderId="28" xfId="0" applyFont="1" applyFill="1" applyBorder="1"/>
    <xf numFmtId="1" fontId="66" fillId="0" borderId="0" xfId="0" applyNumberFormat="1" applyFont="1" applyFill="1" applyBorder="1"/>
    <xf numFmtId="0" fontId="82" fillId="0" borderId="0" xfId="0" applyFont="1" applyFill="1" applyBorder="1"/>
    <xf numFmtId="0" fontId="82" fillId="0" borderId="28" xfId="0" applyFont="1" applyFill="1" applyBorder="1"/>
    <xf numFmtId="0" fontId="12" fillId="0" borderId="24" xfId="0" applyFont="1" applyBorder="1" applyAlignment="1">
      <alignment horizontal="right"/>
    </xf>
    <xf numFmtId="171" fontId="18" fillId="0" borderId="17" xfId="0" applyNumberFormat="1" applyFont="1" applyBorder="1"/>
    <xf numFmtId="0" fontId="18" fillId="0" borderId="29" xfId="0" applyFont="1" applyBorder="1"/>
    <xf numFmtId="0" fontId="12" fillId="0" borderId="13" xfId="0" applyFont="1" applyBorder="1" applyProtection="1"/>
    <xf numFmtId="0" fontId="12" fillId="0" borderId="0" xfId="0" applyFont="1" applyBorder="1" applyAlignment="1" applyProtection="1">
      <alignment horizontal="center"/>
    </xf>
    <xf numFmtId="3" fontId="18" fillId="9" borderId="0" xfId="0" applyNumberFormat="1" applyFont="1" applyFill="1" applyBorder="1" applyAlignment="1" applyProtection="1">
      <alignment horizontal="right"/>
    </xf>
    <xf numFmtId="3" fontId="18" fillId="0" borderId="0" xfId="0" applyNumberFormat="1" applyFont="1" applyBorder="1" applyAlignment="1" applyProtection="1">
      <alignment horizontal="right"/>
    </xf>
    <xf numFmtId="38" fontId="18" fillId="0" borderId="0" xfId="0" applyNumberFormat="1" applyFont="1" applyBorder="1" applyAlignment="1" applyProtection="1">
      <alignment horizontal="right"/>
    </xf>
    <xf numFmtId="11" fontId="18" fillId="0" borderId="0" xfId="0" applyNumberFormat="1" applyFont="1" applyBorder="1" applyAlignment="1" applyProtection="1">
      <alignment horizontal="right"/>
    </xf>
    <xf numFmtId="169" fontId="18" fillId="0" borderId="0" xfId="0" applyNumberFormat="1" applyFont="1" applyBorder="1" applyAlignment="1" applyProtection="1">
      <alignment horizontal="center"/>
    </xf>
    <xf numFmtId="37" fontId="19" fillId="9" borderId="0" xfId="0" applyNumberFormat="1" applyFont="1" applyFill="1" applyBorder="1" applyAlignment="1" applyProtection="1">
      <alignment horizontal="center" vertical="center"/>
    </xf>
    <xf numFmtId="37" fontId="18" fillId="0" borderId="0" xfId="0" applyNumberFormat="1" applyFont="1" applyFill="1" applyBorder="1" applyProtection="1"/>
    <xf numFmtId="169" fontId="18" fillId="8" borderId="0" xfId="0" applyNumberFormat="1" applyFont="1" applyFill="1" applyBorder="1" applyAlignment="1" applyProtection="1">
      <alignment horizontal="center"/>
    </xf>
    <xf numFmtId="169" fontId="18" fillId="0" borderId="0" xfId="0" applyNumberFormat="1" applyFont="1" applyFill="1" applyBorder="1" applyAlignment="1" applyProtection="1">
      <alignment horizontal="center"/>
    </xf>
    <xf numFmtId="0" fontId="12" fillId="11" borderId="22" xfId="0" applyFont="1" applyFill="1" applyBorder="1" applyAlignment="1">
      <alignment horizontal="center"/>
    </xf>
    <xf numFmtId="3" fontId="18" fillId="9" borderId="26" xfId="0" applyNumberFormat="1" applyFont="1" applyFill="1" applyBorder="1" applyAlignment="1" applyProtection="1">
      <alignment horizontal="right"/>
    </xf>
    <xf numFmtId="3" fontId="18" fillId="0" borderId="26" xfId="0" applyNumberFormat="1" applyFont="1" applyBorder="1" applyAlignment="1" applyProtection="1">
      <alignment horizontal="right"/>
    </xf>
    <xf numFmtId="38" fontId="18" fillId="0" borderId="26" xfId="0" applyNumberFormat="1" applyFont="1" applyBorder="1" applyAlignment="1" applyProtection="1">
      <alignment horizontal="right"/>
    </xf>
    <xf numFmtId="11" fontId="18" fillId="0" borderId="26" xfId="0" applyNumberFormat="1" applyFont="1" applyBorder="1" applyAlignment="1" applyProtection="1">
      <alignment horizontal="right"/>
    </xf>
    <xf numFmtId="169" fontId="18" fillId="0" borderId="27" xfId="0" applyNumberFormat="1" applyFont="1" applyBorder="1" applyAlignment="1" applyProtection="1">
      <alignment horizontal="center"/>
    </xf>
    <xf numFmtId="37" fontId="101" fillId="9" borderId="22" xfId="0" applyNumberFormat="1" applyFont="1" applyFill="1" applyBorder="1" applyAlignment="1" applyProtection="1">
      <alignment horizontal="right" vertical="center"/>
    </xf>
    <xf numFmtId="37" fontId="18" fillId="0" borderId="26" xfId="0" applyNumberFormat="1" applyFont="1" applyFill="1" applyBorder="1" applyProtection="1"/>
    <xf numFmtId="169" fontId="18" fillId="0" borderId="26" xfId="0" applyNumberFormat="1" applyFont="1" applyBorder="1" applyAlignment="1" applyProtection="1">
      <alignment horizontal="center"/>
    </xf>
    <xf numFmtId="37" fontId="66" fillId="0" borderId="27" xfId="0" applyNumberFormat="1" applyFont="1" applyFill="1" applyBorder="1" applyProtection="1"/>
    <xf numFmtId="169" fontId="18" fillId="0" borderId="0" xfId="0" applyNumberFormat="1" applyFont="1" applyFill="1" applyBorder="1" applyAlignment="1" applyProtection="1">
      <alignment horizontal="left"/>
    </xf>
    <xf numFmtId="0" fontId="12" fillId="0" borderId="23" xfId="0" applyFont="1" applyBorder="1" applyAlignment="1">
      <alignment horizontal="center"/>
    </xf>
    <xf numFmtId="169" fontId="18" fillId="0" borderId="28" xfId="0" applyNumberFormat="1" applyFont="1" applyBorder="1" applyAlignment="1" applyProtection="1">
      <alignment horizontal="center"/>
    </xf>
    <xf numFmtId="37" fontId="101" fillId="9" borderId="23" xfId="0" applyNumberFormat="1" applyFont="1" applyFill="1" applyBorder="1" applyAlignment="1" applyProtection="1">
      <alignment horizontal="right" vertical="center"/>
    </xf>
    <xf numFmtId="37" fontId="66" fillId="0" borderId="28" xfId="0" applyNumberFormat="1" applyFont="1" applyFill="1" applyBorder="1" applyProtection="1"/>
    <xf numFmtId="11" fontId="18" fillId="0" borderId="0" xfId="0" applyNumberFormat="1" applyFont="1" applyFill="1" applyBorder="1" applyAlignment="1" applyProtection="1">
      <alignment horizontal="right"/>
    </xf>
    <xf numFmtId="0" fontId="12" fillId="0" borderId="24" xfId="0" applyFont="1" applyBorder="1" applyAlignment="1">
      <alignment horizontal="center"/>
    </xf>
    <xf numFmtId="3" fontId="18" fillId="3" borderId="17" xfId="0" applyNumberFormat="1" applyFont="1" applyFill="1" applyBorder="1" applyAlignment="1" applyProtection="1">
      <alignment horizontal="right"/>
    </xf>
    <xf numFmtId="3" fontId="18" fillId="0" borderId="17" xfId="0" applyNumberFormat="1" applyFont="1" applyBorder="1" applyAlignment="1" applyProtection="1">
      <alignment horizontal="right"/>
    </xf>
    <xf numFmtId="38" fontId="18" fillId="0" borderId="17" xfId="0" applyNumberFormat="1" applyFont="1" applyBorder="1" applyAlignment="1" applyProtection="1">
      <alignment horizontal="right"/>
    </xf>
    <xf numFmtId="11" fontId="18" fillId="0" borderId="17" xfId="0" applyNumberFormat="1" applyFont="1" applyFill="1" applyBorder="1" applyAlignment="1" applyProtection="1">
      <alignment horizontal="right"/>
    </xf>
    <xf numFmtId="169" fontId="18" fillId="0" borderId="29" xfId="0" applyNumberFormat="1" applyFont="1" applyBorder="1" applyAlignment="1" applyProtection="1">
      <alignment horizontal="center"/>
    </xf>
    <xf numFmtId="3" fontId="18" fillId="3" borderId="24" xfId="0" applyNumberFormat="1" applyFont="1" applyFill="1" applyBorder="1" applyAlignment="1" applyProtection="1">
      <alignment horizontal="right"/>
    </xf>
    <xf numFmtId="37" fontId="18" fillId="0" borderId="17" xfId="0" applyNumberFormat="1" applyFont="1" applyFill="1" applyBorder="1" applyProtection="1"/>
    <xf numFmtId="11" fontId="18" fillId="0" borderId="17" xfId="0" applyNumberFormat="1" applyFont="1" applyBorder="1" applyAlignment="1" applyProtection="1">
      <alignment horizontal="right"/>
    </xf>
    <xf numFmtId="169" fontId="18" fillId="0" borderId="17" xfId="0" applyNumberFormat="1" applyFont="1" applyBorder="1" applyAlignment="1" applyProtection="1">
      <alignment horizontal="center"/>
    </xf>
    <xf numFmtId="37" fontId="66" fillId="0" borderId="29" xfId="0" applyNumberFormat="1" applyFont="1" applyFill="1" applyBorder="1" applyProtection="1"/>
    <xf numFmtId="0" fontId="12" fillId="7" borderId="0" xfId="0" applyFont="1" applyFill="1" applyBorder="1" applyAlignment="1">
      <alignment horizontal="center"/>
    </xf>
    <xf numFmtId="3" fontId="18" fillId="10" borderId="0" xfId="0" applyNumberFormat="1" applyFont="1" applyFill="1" applyBorder="1" applyAlignment="1" applyProtection="1">
      <alignment horizontal="right"/>
    </xf>
    <xf numFmtId="0" fontId="12" fillId="7" borderId="0" xfId="0" applyFont="1" applyFill="1" applyBorder="1" applyProtection="1"/>
    <xf numFmtId="170" fontId="12" fillId="7" borderId="0" xfId="0" applyNumberFormat="1" applyFont="1" applyFill="1" applyBorder="1" applyAlignment="1" applyProtection="1">
      <alignment horizontal="right"/>
    </xf>
    <xf numFmtId="169" fontId="12" fillId="7" borderId="0" xfId="0" applyNumberFormat="1" applyFont="1" applyFill="1" applyBorder="1" applyProtection="1"/>
    <xf numFmtId="37" fontId="19" fillId="7" borderId="0" xfId="0" applyNumberFormat="1" applyFont="1" applyFill="1" applyBorder="1" applyProtection="1"/>
    <xf numFmtId="11" fontId="18" fillId="7" borderId="0" xfId="0" applyNumberFormat="1" applyFont="1" applyFill="1" applyBorder="1" applyAlignment="1" applyProtection="1">
      <alignment horizontal="right"/>
    </xf>
    <xf numFmtId="169" fontId="18" fillId="7" borderId="0" xfId="0" applyNumberFormat="1" applyFont="1" applyFill="1" applyBorder="1" applyAlignment="1" applyProtection="1">
      <alignment horizontal="center"/>
    </xf>
    <xf numFmtId="10" fontId="18" fillId="0" borderId="0" xfId="0" applyNumberFormat="1" applyFont="1" applyBorder="1" applyProtection="1"/>
    <xf numFmtId="10" fontId="18" fillId="0" borderId="0" xfId="0" applyNumberFormat="1" applyFont="1" applyFill="1" applyBorder="1" applyProtection="1"/>
    <xf numFmtId="37" fontId="18" fillId="0" borderId="0" xfId="0" applyNumberFormat="1" applyFont="1" applyFill="1" applyBorder="1" applyAlignment="1" applyProtection="1">
      <alignment horizontal="right"/>
    </xf>
    <xf numFmtId="0" fontId="12" fillId="0" borderId="0" xfId="0" applyFont="1" applyFill="1" applyBorder="1" applyProtection="1"/>
    <xf numFmtId="170" fontId="12" fillId="0" borderId="0" xfId="0" applyNumberFormat="1" applyFont="1" applyFill="1" applyBorder="1" applyAlignment="1" applyProtection="1">
      <alignment horizontal="right"/>
    </xf>
    <xf numFmtId="169" fontId="12" fillId="0" borderId="0" xfId="0" applyNumberFormat="1" applyFont="1" applyFill="1" applyBorder="1" applyProtection="1"/>
    <xf numFmtId="37" fontId="19" fillId="0" borderId="0" xfId="0" applyNumberFormat="1" applyFont="1" applyFill="1" applyBorder="1" applyProtection="1"/>
    <xf numFmtId="0" fontId="12" fillId="0" borderId="0" xfId="0" applyFont="1" applyBorder="1" applyProtection="1"/>
    <xf numFmtId="170" fontId="12" fillId="0" borderId="0" xfId="0" applyNumberFormat="1" applyFont="1" applyBorder="1" applyAlignment="1" applyProtection="1">
      <alignment horizontal="right"/>
    </xf>
    <xf numFmtId="169" fontId="12" fillId="0" borderId="0" xfId="0" applyNumberFormat="1" applyFont="1" applyBorder="1" applyProtection="1"/>
    <xf numFmtId="0" fontId="12" fillId="0" borderId="0" xfId="0" applyFont="1" applyBorder="1" applyAlignment="1" applyProtection="1">
      <alignment horizontal="right"/>
    </xf>
    <xf numFmtId="0" fontId="12" fillId="0" borderId="19" xfId="0" applyFont="1" applyBorder="1" applyProtection="1"/>
    <xf numFmtId="11" fontId="12" fillId="0" borderId="19" xfId="0" applyNumberFormat="1" applyFont="1" applyBorder="1" applyAlignment="1" applyProtection="1">
      <alignment horizontal="right"/>
    </xf>
    <xf numFmtId="10" fontId="12" fillId="0" borderId="19" xfId="0" applyNumberFormat="1" applyFont="1" applyBorder="1" applyProtection="1"/>
    <xf numFmtId="10" fontId="12" fillId="0" borderId="0" xfId="0" applyNumberFormat="1" applyFont="1" applyBorder="1" applyProtection="1"/>
    <xf numFmtId="10" fontId="12" fillId="0" borderId="0" xfId="0" applyNumberFormat="1" applyFont="1" applyFill="1" applyBorder="1" applyProtection="1"/>
    <xf numFmtId="0" fontId="12" fillId="0" borderId="16" xfId="0" applyFont="1" applyBorder="1" applyProtection="1"/>
    <xf numFmtId="0" fontId="12" fillId="0" borderId="16" xfId="0" applyFont="1" applyBorder="1" applyAlignment="1" applyProtection="1">
      <alignment horizontal="center"/>
    </xf>
    <xf numFmtId="0" fontId="12" fillId="0" borderId="16" xfId="0" applyFont="1" applyBorder="1" applyAlignment="1" applyProtection="1">
      <alignment horizontal="right"/>
    </xf>
    <xf numFmtId="169" fontId="18" fillId="0" borderId="0" xfId="0" applyNumberFormat="1" applyFont="1" applyBorder="1" applyProtection="1"/>
    <xf numFmtId="0" fontId="12" fillId="0" borderId="0" xfId="0" applyFont="1" applyFill="1" applyProtection="1"/>
    <xf numFmtId="183" fontId="18" fillId="0" borderId="0" xfId="0" applyNumberFormat="1" applyFont="1" applyBorder="1" applyAlignment="1" applyProtection="1">
      <alignment horizontal="right"/>
    </xf>
    <xf numFmtId="174" fontId="20" fillId="0" borderId="0" xfId="4" applyNumberFormat="1" applyFont="1" applyBorder="1" applyProtection="1"/>
    <xf numFmtId="174" fontId="20" fillId="0" borderId="0" xfId="4" applyNumberFormat="1" applyFont="1" applyFill="1" applyBorder="1" applyProtection="1"/>
    <xf numFmtId="3" fontId="20" fillId="0" borderId="0" xfId="0" applyNumberFormat="1" applyFont="1" applyBorder="1" applyProtection="1"/>
    <xf numFmtId="0" fontId="12" fillId="0" borderId="19" xfId="0" applyFont="1" applyBorder="1" applyAlignment="1" applyProtection="1">
      <alignment horizontal="center"/>
    </xf>
    <xf numFmtId="0" fontId="12" fillId="0" borderId="19" xfId="0" applyFont="1" applyBorder="1" applyAlignment="1" applyProtection="1">
      <alignment horizontal="left"/>
    </xf>
    <xf numFmtId="3" fontId="18" fillId="11" borderId="19" xfId="0" applyNumberFormat="1" applyFont="1" applyFill="1" applyBorder="1" applyProtection="1"/>
    <xf numFmtId="169" fontId="18" fillId="2" borderId="19" xfId="0" applyNumberFormat="1" applyFont="1" applyFill="1" applyBorder="1" applyProtection="1"/>
    <xf numFmtId="0" fontId="12" fillId="0" borderId="19" xfId="0" applyFont="1" applyBorder="1" applyAlignment="1" applyProtection="1">
      <alignment horizontal="right"/>
    </xf>
    <xf numFmtId="37" fontId="18" fillId="11" borderId="19" xfId="0" applyNumberFormat="1" applyFont="1" applyFill="1" applyBorder="1" applyProtection="1"/>
    <xf numFmtId="10" fontId="18" fillId="2" borderId="19" xfId="0" applyNumberFormat="1" applyFont="1" applyFill="1" applyBorder="1" applyProtection="1"/>
    <xf numFmtId="37" fontId="12" fillId="0" borderId="0" xfId="0" applyNumberFormat="1" applyFont="1" applyBorder="1" applyProtection="1"/>
    <xf numFmtId="167" fontId="12" fillId="0" borderId="0" xfId="0" applyNumberFormat="1" applyFont="1" applyBorder="1" applyProtection="1"/>
    <xf numFmtId="0" fontId="12" fillId="0" borderId="0" xfId="0" applyFont="1" applyProtection="1"/>
    <xf numFmtId="0" fontId="12" fillId="0" borderId="0" xfId="0" applyFont="1" applyAlignment="1" applyProtection="1">
      <alignment horizontal="right"/>
    </xf>
    <xf numFmtId="0" fontId="12" fillId="0" borderId="22" xfId="0" applyFont="1" applyBorder="1" applyProtection="1"/>
    <xf numFmtId="0" fontId="12" fillId="0" borderId="26" xfId="0" applyFont="1" applyBorder="1" applyProtection="1"/>
    <xf numFmtId="0" fontId="12" fillId="0" borderId="26" xfId="0" applyFont="1" applyBorder="1" applyAlignment="1" applyProtection="1">
      <alignment horizontal="right"/>
    </xf>
    <xf numFmtId="37" fontId="12" fillId="0" borderId="26" xfId="0" applyNumberFormat="1" applyFont="1" applyBorder="1" applyProtection="1"/>
    <xf numFmtId="171" fontId="12" fillId="0" borderId="26" xfId="0" applyNumberFormat="1" applyFont="1" applyBorder="1" applyAlignment="1" applyProtection="1">
      <alignment horizontal="right"/>
    </xf>
    <xf numFmtId="174" fontId="20" fillId="0" borderId="27" xfId="4" applyNumberFormat="1" applyFont="1" applyBorder="1" applyProtection="1"/>
    <xf numFmtId="0" fontId="12" fillId="0" borderId="23" xfId="0" applyFont="1" applyBorder="1" applyProtection="1"/>
    <xf numFmtId="0" fontId="12" fillId="0" borderId="20" xfId="0" applyFont="1" applyBorder="1" applyAlignment="1" applyProtection="1">
      <alignment horizontal="right"/>
    </xf>
    <xf numFmtId="9" fontId="12" fillId="0" borderId="20" xfId="4" applyFont="1" applyBorder="1" applyAlignment="1" applyProtection="1">
      <alignment horizontal="right"/>
    </xf>
    <xf numFmtId="171" fontId="12" fillId="0" borderId="20" xfId="0" applyNumberFormat="1" applyFont="1" applyBorder="1" applyAlignment="1" applyProtection="1">
      <alignment horizontal="right"/>
    </xf>
    <xf numFmtId="9" fontId="12" fillId="0" borderId="0" xfId="4" applyFont="1" applyBorder="1" applyProtection="1"/>
    <xf numFmtId="0" fontId="12" fillId="0" borderId="28" xfId="0" applyFont="1" applyBorder="1" applyProtection="1"/>
    <xf numFmtId="0" fontId="12" fillId="0" borderId="23" xfId="0" applyFont="1" applyBorder="1"/>
    <xf numFmtId="0" fontId="12" fillId="0" borderId="28" xfId="0" applyFont="1" applyBorder="1"/>
    <xf numFmtId="0" fontId="12" fillId="0" borderId="29" xfId="0" applyFont="1" applyBorder="1"/>
    <xf numFmtId="0" fontId="18" fillId="0" borderId="0" xfId="0" applyFont="1" applyAlignment="1">
      <alignment horizontal="center"/>
    </xf>
    <xf numFmtId="2" fontId="18" fillId="0" borderId="0" xfId="0" applyNumberFormat="1" applyFont="1"/>
    <xf numFmtId="0" fontId="18" fillId="0" borderId="0" xfId="0" applyFont="1" applyFill="1" applyBorder="1" applyAlignment="1">
      <alignment horizontal="left"/>
    </xf>
    <xf numFmtId="0" fontId="18" fillId="0" borderId="0" xfId="0" applyFont="1" applyFill="1" applyBorder="1" applyAlignment="1">
      <alignment horizontal="center"/>
    </xf>
    <xf numFmtId="0" fontId="119" fillId="0" borderId="0" xfId="0" applyFont="1" applyFill="1" applyBorder="1" applyAlignment="1">
      <alignment horizontal="centerContinuous"/>
    </xf>
    <xf numFmtId="0" fontId="12" fillId="0" borderId="0" xfId="0" applyFont="1" applyFill="1" applyBorder="1" applyAlignment="1"/>
    <xf numFmtId="0" fontId="119" fillId="0" borderId="0" xfId="0" applyFont="1" applyFill="1" applyBorder="1" applyAlignment="1">
      <alignment horizontal="center"/>
    </xf>
    <xf numFmtId="3" fontId="66" fillId="0" borderId="25" xfId="5" applyNumberFormat="1" applyFont="1" applyBorder="1" applyAlignment="1" applyProtection="1">
      <alignment horizontal="center"/>
    </xf>
    <xf numFmtId="0" fontId="112" fillId="0" borderId="0" xfId="0" applyFont="1" applyAlignment="1">
      <alignment horizontal="right"/>
    </xf>
    <xf numFmtId="38" fontId="112" fillId="0" borderId="0" xfId="0" applyNumberFormat="1" applyFont="1" applyAlignment="1">
      <alignment horizontal="right"/>
    </xf>
    <xf numFmtId="177" fontId="110" fillId="0" borderId="0" xfId="0" applyNumberFormat="1" applyFont="1" applyAlignment="1">
      <alignment horizontal="right"/>
    </xf>
    <xf numFmtId="2" fontId="106" fillId="0" borderId="0" xfId="0" applyNumberFormat="1" applyFont="1" applyAlignment="1">
      <alignment horizontal="right"/>
    </xf>
    <xf numFmtId="0" fontId="124" fillId="0" borderId="0" xfId="0" applyFont="1"/>
    <xf numFmtId="4" fontId="65" fillId="0" borderId="0" xfId="0" applyNumberFormat="1" applyFont="1"/>
    <xf numFmtId="185" fontId="65" fillId="0" borderId="0" xfId="0" applyNumberFormat="1" applyFont="1"/>
    <xf numFmtId="0" fontId="12" fillId="0" borderId="0" xfId="0" applyFont="1" applyFill="1" applyAlignment="1">
      <alignment horizontal="center"/>
    </xf>
    <xf numFmtId="9" fontId="65" fillId="0" borderId="0" xfId="0" applyNumberFormat="1" applyFont="1" applyFill="1" applyBorder="1"/>
    <xf numFmtId="0" fontId="12" fillId="0" borderId="0" xfId="0" applyFont="1" applyFill="1" applyBorder="1" applyAlignment="1">
      <alignment horizontal="right"/>
    </xf>
    <xf numFmtId="177" fontId="65" fillId="0" borderId="0" xfId="4" applyNumberFormat="1" applyFont="1"/>
    <xf numFmtId="0" fontId="12" fillId="11" borderId="16" xfId="0" applyFont="1" applyFill="1" applyBorder="1" applyAlignment="1">
      <alignment horizontal="center"/>
    </xf>
    <xf numFmtId="0" fontId="12" fillId="0" borderId="16" xfId="0" applyFont="1" applyFill="1" applyBorder="1" applyAlignment="1">
      <alignment horizontal="center"/>
    </xf>
    <xf numFmtId="0" fontId="12" fillId="11" borderId="19" xfId="0" applyFont="1" applyFill="1" applyBorder="1" applyAlignment="1">
      <alignment horizontal="center"/>
    </xf>
    <xf numFmtId="0" fontId="12" fillId="0" borderId="19" xfId="0" applyFont="1" applyFill="1" applyBorder="1" applyAlignment="1">
      <alignment horizontal="center"/>
    </xf>
    <xf numFmtId="0" fontId="12" fillId="0" borderId="19" xfId="0" applyFont="1" applyFill="1" applyBorder="1" applyAlignment="1">
      <alignment horizontal="center" wrapText="1"/>
    </xf>
    <xf numFmtId="0" fontId="12" fillId="12" borderId="0" xfId="0" applyFont="1" applyFill="1" applyBorder="1"/>
    <xf numFmtId="169" fontId="65" fillId="0" borderId="0" xfId="0" applyNumberFormat="1" applyFont="1" applyFill="1" applyBorder="1"/>
    <xf numFmtId="169" fontId="65" fillId="0" borderId="0" xfId="4" applyNumberFormat="1" applyFont="1" applyFill="1" applyBorder="1"/>
    <xf numFmtId="4" fontId="65" fillId="0" borderId="0" xfId="0" applyNumberFormat="1" applyFont="1" applyAlignment="1">
      <alignment horizontal="center"/>
    </xf>
    <xf numFmtId="2" fontId="18" fillId="0" borderId="0" xfId="0" applyNumberFormat="1" applyFont="1" applyAlignment="1">
      <alignment horizontal="center"/>
    </xf>
    <xf numFmtId="175" fontId="65" fillId="0" borderId="0" xfId="0" applyNumberFormat="1" applyFont="1" applyAlignment="1">
      <alignment horizontal="center"/>
    </xf>
    <xf numFmtId="181" fontId="65" fillId="0" borderId="0" xfId="0" applyNumberFormat="1" applyFont="1" applyAlignment="1">
      <alignment horizontal="center"/>
    </xf>
    <xf numFmtId="3" fontId="127" fillId="13" borderId="0" xfId="0" applyNumberFormat="1" applyFont="1" applyFill="1" applyAlignment="1">
      <alignment horizontal="center"/>
    </xf>
    <xf numFmtId="3" fontId="92" fillId="0" borderId="0" xfId="0" applyNumberFormat="1" applyFont="1" applyFill="1"/>
    <xf numFmtId="0" fontId="96" fillId="0" borderId="0" xfId="0" applyFont="1" applyAlignment="1">
      <alignment horizontal="right"/>
    </xf>
    <xf numFmtId="3" fontId="127" fillId="0" borderId="0" xfId="0" applyNumberFormat="1" applyFont="1" applyFill="1" applyAlignment="1">
      <alignment horizontal="center"/>
    </xf>
    <xf numFmtId="181" fontId="65" fillId="0" borderId="0" xfId="0" applyNumberFormat="1" applyFont="1" applyFill="1" applyAlignment="1">
      <alignment horizontal="center"/>
    </xf>
    <xf numFmtId="185" fontId="65" fillId="0" borderId="0" xfId="0" applyNumberFormat="1" applyFont="1" applyFill="1"/>
    <xf numFmtId="4" fontId="65" fillId="0" borderId="0" xfId="0" applyNumberFormat="1" applyFont="1" applyFill="1"/>
    <xf numFmtId="4" fontId="128" fillId="0" borderId="0" xfId="0" applyNumberFormat="1" applyFont="1" applyFill="1" applyAlignment="1">
      <alignment horizontal="center"/>
    </xf>
    <xf numFmtId="37" fontId="12" fillId="0" borderId="0" xfId="0" applyNumberFormat="1" applyFont="1" applyProtection="1"/>
    <xf numFmtId="164" fontId="12" fillId="0" borderId="0" xfId="0" applyNumberFormat="1" applyFont="1" applyProtection="1"/>
    <xf numFmtId="168" fontId="12" fillId="0" borderId="0" xfId="0" applyNumberFormat="1" applyFont="1" applyProtection="1"/>
    <xf numFmtId="166" fontId="12" fillId="0" borderId="0" xfId="0" applyNumberFormat="1" applyFont="1" applyProtection="1"/>
    <xf numFmtId="164" fontId="1" fillId="0" borderId="0" xfId="0" applyNumberFormat="1" applyFont="1" applyProtection="1"/>
    <xf numFmtId="37" fontId="12" fillId="0" borderId="1" xfId="0" applyNumberFormat="1" applyFont="1" applyBorder="1" applyProtection="1"/>
    <xf numFmtId="164" fontId="12" fillId="0" borderId="3" xfId="0" applyNumberFormat="1" applyFont="1" applyBorder="1" applyProtection="1"/>
    <xf numFmtId="0" fontId="12" fillId="0" borderId="2" xfId="0" applyFont="1" applyBorder="1"/>
    <xf numFmtId="164" fontId="12" fillId="0" borderId="2" xfId="0" applyNumberFormat="1" applyFont="1" applyBorder="1" applyProtection="1"/>
    <xf numFmtId="168" fontId="12" fillId="0" borderId="2" xfId="0" applyNumberFormat="1" applyFont="1" applyBorder="1" applyProtection="1"/>
    <xf numFmtId="166" fontId="12" fillId="0" borderId="3" xfId="0" applyNumberFormat="1" applyFont="1" applyBorder="1" applyProtection="1"/>
    <xf numFmtId="166" fontId="12" fillId="0" borderId="2" xfId="0" applyNumberFormat="1" applyFont="1" applyBorder="1" applyProtection="1"/>
    <xf numFmtId="0" fontId="12" fillId="0" borderId="3" xfId="0" applyFont="1" applyBorder="1"/>
    <xf numFmtId="0" fontId="12" fillId="0" borderId="6" xfId="0" applyFont="1" applyBorder="1" applyAlignment="1">
      <alignment horizontal="center"/>
    </xf>
    <xf numFmtId="37" fontId="12" fillId="0" borderId="4" xfId="0" applyNumberFormat="1" applyFont="1" applyBorder="1" applyAlignment="1" applyProtection="1">
      <alignment horizontal="center"/>
    </xf>
    <xf numFmtId="0" fontId="12" fillId="0" borderId="4" xfId="0" applyFont="1" applyBorder="1" applyAlignment="1">
      <alignment horizontal="center"/>
    </xf>
    <xf numFmtId="0" fontId="12" fillId="0" borderId="1" xfId="0" applyFont="1" applyBorder="1" applyAlignment="1">
      <alignment horizontal="centerContinuous"/>
    </xf>
    <xf numFmtId="0" fontId="12" fillId="0" borderId="3" xfId="0" applyFont="1" applyBorder="1" applyAlignment="1">
      <alignment horizontal="centerContinuous"/>
    </xf>
    <xf numFmtId="37" fontId="1" fillId="0" borderId="6" xfId="0" applyNumberFormat="1" applyFont="1" applyBorder="1" applyAlignment="1" applyProtection="1">
      <alignment horizontal="center"/>
    </xf>
    <xf numFmtId="164" fontId="1" fillId="0" borderId="6" xfId="0" applyNumberFormat="1" applyFont="1" applyBorder="1" applyAlignment="1" applyProtection="1">
      <alignment horizontal="center"/>
    </xf>
    <xf numFmtId="0" fontId="12" fillId="0" borderId="6" xfId="0" applyFont="1" applyBorder="1"/>
    <xf numFmtId="164" fontId="12" fillId="0" borderId="6" xfId="0" applyNumberFormat="1" applyFont="1" applyBorder="1" applyProtection="1"/>
    <xf numFmtId="168" fontId="1" fillId="0" borderId="6" xfId="0" applyNumberFormat="1" applyFont="1" applyBorder="1" applyAlignment="1" applyProtection="1">
      <alignment horizontal="center"/>
    </xf>
    <xf numFmtId="0" fontId="1" fillId="0" borderId="6" xfId="0" applyFont="1" applyBorder="1" applyAlignment="1">
      <alignment horizontal="center"/>
    </xf>
    <xf numFmtId="166" fontId="1" fillId="0" borderId="6" xfId="0" applyNumberFormat="1" applyFont="1" applyBorder="1" applyAlignment="1" applyProtection="1">
      <alignment horizontal="center"/>
    </xf>
    <xf numFmtId="166" fontId="12" fillId="0" borderId="6" xfId="0" applyNumberFormat="1" applyFont="1" applyBorder="1" applyProtection="1"/>
    <xf numFmtId="164" fontId="12" fillId="0" borderId="6" xfId="0" applyNumberFormat="1" applyFont="1" applyBorder="1" applyAlignment="1" applyProtection="1">
      <alignment horizontal="center"/>
    </xf>
    <xf numFmtId="0" fontId="12" fillId="0" borderId="12" xfId="0" applyFont="1" applyBorder="1" applyAlignment="1">
      <alignment horizontal="center"/>
    </xf>
    <xf numFmtId="37" fontId="12" fillId="0" borderId="12" xfId="0" applyNumberFormat="1" applyFont="1" applyBorder="1" applyProtection="1"/>
    <xf numFmtId="37" fontId="1" fillId="0" borderId="10" xfId="0" applyNumberFormat="1" applyFont="1" applyBorder="1" applyAlignment="1" applyProtection="1">
      <alignment horizontal="center"/>
    </xf>
    <xf numFmtId="164" fontId="1" fillId="0" borderId="10" xfId="0" applyNumberFormat="1" applyFont="1" applyBorder="1" applyAlignment="1" applyProtection="1">
      <alignment horizontal="center"/>
    </xf>
    <xf numFmtId="0" fontId="1" fillId="0" borderId="10" xfId="0" applyFont="1" applyBorder="1" applyAlignment="1">
      <alignment horizontal="center"/>
    </xf>
    <xf numFmtId="168" fontId="1" fillId="0" borderId="10" xfId="0" applyNumberFormat="1" applyFont="1" applyBorder="1" applyAlignment="1" applyProtection="1">
      <alignment horizontal="center"/>
    </xf>
    <xf numFmtId="166" fontId="1" fillId="0" borderId="10" xfId="0" applyNumberFormat="1" applyFont="1" applyBorder="1" applyAlignment="1" applyProtection="1">
      <alignment horizontal="center"/>
    </xf>
    <xf numFmtId="37" fontId="1" fillId="0" borderId="10" xfId="0" applyNumberFormat="1" applyFont="1" applyBorder="1" applyProtection="1"/>
    <xf numFmtId="0" fontId="12" fillId="0" borderId="10" xfId="0" applyFont="1" applyBorder="1" applyAlignment="1">
      <alignment horizontal="center"/>
    </xf>
    <xf numFmtId="37" fontId="12" fillId="0" borderId="11" xfId="0" applyNumberFormat="1" applyFont="1" applyBorder="1" applyProtection="1"/>
    <xf numFmtId="164" fontId="12" fillId="0" borderId="11" xfId="0" applyNumberFormat="1" applyFont="1" applyBorder="1" applyProtection="1"/>
    <xf numFmtId="0" fontId="12" fillId="0" borderId="11" xfId="0" applyFont="1" applyBorder="1"/>
    <xf numFmtId="168" fontId="12" fillId="0" borderId="11" xfId="0" applyNumberFormat="1" applyFont="1" applyBorder="1" applyProtection="1"/>
    <xf numFmtId="166" fontId="12" fillId="0" borderId="11" xfId="0" applyNumberFormat="1" applyFont="1" applyBorder="1" applyProtection="1"/>
    <xf numFmtId="0" fontId="12" fillId="0" borderId="5" xfId="0" applyFont="1" applyBorder="1"/>
    <xf numFmtId="37" fontId="12" fillId="0" borderId="6" xfId="0" applyNumberFormat="1" applyFont="1" applyBorder="1" applyProtection="1"/>
    <xf numFmtId="165" fontId="18" fillId="0" borderId="0" xfId="0" applyNumberFormat="1" applyFont="1" applyProtection="1"/>
    <xf numFmtId="167" fontId="66" fillId="0" borderId="0" xfId="0" applyNumberFormat="1" applyFont="1" applyProtection="1"/>
    <xf numFmtId="166" fontId="18" fillId="0" borderId="0" xfId="0" applyNumberFormat="1" applyFont="1" applyProtection="1"/>
    <xf numFmtId="164" fontId="18" fillId="0" borderId="0" xfId="0" applyNumberFormat="1" applyFont="1"/>
    <xf numFmtId="169" fontId="18" fillId="0" borderId="14" xfId="0" applyNumberFormat="1" applyFont="1" applyBorder="1" applyProtection="1"/>
    <xf numFmtId="164" fontId="18" fillId="0" borderId="12" xfId="0" applyNumberFormat="1" applyFont="1" applyBorder="1" applyProtection="1"/>
    <xf numFmtId="164" fontId="18" fillId="0" borderId="12" xfId="0" applyNumberFormat="1" applyFont="1" applyBorder="1"/>
    <xf numFmtId="164" fontId="18" fillId="0" borderId="13" xfId="0" applyNumberFormat="1" applyFont="1" applyBorder="1"/>
    <xf numFmtId="164" fontId="18" fillId="0" borderId="14" xfId="0" applyNumberFormat="1" applyFont="1" applyBorder="1"/>
    <xf numFmtId="164" fontId="66" fillId="0" borderId="0" xfId="0" applyNumberFormat="1" applyFont="1"/>
    <xf numFmtId="170" fontId="18" fillId="0" borderId="12" xfId="0" applyNumberFormat="1" applyFont="1" applyBorder="1" applyProtection="1"/>
    <xf numFmtId="165" fontId="66" fillId="0" borderId="0" xfId="0" applyNumberFormat="1" applyFont="1" applyProtection="1"/>
    <xf numFmtId="166" fontId="66" fillId="0" borderId="0" xfId="0" applyNumberFormat="1" applyFont="1" applyProtection="1"/>
    <xf numFmtId="178" fontId="66" fillId="0" borderId="0" xfId="1" applyNumberFormat="1" applyFont="1" applyProtection="1"/>
    <xf numFmtId="11" fontId="66" fillId="0" borderId="0" xfId="0" applyNumberFormat="1" applyFont="1" applyProtection="1"/>
    <xf numFmtId="169" fontId="66" fillId="0" borderId="14" xfId="0" applyNumberFormat="1" applyFont="1" applyBorder="1" applyProtection="1"/>
    <xf numFmtId="164" fontId="66" fillId="0" borderId="14" xfId="0" applyNumberFormat="1" applyFont="1" applyBorder="1"/>
    <xf numFmtId="164" fontId="66" fillId="0" borderId="12" xfId="0" applyNumberFormat="1" applyFont="1" applyBorder="1"/>
    <xf numFmtId="165" fontId="66" fillId="0" borderId="15" xfId="0" applyNumberFormat="1" applyFont="1" applyBorder="1" applyProtection="1"/>
    <xf numFmtId="164" fontId="66" fillId="0" borderId="15" xfId="0" applyNumberFormat="1" applyFont="1" applyBorder="1" applyProtection="1"/>
    <xf numFmtId="168" fontId="66" fillId="0" borderId="15" xfId="0" applyNumberFormat="1" applyFont="1" applyBorder="1" applyProtection="1"/>
    <xf numFmtId="166" fontId="66" fillId="0" borderId="15" xfId="0" applyNumberFormat="1" applyFont="1" applyBorder="1" applyProtection="1"/>
    <xf numFmtId="37" fontId="66" fillId="0" borderId="15" xfId="0" applyNumberFormat="1" applyFont="1" applyBorder="1" applyProtection="1"/>
    <xf numFmtId="37" fontId="66" fillId="0" borderId="10" xfId="0" applyNumberFormat="1" applyFont="1" applyBorder="1" applyProtection="1"/>
    <xf numFmtId="37" fontId="66" fillId="0" borderId="0" xfId="0" applyNumberFormat="1" applyFont="1" applyProtection="1"/>
    <xf numFmtId="164" fontId="66" fillId="0" borderId="0" xfId="0" applyNumberFormat="1" applyFont="1" applyAlignment="1" applyProtection="1">
      <alignment horizontal="right"/>
    </xf>
    <xf numFmtId="168" fontId="66" fillId="0" borderId="0" xfId="0" applyNumberFormat="1" applyFont="1" applyProtection="1"/>
    <xf numFmtId="166" fontId="66" fillId="0" borderId="0" xfId="0" applyNumberFormat="1" applyFont="1" applyAlignment="1" applyProtection="1">
      <alignment horizontal="right"/>
    </xf>
    <xf numFmtId="167" fontId="18" fillId="0" borderId="0" xfId="0" applyNumberFormat="1" applyFont="1" applyProtection="1"/>
    <xf numFmtId="0" fontId="66" fillId="0" borderId="14" xfId="0" applyFont="1" applyBorder="1"/>
    <xf numFmtId="37" fontId="66" fillId="0" borderId="13" xfId="0" applyNumberFormat="1" applyFont="1" applyBorder="1" applyProtection="1"/>
    <xf numFmtId="0" fontId="16" fillId="0" borderId="0" xfId="0" applyFont="1" applyAlignment="1">
      <alignment horizontal="right"/>
    </xf>
    <xf numFmtId="0" fontId="16" fillId="0" borderId="0" xfId="0" quotePrefix="1" applyFont="1"/>
    <xf numFmtId="164" fontId="21" fillId="0" borderId="0" xfId="0" applyNumberFormat="1" applyFont="1" applyProtection="1"/>
    <xf numFmtId="0" fontId="12" fillId="0" borderId="12" xfId="0" applyFont="1" applyBorder="1"/>
    <xf numFmtId="0" fontId="12" fillId="0" borderId="10" xfId="0" applyFont="1" applyBorder="1"/>
    <xf numFmtId="0" fontId="66" fillId="0" borderId="8" xfId="0" applyFont="1" applyBorder="1"/>
    <xf numFmtId="166" fontId="1" fillId="0" borderId="10" xfId="0" applyNumberFormat="1" applyFont="1" applyBorder="1" applyAlignment="1" applyProtection="1"/>
    <xf numFmtId="0" fontId="1" fillId="0" borderId="10" xfId="0" applyFont="1" applyBorder="1" applyAlignment="1">
      <alignment horizontal="left"/>
    </xf>
    <xf numFmtId="164" fontId="12" fillId="0" borderId="0" xfId="0" applyNumberFormat="1" applyFont="1" applyAlignment="1" applyProtection="1">
      <alignment horizontal="right"/>
    </xf>
    <xf numFmtId="0" fontId="82" fillId="11" borderId="0" xfId="0" applyFont="1" applyFill="1" applyAlignment="1">
      <alignment horizontal="center"/>
    </xf>
    <xf numFmtId="173" fontId="67" fillId="2" borderId="0" xfId="0" applyNumberFormat="1" applyFont="1" applyFill="1"/>
    <xf numFmtId="174" fontId="66" fillId="0" borderId="0" xfId="0" applyNumberFormat="1" applyFont="1"/>
    <xf numFmtId="178" fontId="18" fillId="0" borderId="0" xfId="1" applyNumberFormat="1" applyFont="1" applyBorder="1" applyProtection="1"/>
    <xf numFmtId="178" fontId="18" fillId="11" borderId="32" xfId="1" applyNumberFormat="1" applyFont="1" applyFill="1" applyBorder="1" applyProtection="1"/>
    <xf numFmtId="178" fontId="18" fillId="11" borderId="30" xfId="1" applyNumberFormat="1" applyFont="1" applyFill="1" applyBorder="1" applyProtection="1"/>
    <xf numFmtId="178" fontId="18" fillId="11" borderId="31" xfId="1" applyNumberFormat="1" applyFont="1" applyFill="1" applyBorder="1" applyProtection="1"/>
    <xf numFmtId="0" fontId="66" fillId="0" borderId="0" xfId="0" applyFont="1" applyBorder="1"/>
    <xf numFmtId="171" fontId="18" fillId="0" borderId="16" xfId="0" applyNumberFormat="1" applyFont="1" applyBorder="1"/>
    <xf numFmtId="11" fontId="18" fillId="0" borderId="0" xfId="1" applyNumberFormat="1" applyFont="1"/>
    <xf numFmtId="11" fontId="18" fillId="0" borderId="0" xfId="1" applyNumberFormat="1" applyFont="1" applyProtection="1"/>
    <xf numFmtId="11" fontId="66" fillId="0" borderId="0" xfId="1" applyNumberFormat="1" applyFont="1" applyProtection="1"/>
    <xf numFmtId="11" fontId="66" fillId="0" borderId="0" xfId="1" applyNumberFormat="1" applyFont="1"/>
    <xf numFmtId="0" fontId="12" fillId="11" borderId="6" xfId="0" applyFont="1" applyFill="1" applyBorder="1" applyAlignment="1">
      <alignment horizontal="center"/>
    </xf>
    <xf numFmtId="0" fontId="12" fillId="11" borderId="12" xfId="0" applyFont="1" applyFill="1" applyBorder="1" applyAlignment="1">
      <alignment horizontal="center"/>
    </xf>
    <xf numFmtId="0" fontId="1" fillId="11" borderId="10" xfId="0" applyFont="1" applyFill="1" applyBorder="1" applyAlignment="1">
      <alignment horizontal="center"/>
    </xf>
    <xf numFmtId="37" fontId="12" fillId="11" borderId="6" xfId="0" applyNumberFormat="1" applyFont="1" applyFill="1" applyBorder="1" applyAlignment="1" applyProtection="1">
      <alignment horizontal="center"/>
    </xf>
    <xf numFmtId="37" fontId="1" fillId="11" borderId="10" xfId="0" applyNumberFormat="1" applyFont="1" applyFill="1" applyBorder="1" applyAlignment="1" applyProtection="1">
      <alignment horizontal="center"/>
    </xf>
    <xf numFmtId="0" fontId="66" fillId="0" borderId="0" xfId="0" applyFont="1" applyAlignment="1">
      <alignment horizontal="center"/>
    </xf>
    <xf numFmtId="165" fontId="18" fillId="0" borderId="0" xfId="0" applyNumberFormat="1" applyFont="1" applyAlignment="1" applyProtection="1">
      <alignment horizontal="center"/>
    </xf>
    <xf numFmtId="164" fontId="18" fillId="0" borderId="0" xfId="0" applyNumberFormat="1" applyFont="1" applyAlignment="1" applyProtection="1">
      <alignment horizontal="center"/>
    </xf>
    <xf numFmtId="165" fontId="66" fillId="0" borderId="0" xfId="0" applyNumberFormat="1" applyFont="1" applyAlignment="1" applyProtection="1">
      <alignment horizontal="center"/>
    </xf>
    <xf numFmtId="164" fontId="66" fillId="0" borderId="0" xfId="0" applyNumberFormat="1" applyFont="1" applyAlignment="1" applyProtection="1">
      <alignment horizontal="center"/>
    </xf>
    <xf numFmtId="165" fontId="18" fillId="8" borderId="0" xfId="0" applyNumberFormat="1" applyFont="1" applyFill="1" applyAlignment="1" applyProtection="1">
      <alignment horizontal="center"/>
    </xf>
    <xf numFmtId="0" fontId="130" fillId="11" borderId="0" xfId="0" applyFont="1" applyFill="1" applyAlignment="1">
      <alignment horizontal="center"/>
    </xf>
    <xf numFmtId="1" fontId="18" fillId="0" borderId="0" xfId="0" applyNumberFormat="1" applyFont="1" applyAlignment="1">
      <alignment horizontal="center"/>
    </xf>
    <xf numFmtId="0" fontId="102" fillId="0" borderId="0" xfId="0" applyFont="1" applyFill="1"/>
    <xf numFmtId="0" fontId="99" fillId="0" borderId="0" xfId="0" applyFont="1"/>
    <xf numFmtId="0" fontId="5" fillId="0" borderId="10" xfId="0" applyFont="1" applyBorder="1" applyAlignment="1">
      <alignment horizontal="right"/>
    </xf>
    <xf numFmtId="0" fontId="131" fillId="0" borderId="0" xfId="0" applyFont="1"/>
    <xf numFmtId="1" fontId="49" fillId="8" borderId="13" xfId="0" applyNumberFormat="1" applyFont="1" applyFill="1" applyBorder="1" applyAlignment="1">
      <alignment horizontal="center"/>
    </xf>
    <xf numFmtId="0" fontId="12" fillId="8" borderId="16" xfId="0" applyFont="1" applyFill="1" applyBorder="1" applyAlignment="1">
      <alignment horizontal="center"/>
    </xf>
    <xf numFmtId="0" fontId="29" fillId="11" borderId="0" xfId="2" applyFill="1" applyAlignment="1">
      <alignment horizontal="right"/>
    </xf>
    <xf numFmtId="9" fontId="84" fillId="11" borderId="0" xfId="2" applyNumberFormat="1" applyFont="1" applyFill="1" applyAlignment="1">
      <alignment horizontal="center"/>
    </xf>
    <xf numFmtId="9" fontId="84" fillId="11" borderId="0" xfId="4" applyFont="1" applyFill="1" applyAlignment="1">
      <alignment horizontal="center"/>
    </xf>
    <xf numFmtId="0" fontId="1" fillId="0" borderId="19" xfId="0" applyFont="1" applyBorder="1" applyAlignment="1">
      <alignment horizontal="right"/>
    </xf>
    <xf numFmtId="0" fontId="0" fillId="0" borderId="22" xfId="0" applyBorder="1"/>
    <xf numFmtId="0" fontId="0" fillId="0" borderId="26" xfId="0" applyBorder="1"/>
    <xf numFmtId="0" fontId="107" fillId="0" borderId="26" xfId="0" applyFont="1" applyBorder="1"/>
    <xf numFmtId="0" fontId="107" fillId="0" borderId="27" xfId="0" applyFont="1" applyBorder="1"/>
    <xf numFmtId="0" fontId="0" fillId="0" borderId="23" xfId="0" applyBorder="1"/>
    <xf numFmtId="0" fontId="107" fillId="0" borderId="28" xfId="0" applyFont="1" applyBorder="1"/>
    <xf numFmtId="3" fontId="106" fillId="0" borderId="0" xfId="0" applyNumberFormat="1" applyFont="1" applyBorder="1"/>
    <xf numFmtId="9" fontId="65" fillId="0" borderId="0" xfId="0" applyNumberFormat="1" applyFont="1" applyBorder="1"/>
    <xf numFmtId="0" fontId="0" fillId="0" borderId="24" xfId="0" applyBorder="1"/>
    <xf numFmtId="0" fontId="12" fillId="0" borderId="17" xfId="0" applyFont="1" applyBorder="1" applyAlignment="1">
      <alignment horizontal="right"/>
    </xf>
    <xf numFmtId="0" fontId="109" fillId="11" borderId="0" xfId="0" applyFont="1" applyFill="1" applyBorder="1" applyAlignment="1">
      <alignment horizontal="center"/>
    </xf>
    <xf numFmtId="3" fontId="106" fillId="0" borderId="0" xfId="1" applyNumberFormat="1" applyFont="1" applyFill="1" applyBorder="1" applyAlignment="1" applyProtection="1">
      <alignment horizontal="right"/>
    </xf>
    <xf numFmtId="38" fontId="107" fillId="0" borderId="0" xfId="0" applyNumberFormat="1" applyFont="1" applyAlignment="1">
      <alignment horizontal="center"/>
    </xf>
    <xf numFmtId="0" fontId="132" fillId="11" borderId="0" xfId="0" applyFont="1" applyFill="1" applyBorder="1" applyAlignment="1">
      <alignment vertical="top" wrapText="1"/>
    </xf>
    <xf numFmtId="0" fontId="133" fillId="11" borderId="0" xfId="0" applyFont="1" applyFill="1" applyBorder="1" applyAlignment="1">
      <alignment vertical="top" wrapText="1"/>
    </xf>
    <xf numFmtId="0" fontId="12" fillId="11" borderId="0" xfId="0" applyFont="1" applyFill="1" applyBorder="1" applyAlignment="1">
      <alignment horizontal="right" wrapText="1"/>
    </xf>
    <xf numFmtId="3" fontId="18" fillId="11" borderId="0" xfId="0" applyNumberFormat="1" applyFont="1" applyFill="1"/>
    <xf numFmtId="9" fontId="18" fillId="11" borderId="0" xfId="4" applyFont="1" applyFill="1"/>
    <xf numFmtId="0" fontId="12" fillId="8" borderId="0" xfId="0" applyFont="1" applyFill="1" applyBorder="1"/>
    <xf numFmtId="0" fontId="0" fillId="8" borderId="0" xfId="0" applyFill="1"/>
    <xf numFmtId="0" fontId="99" fillId="8" borderId="0" xfId="0" applyFont="1" applyFill="1" applyBorder="1"/>
    <xf numFmtId="0" fontId="12" fillId="0" borderId="17" xfId="0" applyFont="1" applyFill="1" applyBorder="1" applyAlignment="1"/>
    <xf numFmtId="0" fontId="119" fillId="0" borderId="18" xfId="0" applyFont="1" applyFill="1" applyBorder="1" applyAlignment="1">
      <alignment horizontal="center"/>
    </xf>
    <xf numFmtId="178" fontId="101" fillId="0" borderId="0" xfId="1" applyNumberFormat="1" applyFont="1" applyFill="1" applyBorder="1"/>
    <xf numFmtId="0" fontId="101" fillId="0" borderId="0" xfId="0" applyFont="1" applyFill="1" applyBorder="1"/>
    <xf numFmtId="0" fontId="12" fillId="0" borderId="16" xfId="0" applyFont="1" applyBorder="1" applyAlignment="1">
      <alignment horizontal="right"/>
    </xf>
    <xf numFmtId="3" fontId="12" fillId="0" borderId="0" xfId="0" applyNumberFormat="1" applyFont="1" applyFill="1"/>
    <xf numFmtId="3" fontId="65" fillId="8" borderId="0" xfId="0" applyNumberFormat="1" applyFont="1" applyFill="1"/>
    <xf numFmtId="9" fontId="65" fillId="8" borderId="0" xfId="4" applyFont="1" applyFill="1"/>
    <xf numFmtId="9" fontId="65" fillId="8" borderId="0" xfId="0" applyNumberFormat="1" applyFont="1" applyFill="1"/>
    <xf numFmtId="1" fontId="101" fillId="0" borderId="13" xfId="5" applyNumberFormat="1" applyFont="1" applyBorder="1" applyAlignment="1">
      <alignment horizontal="center"/>
    </xf>
    <xf numFmtId="3" fontId="66" fillId="0" borderId="0" xfId="5" quotePrefix="1" applyNumberFormat="1" applyFont="1" applyBorder="1" applyAlignment="1" applyProtection="1">
      <alignment horizontal="center"/>
    </xf>
    <xf numFmtId="3" fontId="66" fillId="0" borderId="25" xfId="5" quotePrefix="1" applyNumberFormat="1" applyFont="1" applyBorder="1" applyAlignment="1" applyProtection="1">
      <alignment horizontal="center"/>
    </xf>
    <xf numFmtId="3" fontId="65" fillId="0" borderId="0" xfId="4" applyNumberFormat="1" applyFont="1"/>
    <xf numFmtId="3" fontId="101" fillId="8" borderId="25" xfId="5" applyNumberFormat="1" applyFont="1" applyFill="1" applyBorder="1" applyAlignment="1" applyProtection="1">
      <alignment horizontal="center"/>
    </xf>
    <xf numFmtId="3" fontId="101" fillId="8" borderId="0" xfId="5" applyNumberFormat="1" applyFont="1" applyFill="1" applyBorder="1" applyAlignment="1" applyProtection="1">
      <alignment horizontal="center"/>
    </xf>
    <xf numFmtId="37" fontId="12" fillId="0" borderId="0" xfId="5" quotePrefix="1" applyNumberFormat="1" applyFont="1" applyBorder="1" applyAlignment="1" applyProtection="1">
      <alignment horizontal="center"/>
    </xf>
    <xf numFmtId="0" fontId="66" fillId="0" borderId="0" xfId="5" applyFont="1" applyBorder="1" applyAlignment="1" applyProtection="1">
      <alignment horizontal="right"/>
    </xf>
    <xf numFmtId="9" fontId="1" fillId="0" borderId="0" xfId="6" applyFont="1" applyBorder="1" applyProtection="1"/>
    <xf numFmtId="3" fontId="66" fillId="0" borderId="0" xfId="5" quotePrefix="1" applyNumberFormat="1" applyFont="1" applyBorder="1" applyAlignment="1" applyProtection="1">
      <alignment horizontal="right"/>
    </xf>
    <xf numFmtId="0" fontId="12" fillId="0" borderId="0" xfId="5" applyFont="1" applyBorder="1"/>
    <xf numFmtId="3" fontId="66" fillId="0" borderId="0" xfId="5" quotePrefix="1" applyNumberFormat="1" applyFont="1" applyFill="1" applyBorder="1" applyAlignment="1" applyProtection="1">
      <alignment horizontal="right"/>
    </xf>
    <xf numFmtId="169" fontId="66" fillId="0" borderId="0" xfId="0" applyNumberFormat="1" applyFont="1" applyFill="1" applyBorder="1" applyAlignment="1" applyProtection="1">
      <alignment horizontal="left"/>
    </xf>
    <xf numFmtId="37" fontId="66" fillId="0" borderId="0" xfId="0" applyNumberFormat="1" applyFont="1" applyFill="1" applyBorder="1" applyProtection="1"/>
    <xf numFmtId="0" fontId="66" fillId="11" borderId="0" xfId="5" applyFont="1" applyFill="1" applyBorder="1"/>
    <xf numFmtId="0" fontId="66" fillId="11" borderId="0" xfId="5" applyFont="1" applyFill="1"/>
    <xf numFmtId="0" fontId="66" fillId="0" borderId="0" xfId="5" applyFont="1" applyBorder="1"/>
    <xf numFmtId="3" fontId="101" fillId="11" borderId="25" xfId="5" applyNumberFormat="1" applyFont="1" applyFill="1" applyBorder="1" applyAlignment="1" applyProtection="1">
      <alignment horizontal="center"/>
    </xf>
    <xf numFmtId="3" fontId="101" fillId="11" borderId="0" xfId="5" applyNumberFormat="1" applyFont="1" applyFill="1" applyBorder="1" applyAlignment="1" applyProtection="1">
      <alignment horizontal="center"/>
    </xf>
    <xf numFmtId="37" fontId="66" fillId="11" borderId="0" xfId="0" applyNumberFormat="1" applyFont="1" applyFill="1" applyBorder="1" applyProtection="1"/>
    <xf numFmtId="169" fontId="66" fillId="11" borderId="0" xfId="0" applyNumberFormat="1" applyFont="1" applyFill="1" applyBorder="1" applyAlignment="1" applyProtection="1">
      <alignment horizontal="left"/>
    </xf>
    <xf numFmtId="0" fontId="12" fillId="0" borderId="22" xfId="0" applyFont="1" applyFill="1" applyBorder="1"/>
    <xf numFmtId="0" fontId="12" fillId="0" borderId="27" xfId="0" applyFont="1" applyFill="1" applyBorder="1"/>
    <xf numFmtId="0" fontId="12" fillId="0" borderId="23" xfId="0" applyFont="1" applyFill="1" applyBorder="1"/>
    <xf numFmtId="0" fontId="12" fillId="0" borderId="24" xfId="0" applyFont="1" applyFill="1" applyBorder="1"/>
    <xf numFmtId="0" fontId="12" fillId="0" borderId="17" xfId="0" applyFont="1" applyFill="1" applyBorder="1"/>
    <xf numFmtId="0" fontId="12" fillId="0" borderId="29" xfId="0" applyFont="1" applyFill="1" applyBorder="1"/>
    <xf numFmtId="0" fontId="16" fillId="2" borderId="2" xfId="5" applyFont="1" applyFill="1" applyBorder="1" applyAlignment="1" applyProtection="1">
      <alignment horizontal="left"/>
    </xf>
    <xf numFmtId="0" fontId="132" fillId="0" borderId="23" xfId="3" applyFont="1" applyBorder="1"/>
    <xf numFmtId="0" fontId="132" fillId="0" borderId="22" xfId="3" applyFont="1" applyBorder="1"/>
    <xf numFmtId="0" fontId="49" fillId="0" borderId="27" xfId="3" applyFont="1" applyBorder="1"/>
    <xf numFmtId="0" fontId="49" fillId="0" borderId="28" xfId="3" applyFont="1" applyBorder="1"/>
    <xf numFmtId="0" fontId="49" fillId="0" borderId="24" xfId="3" applyFont="1" applyBorder="1" applyAlignment="1">
      <alignment horizontal="right" wrapText="1"/>
    </xf>
    <xf numFmtId="0" fontId="49" fillId="0" borderId="29" xfId="3" applyFont="1" applyBorder="1" applyAlignment="1">
      <alignment horizontal="right" wrapText="1"/>
    </xf>
    <xf numFmtId="3" fontId="101" fillId="0" borderId="0" xfId="5" applyNumberFormat="1" applyFont="1" applyFill="1" applyBorder="1" applyAlignment="1" applyProtection="1">
      <alignment horizontal="right"/>
    </xf>
    <xf numFmtId="3" fontId="101" fillId="11" borderId="0" xfId="5" applyNumberFormat="1" applyFont="1" applyFill="1" applyBorder="1" applyAlignment="1" applyProtection="1">
      <alignment horizontal="right"/>
    </xf>
    <xf numFmtId="11" fontId="18" fillId="8" borderId="0" xfId="5" applyNumberFormat="1" applyFont="1" applyFill="1" applyAlignment="1" applyProtection="1">
      <alignment horizontal="right"/>
    </xf>
    <xf numFmtId="169" fontId="18" fillId="8" borderId="0" xfId="5" applyNumberFormat="1" applyFont="1" applyFill="1" applyBorder="1" applyAlignment="1" applyProtection="1">
      <alignment horizontal="center"/>
    </xf>
    <xf numFmtId="11" fontId="18" fillId="11" borderId="0" xfId="5" applyNumberFormat="1" applyFont="1" applyFill="1" applyAlignment="1" applyProtection="1">
      <alignment horizontal="right"/>
    </xf>
    <xf numFmtId="0" fontId="12" fillId="11" borderId="12" xfId="5" applyFont="1" applyFill="1" applyBorder="1" applyAlignment="1" applyProtection="1">
      <alignment horizontal="center"/>
    </xf>
    <xf numFmtId="0" fontId="12" fillId="0" borderId="7" xfId="5" applyFont="1" applyBorder="1" applyAlignment="1" applyProtection="1">
      <alignment horizontal="right"/>
    </xf>
    <xf numFmtId="0" fontId="12" fillId="0" borderId="13" xfId="5" applyFont="1" applyBorder="1" applyAlignment="1" applyProtection="1">
      <alignment horizontal="center"/>
    </xf>
    <xf numFmtId="0" fontId="12" fillId="0" borderId="5" xfId="5" applyFont="1" applyBorder="1" applyAlignment="1" applyProtection="1">
      <alignment horizontal="center"/>
    </xf>
    <xf numFmtId="0" fontId="12" fillId="0" borderId="9" xfId="5" applyFont="1" applyBorder="1" applyAlignment="1" applyProtection="1">
      <alignment horizontal="center"/>
    </xf>
    <xf numFmtId="0" fontId="12" fillId="2" borderId="11" xfId="5" applyFont="1" applyFill="1" applyBorder="1" applyAlignment="1" applyProtection="1">
      <alignment horizontal="left"/>
    </xf>
    <xf numFmtId="0" fontId="12" fillId="11" borderId="16" xfId="5" applyFont="1" applyFill="1" applyBorder="1" applyAlignment="1" applyProtection="1">
      <alignment horizontal="center"/>
    </xf>
    <xf numFmtId="0" fontId="12" fillId="11" borderId="19" xfId="5" applyFont="1" applyFill="1" applyBorder="1" applyAlignment="1" applyProtection="1">
      <alignment horizontal="center"/>
    </xf>
    <xf numFmtId="0" fontId="12" fillId="11" borderId="6" xfId="5" applyFont="1" applyFill="1" applyBorder="1" applyAlignment="1" applyProtection="1">
      <alignment horizontal="center"/>
    </xf>
    <xf numFmtId="0" fontId="36" fillId="8" borderId="0" xfId="5" applyFill="1"/>
    <xf numFmtId="0" fontId="12" fillId="8" borderId="0" xfId="5" applyFont="1" applyFill="1"/>
    <xf numFmtId="0" fontId="70" fillId="0" borderId="0" xfId="5" applyFont="1"/>
    <xf numFmtId="0" fontId="12" fillId="11" borderId="43" xfId="5" applyFont="1" applyFill="1" applyBorder="1" applyAlignment="1" applyProtection="1">
      <alignment horizontal="center"/>
    </xf>
    <xf numFmtId="0" fontId="12" fillId="11" borderId="44" xfId="5" applyFont="1" applyFill="1" applyBorder="1" applyAlignment="1" applyProtection="1">
      <alignment horizontal="center"/>
    </xf>
    <xf numFmtId="9" fontId="18" fillId="0" borderId="0" xfId="4" applyFont="1" applyBorder="1" applyAlignment="1" applyProtection="1">
      <alignment horizontal="right"/>
      <protection locked="0"/>
    </xf>
    <xf numFmtId="9" fontId="18" fillId="0" borderId="0" xfId="4" applyFont="1" applyFill="1" applyBorder="1" applyAlignment="1" applyProtection="1">
      <alignment horizontal="right"/>
      <protection locked="0"/>
    </xf>
    <xf numFmtId="9" fontId="18" fillId="0" borderId="19" xfId="4" applyFont="1" applyBorder="1" applyAlignment="1" applyProtection="1">
      <alignment horizontal="right"/>
      <protection locked="0"/>
    </xf>
    <xf numFmtId="9" fontId="18" fillId="0" borderId="19" xfId="4" applyFont="1" applyFill="1" applyBorder="1" applyAlignment="1" applyProtection="1">
      <alignment horizontal="right"/>
      <protection locked="0"/>
    </xf>
    <xf numFmtId="2" fontId="107" fillId="0" borderId="0" xfId="0" applyNumberFormat="1" applyFont="1" applyProtection="1">
      <protection locked="0"/>
    </xf>
    <xf numFmtId="0" fontId="107" fillId="0" borderId="0" xfId="0" applyFont="1" applyProtection="1">
      <protection locked="0"/>
    </xf>
    <xf numFmtId="0" fontId="107" fillId="0" borderId="0" xfId="0" applyFont="1" applyFill="1" applyProtection="1">
      <protection locked="0"/>
    </xf>
    <xf numFmtId="0" fontId="107" fillId="0" borderId="20" xfId="0" applyFont="1" applyBorder="1" applyProtection="1">
      <protection locked="0"/>
    </xf>
    <xf numFmtId="0" fontId="107" fillId="0" borderId="20" xfId="0" applyFont="1" applyFill="1" applyBorder="1" applyProtection="1">
      <protection locked="0"/>
    </xf>
    <xf numFmtId="3" fontId="106" fillId="0" borderId="0" xfId="0" applyNumberFormat="1" applyFont="1" applyFill="1" applyBorder="1"/>
    <xf numFmtId="4" fontId="127" fillId="13" borderId="0" xfId="0" applyNumberFormat="1" applyFont="1" applyFill="1" applyAlignment="1">
      <alignment horizontal="center"/>
    </xf>
    <xf numFmtId="178" fontId="18" fillId="0" borderId="0" xfId="1" applyNumberFormat="1" applyFont="1" applyFill="1" applyBorder="1" applyAlignment="1" applyProtection="1">
      <alignment horizontal="center"/>
    </xf>
    <xf numFmtId="1" fontId="66" fillId="0" borderId="13" xfId="0" applyNumberFormat="1" applyFont="1" applyFill="1" applyBorder="1" applyAlignment="1">
      <alignment horizontal="center"/>
    </xf>
    <xf numFmtId="0" fontId="66" fillId="0" borderId="13" xfId="0" applyFont="1" applyFill="1" applyBorder="1" applyAlignment="1">
      <alignment horizontal="center"/>
    </xf>
    <xf numFmtId="173" fontId="0" fillId="0" borderId="0" xfId="0" applyNumberFormat="1" applyFill="1" applyBorder="1" applyAlignment="1"/>
    <xf numFmtId="173" fontId="0" fillId="0" borderId="0" xfId="0" applyNumberFormat="1"/>
    <xf numFmtId="173" fontId="0" fillId="0" borderId="17" xfId="0" applyNumberFormat="1" applyFill="1" applyBorder="1" applyAlignment="1"/>
    <xf numFmtId="173" fontId="8" fillId="0" borderId="18" xfId="0" applyNumberFormat="1" applyFont="1" applyFill="1" applyBorder="1" applyAlignment="1">
      <alignment horizontal="center"/>
    </xf>
    <xf numFmtId="178" fontId="12" fillId="0" borderId="0" xfId="1" applyNumberFormat="1" applyFont="1"/>
    <xf numFmtId="0" fontId="101" fillId="0" borderId="0" xfId="0" applyFont="1" applyFill="1" applyBorder="1" applyAlignment="1">
      <alignment horizontal="right"/>
    </xf>
    <xf numFmtId="9" fontId="65" fillId="8" borderId="0" xfId="0" applyNumberFormat="1" applyFont="1" applyFill="1" applyBorder="1"/>
    <xf numFmtId="9" fontId="65" fillId="8" borderId="0" xfId="4" applyFont="1" applyFill="1" applyBorder="1"/>
    <xf numFmtId="169" fontId="65" fillId="8" borderId="0" xfId="0" applyNumberFormat="1" applyFont="1" applyFill="1" applyBorder="1"/>
    <xf numFmtId="169" fontId="65" fillId="8" borderId="0" xfId="4" applyNumberFormat="1" applyFont="1" applyFill="1" applyBorder="1"/>
    <xf numFmtId="175" fontId="65" fillId="0" borderId="16" xfId="0" applyNumberFormat="1" applyFont="1" applyBorder="1"/>
    <xf numFmtId="175" fontId="65" fillId="0" borderId="19" xfId="0" applyNumberFormat="1" applyFont="1" applyBorder="1"/>
    <xf numFmtId="171" fontId="65" fillId="0" borderId="16" xfId="0" applyNumberFormat="1" applyFont="1" applyBorder="1"/>
    <xf numFmtId="171" fontId="65" fillId="0" borderId="19" xfId="0" applyNumberFormat="1" applyFont="1" applyBorder="1"/>
    <xf numFmtId="0" fontId="65" fillId="0" borderId="20" xfId="0" applyFont="1" applyBorder="1" applyAlignment="1">
      <alignment horizontal="center"/>
    </xf>
    <xf numFmtId="186" fontId="65" fillId="0" borderId="16" xfId="0" applyNumberFormat="1" applyFont="1" applyBorder="1" applyAlignment="1">
      <alignment horizontal="center"/>
    </xf>
    <xf numFmtId="186" fontId="65" fillId="0" borderId="19" xfId="0" applyNumberFormat="1" applyFont="1" applyBorder="1" applyAlignment="1">
      <alignment horizontal="center"/>
    </xf>
    <xf numFmtId="0" fontId="12" fillId="0" borderId="16" xfId="0" applyFont="1" applyBorder="1" applyAlignment="1">
      <alignment horizontal="center"/>
    </xf>
    <xf numFmtId="187" fontId="65" fillId="0" borderId="16" xfId="0" applyNumberFormat="1" applyFont="1" applyBorder="1" applyAlignment="1">
      <alignment horizontal="center"/>
    </xf>
    <xf numFmtId="187" fontId="65" fillId="0" borderId="19" xfId="0" applyNumberFormat="1" applyFont="1" applyBorder="1" applyAlignment="1">
      <alignment horizontal="center"/>
    </xf>
    <xf numFmtId="0" fontId="36" fillId="0" borderId="0" xfId="3" applyFont="1" applyFill="1" applyAlignment="1">
      <alignment horizontal="center"/>
    </xf>
    <xf numFmtId="0" fontId="36" fillId="0" borderId="0" xfId="3" applyAlignment="1">
      <alignment horizontal="left"/>
    </xf>
    <xf numFmtId="3" fontId="72" fillId="0" borderId="0" xfId="3" applyNumberFormat="1" applyFont="1"/>
    <xf numFmtId="3" fontId="72" fillId="8" borderId="0" xfId="3" applyNumberFormat="1" applyFont="1" applyFill="1"/>
    <xf numFmtId="3" fontId="91" fillId="0" borderId="0" xfId="0" applyNumberFormat="1" applyFont="1"/>
    <xf numFmtId="0" fontId="77" fillId="0" borderId="0" xfId="0" applyFont="1"/>
    <xf numFmtId="0" fontId="134" fillId="0" borderId="0" xfId="0" applyFont="1"/>
    <xf numFmtId="0" fontId="91" fillId="0" borderId="20" xfId="0" applyFont="1" applyBorder="1" applyAlignment="1">
      <alignment horizontal="right" wrapText="1"/>
    </xf>
    <xf numFmtId="0" fontId="134" fillId="0" borderId="46" xfId="0" applyFont="1" applyBorder="1"/>
    <xf numFmtId="3" fontId="91" fillId="0" borderId="46" xfId="0" applyNumberFormat="1" applyFont="1" applyBorder="1"/>
    <xf numFmtId="9" fontId="91" fillId="0" borderId="46" xfId="0" applyNumberFormat="1" applyFont="1" applyBorder="1"/>
    <xf numFmtId="0" fontId="134" fillId="0" borderId="47" xfId="0" applyFont="1" applyBorder="1"/>
    <xf numFmtId="3" fontId="91" fillId="0" borderId="47" xfId="0" applyNumberFormat="1" applyFont="1" applyBorder="1"/>
    <xf numFmtId="0" fontId="0" fillId="0" borderId="47" xfId="0" applyBorder="1"/>
    <xf numFmtId="0" fontId="91" fillId="0" borderId="47" xfId="0" applyFont="1" applyBorder="1"/>
    <xf numFmtId="0" fontId="134" fillId="0" borderId="20" xfId="0" applyFont="1" applyBorder="1"/>
    <xf numFmtId="0" fontId="134" fillId="0" borderId="48" xfId="0" applyFont="1" applyBorder="1"/>
    <xf numFmtId="3" fontId="91" fillId="0" borderId="48" xfId="0" applyNumberFormat="1" applyFont="1" applyBorder="1"/>
    <xf numFmtId="0" fontId="0" fillId="0" borderId="48" xfId="0" applyBorder="1"/>
    <xf numFmtId="0" fontId="134" fillId="0" borderId="49" xfId="0" applyFont="1" applyBorder="1"/>
    <xf numFmtId="3" fontId="91" fillId="0" borderId="49" xfId="0" applyNumberFormat="1" applyFont="1" applyBorder="1"/>
    <xf numFmtId="0" fontId="0" fillId="0" borderId="49" xfId="0" applyBorder="1"/>
    <xf numFmtId="3" fontId="91" fillId="11" borderId="46" xfId="0" applyNumberFormat="1" applyFont="1" applyFill="1" applyBorder="1"/>
    <xf numFmtId="3" fontId="91" fillId="11" borderId="47" xfId="0" applyNumberFormat="1" applyFont="1" applyFill="1" applyBorder="1"/>
    <xf numFmtId="3" fontId="91" fillId="11" borderId="49" xfId="0" applyNumberFormat="1" applyFont="1" applyFill="1" applyBorder="1"/>
    <xf numFmtId="0" fontId="91" fillId="11" borderId="20" xfId="0" applyFont="1" applyFill="1" applyBorder="1" applyAlignment="1">
      <alignment horizontal="center" wrapText="1"/>
    </xf>
    <xf numFmtId="0" fontId="91" fillId="0" borderId="20" xfId="0" applyFont="1" applyFill="1" applyBorder="1" applyAlignment="1">
      <alignment horizontal="center" wrapText="1"/>
    </xf>
    <xf numFmtId="0" fontId="91" fillId="0" borderId="20" xfId="0" applyFont="1" applyFill="1" applyBorder="1" applyAlignment="1">
      <alignment horizontal="center"/>
    </xf>
    <xf numFmtId="3" fontId="36" fillId="0" borderId="0" xfId="3" applyNumberFormat="1" applyFont="1" applyFill="1" applyBorder="1"/>
    <xf numFmtId="3" fontId="36" fillId="0" borderId="0" xfId="3" applyNumberFormat="1" applyFont="1"/>
    <xf numFmtId="0" fontId="36" fillId="11" borderId="0" xfId="3" applyFill="1" applyAlignment="1">
      <alignment horizontal="center"/>
    </xf>
    <xf numFmtId="0" fontId="12" fillId="0" borderId="20" xfId="0" applyFont="1" applyBorder="1" applyAlignment="1">
      <alignment horizontal="center"/>
    </xf>
    <xf numFmtId="0" fontId="49" fillId="12" borderId="19" xfId="0" applyFont="1" applyFill="1" applyBorder="1" applyAlignment="1">
      <alignment horizontal="center"/>
    </xf>
    <xf numFmtId="0" fontId="12" fillId="8" borderId="16" xfId="0" applyFont="1" applyFill="1" applyBorder="1" applyAlignment="1">
      <alignment horizontal="center"/>
    </xf>
    <xf numFmtId="186" fontId="101" fillId="0" borderId="0" xfId="0" applyNumberFormat="1" applyFont="1" applyFill="1" applyBorder="1" applyAlignment="1">
      <alignment horizontal="center"/>
    </xf>
    <xf numFmtId="186" fontId="101" fillId="0" borderId="28" xfId="0" applyNumberFormat="1" applyFont="1" applyFill="1" applyBorder="1" applyAlignment="1">
      <alignment horizontal="center"/>
    </xf>
    <xf numFmtId="0" fontId="12" fillId="0" borderId="45" xfId="0" applyFont="1" applyBorder="1" applyAlignment="1">
      <alignment horizontal="center"/>
    </xf>
    <xf numFmtId="37" fontId="96" fillId="0" borderId="2" xfId="0" applyNumberFormat="1" applyFont="1" applyBorder="1" applyAlignment="1" applyProtection="1">
      <alignment horizontal="center"/>
    </xf>
    <xf numFmtId="37" fontId="96" fillId="0" borderId="3" xfId="0" applyNumberFormat="1" applyFont="1" applyBorder="1" applyAlignment="1" applyProtection="1">
      <alignment horizontal="center"/>
    </xf>
    <xf numFmtId="177" fontId="110" fillId="0" borderId="0" xfId="0" applyNumberFormat="1" applyFont="1" applyFill="1" applyAlignment="1">
      <alignment horizontal="center"/>
    </xf>
    <xf numFmtId="0" fontId="107" fillId="0" borderId="20" xfId="0" applyFont="1" applyBorder="1" applyAlignment="1">
      <alignment horizontal="center"/>
    </xf>
    <xf numFmtId="0" fontId="109" fillId="0" borderId="20" xfId="0" applyFont="1" applyBorder="1" applyAlignment="1">
      <alignment horizontal="center"/>
    </xf>
    <xf numFmtId="0" fontId="108" fillId="0" borderId="19" xfId="0" applyFont="1" applyBorder="1" applyAlignment="1">
      <alignment horizontal="center"/>
    </xf>
    <xf numFmtId="0" fontId="17" fillId="0" borderId="20" xfId="0" applyFont="1" applyBorder="1" applyAlignment="1">
      <alignment horizontal="center"/>
    </xf>
    <xf numFmtId="0" fontId="1" fillId="0" borderId="20" xfId="0" applyFont="1" applyBorder="1" applyAlignment="1">
      <alignment horizontal="center"/>
    </xf>
    <xf numFmtId="0" fontId="82" fillId="8" borderId="19" xfId="0" applyFont="1" applyFill="1" applyBorder="1" applyAlignment="1" applyProtection="1">
      <alignment horizontal="center"/>
    </xf>
  </cellXfs>
  <cellStyles count="9">
    <cellStyle name="Comma" xfId="1" builtinId="3"/>
    <cellStyle name="Hyperlink 2" xfId="7" xr:uid="{00000000-0005-0000-0000-000001000000}"/>
    <cellStyle name="Normal" xfId="0" builtinId="0"/>
    <cellStyle name="Normal 2" xfId="8" xr:uid="{00000000-0005-0000-0000-000003000000}"/>
    <cellStyle name="Normal 3" xfId="5" xr:uid="{00000000-0005-0000-0000-000004000000}"/>
    <cellStyle name="Normal_FINAL_2010 Copper and Bering River Wild Coho" xfId="2" xr:uid="{00000000-0005-0000-0000-000005000000}"/>
    <cellStyle name="Normal_Pink_hat" xfId="3" xr:uid="{00000000-0005-0000-0000-000006000000}"/>
    <cellStyle name="Percent" xfId="4" builtinId="5"/>
    <cellStyle name="Percent 2" xfId="6" xr:uid="{00000000-0005-0000-0000-000008000000}"/>
  </cellStyles>
  <dxfs count="15">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3333FF"/>
      <color rgb="FFCC3300"/>
      <color rgb="FF0000FF"/>
      <color rgb="FFFF7C8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calcChain" Target="calcChain.xml"/><Relationship Id="rId3" Type="http://schemas.openxmlformats.org/officeDocument/2006/relationships/worksheet" Target="worksheets/sheet2.xml"/><Relationship Id="rId21" Type="http://schemas.openxmlformats.org/officeDocument/2006/relationships/worksheet" Target="worksheets/sheet20.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chartsheet" Target="chartsheets/sheet1.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theme" Target="theme/theme1.xml"/><Relationship Id="rId10" Type="http://schemas.openxmlformats.org/officeDocument/2006/relationships/worksheet" Target="worksheets/sheet9.xml"/><Relationship Id="rId19" Type="http://schemas.openxmlformats.org/officeDocument/2006/relationships/worksheet" Target="worksheets/sheet18.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latin typeface="Arial" panose="020B0604020202020204" pitchFamily="34" charset="0"/>
                <a:cs typeface="Arial" panose="020B0604020202020204" pitchFamily="34" charset="0"/>
              </a:defRPr>
            </a:pPr>
            <a:r>
              <a:rPr lang="en-US" sz="2400">
                <a:latin typeface="Arial" panose="020B0604020202020204" pitchFamily="34" charset="0"/>
                <a:cs typeface="Arial" panose="020B0604020202020204" pitchFamily="34" charset="0"/>
              </a:rPr>
              <a:t>Prince William Sound Pink Salmon </a:t>
            </a:r>
          </a:p>
          <a:p>
            <a:pPr>
              <a:defRPr sz="2400">
                <a:latin typeface="Arial" panose="020B0604020202020204" pitchFamily="34" charset="0"/>
                <a:cs typeface="Arial" panose="020B0604020202020204" pitchFamily="34" charset="0"/>
              </a:defRPr>
            </a:pPr>
            <a:r>
              <a:rPr lang="en-US" sz="2400">
                <a:latin typeface="Arial" panose="020B0604020202020204" pitchFamily="34" charset="0"/>
                <a:cs typeface="Arial" panose="020B0604020202020204" pitchFamily="34" charset="0"/>
              </a:rPr>
              <a:t>Natural</a:t>
            </a:r>
            <a:r>
              <a:rPr lang="en-US" sz="2400" baseline="0">
                <a:latin typeface="Arial" panose="020B0604020202020204" pitchFamily="34" charset="0"/>
                <a:cs typeface="Arial" panose="020B0604020202020204" pitchFamily="34" charset="0"/>
              </a:rPr>
              <a:t> Stocks </a:t>
            </a:r>
            <a:r>
              <a:rPr lang="en-US" sz="2400">
                <a:latin typeface="Arial" panose="020B0604020202020204" pitchFamily="34" charset="0"/>
                <a:cs typeface="Arial" panose="020B0604020202020204" pitchFamily="34" charset="0"/>
              </a:rPr>
              <a:t>Total Run</a:t>
            </a:r>
          </a:p>
        </c:rich>
      </c:tx>
      <c:layout>
        <c:manualLayout>
          <c:xMode val="edge"/>
          <c:yMode val="edge"/>
          <c:x val="0.21438533549440217"/>
          <c:y val="3.0279895913453859E-2"/>
        </c:manualLayout>
      </c:layout>
      <c:overlay val="1"/>
    </c:title>
    <c:autoTitleDeleted val="0"/>
    <c:plotArea>
      <c:layout>
        <c:manualLayout>
          <c:layoutTarget val="inner"/>
          <c:xMode val="edge"/>
          <c:yMode val="edge"/>
          <c:x val="0.15717576842705966"/>
          <c:y val="2.4887556984695539E-2"/>
          <c:w val="0.82670566352483421"/>
          <c:h val="0.83981966851699874"/>
        </c:manualLayout>
      </c:layout>
      <c:barChart>
        <c:barDir val="col"/>
        <c:grouping val="clustered"/>
        <c:varyColors val="0"/>
        <c:ser>
          <c:idx val="0"/>
          <c:order val="0"/>
          <c:tx>
            <c:v>Even Years</c:v>
          </c:tx>
          <c:spPr>
            <a:solidFill>
              <a:srgbClr val="FFC000"/>
            </a:solidFill>
          </c:spPr>
          <c:invertIfNegative val="0"/>
          <c:cat>
            <c:numRef>
              <c:f>Database!$AG$74:$AG$131</c:f>
              <c:numCache>
                <c:formatCode>General</c:formatCode>
                <c:ptCount val="58"/>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numCache>
            </c:numRef>
          </c:cat>
          <c:val>
            <c:numRef>
              <c:f>Database!$AH$74:$AH$131</c:f>
              <c:numCache>
                <c:formatCode>#,##0</c:formatCode>
                <c:ptCount val="58"/>
                <c:pt idx="0">
                  <c:v>3192618</c:v>
                </c:pt>
                <c:pt idx="2">
                  <c:v>8760326</c:v>
                </c:pt>
                <c:pt idx="4">
                  <c:v>6048576</c:v>
                </c:pt>
                <c:pt idx="6">
                  <c:v>4122588</c:v>
                </c:pt>
                <c:pt idx="8">
                  <c:v>3608678</c:v>
                </c:pt>
                <c:pt idx="10">
                  <c:v>3789216</c:v>
                </c:pt>
                <c:pt idx="12">
                  <c:v>695963</c:v>
                </c:pt>
                <c:pt idx="14">
                  <c:v>1012903</c:v>
                </c:pt>
                <c:pt idx="16">
                  <c:v>1161051</c:v>
                </c:pt>
                <c:pt idx="18">
                  <c:v>3925083</c:v>
                </c:pt>
                <c:pt idx="20">
                  <c:v>14013916</c:v>
                </c:pt>
                <c:pt idx="22">
                  <c:v>16794317</c:v>
                </c:pt>
                <c:pt idx="24">
                  <c:v>21201513</c:v>
                </c:pt>
                <c:pt idx="26">
                  <c:v>5563957</c:v>
                </c:pt>
                <c:pt idx="28">
                  <c:v>1766936</c:v>
                </c:pt>
                <c:pt idx="30">
                  <c:v>12923662</c:v>
                </c:pt>
                <c:pt idx="32">
                  <c:v>1405383</c:v>
                </c:pt>
                <c:pt idx="34">
                  <c:v>4666639</c:v>
                </c:pt>
                <c:pt idx="36">
                  <c:v>4500085</c:v>
                </c:pt>
                <c:pt idx="38">
                  <c:v>5274275.5</c:v>
                </c:pt>
                <c:pt idx="40">
                  <c:v>7389941</c:v>
                </c:pt>
                <c:pt idx="42">
                  <c:v>1264645.3102025923</c:v>
                </c:pt>
                <c:pt idx="44">
                  <c:v>4939431.0563474381</c:v>
                </c:pt>
                <c:pt idx="46">
                  <c:v>3314702.7753436686</c:v>
                </c:pt>
                <c:pt idx="48">
                  <c:v>2290691.6775990888</c:v>
                </c:pt>
                <c:pt idx="50">
                  <c:v>4399390.7272172375</c:v>
                </c:pt>
                <c:pt idx="52">
                  <c:v>4428267.5450134957</c:v>
                </c:pt>
                <c:pt idx="54">
                  <c:v>2702397</c:v>
                </c:pt>
                <c:pt idx="56">
                  <c:v>3508986.4174955119</c:v>
                </c:pt>
              </c:numCache>
            </c:numRef>
          </c:val>
          <c:extLst>
            <c:ext xmlns:c16="http://schemas.microsoft.com/office/drawing/2014/chart" uri="{C3380CC4-5D6E-409C-BE32-E72D297353CC}">
              <c16:uniqueId val="{00000000-293A-5C4B-8967-1A2A564CC6FB}"/>
            </c:ext>
          </c:extLst>
        </c:ser>
        <c:ser>
          <c:idx val="1"/>
          <c:order val="1"/>
          <c:tx>
            <c:v>Odd Years</c:v>
          </c:tx>
          <c:spPr>
            <a:solidFill>
              <a:schemeClr val="tx1"/>
            </a:solidFill>
          </c:spPr>
          <c:invertIfNegative val="0"/>
          <c:dPt>
            <c:idx val="57"/>
            <c:invertIfNegative val="0"/>
            <c:bubble3D val="0"/>
            <c:spPr>
              <a:noFill/>
              <a:ln w="19050">
                <a:solidFill>
                  <a:srgbClr val="FF0000"/>
                </a:solidFill>
              </a:ln>
            </c:spPr>
            <c:extLst>
              <c:ext xmlns:c16="http://schemas.microsoft.com/office/drawing/2014/chart" uri="{C3380CC4-5D6E-409C-BE32-E72D297353CC}">
                <c16:uniqueId val="{00000002-293A-5C4B-8967-1A2A564CC6FB}"/>
              </c:ext>
            </c:extLst>
          </c:dPt>
          <c:errBars>
            <c:errBarType val="both"/>
            <c:errValType val="cust"/>
            <c:noEndCap val="1"/>
            <c:plus>
              <c:numRef>
                <c:f>Database!$AJ$74:$AJ$131</c:f>
                <c:numCache>
                  <c:formatCode>General</c:formatCode>
                  <c:ptCount val="58"/>
                  <c:pt idx="57">
                    <c:v>10229916.52745707</c:v>
                  </c:pt>
                </c:numCache>
              </c:numRef>
            </c:plus>
            <c:minus>
              <c:numRef>
                <c:f>Database!$AK$74:$AK$131</c:f>
                <c:numCache>
                  <c:formatCode>General</c:formatCode>
                  <c:ptCount val="58"/>
                  <c:pt idx="57">
                    <c:v>8424736.3459612094</c:v>
                  </c:pt>
                </c:numCache>
              </c:numRef>
            </c:minus>
            <c:spPr>
              <a:ln w="31750">
                <a:noFill/>
              </a:ln>
            </c:spPr>
          </c:errBars>
          <c:val>
            <c:numRef>
              <c:f>Database!$AI$74:$AI$131</c:f>
              <c:numCache>
                <c:formatCode>#,##0</c:formatCode>
                <c:ptCount val="58"/>
                <c:pt idx="1">
                  <c:v>4497198</c:v>
                </c:pt>
                <c:pt idx="3">
                  <c:v>6651118</c:v>
                </c:pt>
                <c:pt idx="5">
                  <c:v>3436427</c:v>
                </c:pt>
                <c:pt idx="7">
                  <c:v>3468600</c:v>
                </c:pt>
                <c:pt idx="9">
                  <c:v>5233149</c:v>
                </c:pt>
                <c:pt idx="11">
                  <c:v>8423514</c:v>
                </c:pt>
                <c:pt idx="13">
                  <c:v>8535974</c:v>
                </c:pt>
                <c:pt idx="15">
                  <c:v>3322438</c:v>
                </c:pt>
                <c:pt idx="17">
                  <c:v>5816401</c:v>
                </c:pt>
                <c:pt idx="19">
                  <c:v>17335503</c:v>
                </c:pt>
                <c:pt idx="21">
                  <c:v>19568866</c:v>
                </c:pt>
                <c:pt idx="23">
                  <c:v>11567348</c:v>
                </c:pt>
                <c:pt idx="25">
                  <c:v>19938105</c:v>
                </c:pt>
                <c:pt idx="27">
                  <c:v>13066944</c:v>
                </c:pt>
                <c:pt idx="29">
                  <c:v>4743750</c:v>
                </c:pt>
                <c:pt idx="31">
                  <c:v>7544776</c:v>
                </c:pt>
                <c:pt idx="33">
                  <c:v>1542942</c:v>
                </c:pt>
                <c:pt idx="35">
                  <c:v>3934208</c:v>
                </c:pt>
                <c:pt idx="37">
                  <c:v>2588682</c:v>
                </c:pt>
                <c:pt idx="39">
                  <c:v>9405198</c:v>
                </c:pt>
                <c:pt idx="41">
                  <c:v>8854676.9808041956</c:v>
                </c:pt>
                <c:pt idx="43">
                  <c:v>7344511.9398193061</c:v>
                </c:pt>
                <c:pt idx="45">
                  <c:v>17032487.685321052</c:v>
                </c:pt>
                <c:pt idx="47">
                  <c:v>11526987.795003444</c:v>
                </c:pt>
                <c:pt idx="49">
                  <c:v>2824330.6070667375</c:v>
                </c:pt>
                <c:pt idx="51">
                  <c:v>9643099</c:v>
                </c:pt>
                <c:pt idx="53">
                  <c:v>21965453</c:v>
                </c:pt>
                <c:pt idx="55">
                  <c:v>16870000</c:v>
                </c:pt>
                <c:pt idx="57">
                  <c:v>22000000</c:v>
                </c:pt>
              </c:numCache>
            </c:numRef>
          </c:val>
          <c:extLst>
            <c:ext xmlns:c16="http://schemas.microsoft.com/office/drawing/2014/chart" uri="{C3380CC4-5D6E-409C-BE32-E72D297353CC}">
              <c16:uniqueId val="{00000003-293A-5C4B-8967-1A2A564CC6FB}"/>
            </c:ext>
          </c:extLst>
        </c:ser>
        <c:dLbls>
          <c:showLegendKey val="0"/>
          <c:showVal val="0"/>
          <c:showCatName val="0"/>
          <c:showSerName val="0"/>
          <c:showPercent val="0"/>
          <c:showBubbleSize val="0"/>
        </c:dLbls>
        <c:gapWidth val="12"/>
        <c:overlap val="87"/>
        <c:axId val="179089408"/>
        <c:axId val="179091328"/>
      </c:barChart>
      <c:catAx>
        <c:axId val="179089408"/>
        <c:scaling>
          <c:orientation val="minMax"/>
        </c:scaling>
        <c:delete val="0"/>
        <c:axPos val="b"/>
        <c:title>
          <c:tx>
            <c:rich>
              <a:bodyPr/>
              <a:lstStyle/>
              <a:p>
                <a:pPr>
                  <a:defRPr sz="1600">
                    <a:latin typeface="Arial" panose="020B0604020202020204" pitchFamily="34" charset="0"/>
                    <a:cs typeface="Arial" panose="020B0604020202020204" pitchFamily="34" charset="0"/>
                  </a:defRPr>
                </a:pPr>
                <a:r>
                  <a:rPr lang="en-US" sz="1600">
                    <a:latin typeface="Arial" panose="020B0604020202020204" pitchFamily="34" charset="0"/>
                    <a:cs typeface="Arial" panose="020B0604020202020204" pitchFamily="34" charset="0"/>
                  </a:rPr>
                  <a:t>Year</a:t>
                </a:r>
              </a:p>
            </c:rich>
          </c:tx>
          <c:overlay val="0"/>
        </c:title>
        <c:numFmt formatCode="General" sourceLinked="1"/>
        <c:majorTickMark val="out"/>
        <c:minorTickMark val="none"/>
        <c:tickLblPos val="nextTo"/>
        <c:txPr>
          <a:bodyPr/>
          <a:lstStyle/>
          <a:p>
            <a:pPr>
              <a:defRPr sz="1600">
                <a:latin typeface="Arial" panose="020B0604020202020204" pitchFamily="34" charset="0"/>
                <a:cs typeface="Arial" panose="020B0604020202020204" pitchFamily="34" charset="0"/>
              </a:defRPr>
            </a:pPr>
            <a:endParaRPr lang="en-US"/>
          </a:p>
        </c:txPr>
        <c:crossAx val="179091328"/>
        <c:crosses val="autoZero"/>
        <c:auto val="1"/>
        <c:lblAlgn val="ctr"/>
        <c:lblOffset val="100"/>
        <c:noMultiLvlLbl val="0"/>
      </c:catAx>
      <c:valAx>
        <c:axId val="179091328"/>
        <c:scaling>
          <c:orientation val="minMax"/>
        </c:scaling>
        <c:delete val="0"/>
        <c:axPos val="l"/>
        <c:majorGridlines>
          <c:spPr>
            <a:ln>
              <a:prstDash val="dash"/>
            </a:ln>
          </c:spPr>
        </c:majorGridlines>
        <c:title>
          <c:tx>
            <c:rich>
              <a:bodyPr rot="-5400000" vert="horz"/>
              <a:lstStyle/>
              <a:p>
                <a:pPr>
                  <a:defRPr sz="1600">
                    <a:latin typeface="Arial" panose="020B0604020202020204" pitchFamily="34" charset="0"/>
                    <a:cs typeface="Arial" panose="020B0604020202020204" pitchFamily="34" charset="0"/>
                  </a:defRPr>
                </a:pPr>
                <a:r>
                  <a:rPr lang="en-US" sz="1600">
                    <a:latin typeface="Arial" panose="020B0604020202020204" pitchFamily="34" charset="0"/>
                    <a:cs typeface="Arial" panose="020B0604020202020204" pitchFamily="34" charset="0"/>
                  </a:rPr>
                  <a:t>Total Run (Harvest + Escapement Index)</a:t>
                </a:r>
              </a:p>
            </c:rich>
          </c:tx>
          <c:layout>
            <c:manualLayout>
              <c:xMode val="edge"/>
              <c:yMode val="edge"/>
              <c:x val="5.2751677248346973E-3"/>
              <c:y val="0.17513349428117878"/>
            </c:manualLayout>
          </c:layout>
          <c:overlay val="0"/>
        </c:title>
        <c:numFmt formatCode="#,##0" sourceLinked="1"/>
        <c:majorTickMark val="out"/>
        <c:minorTickMark val="none"/>
        <c:tickLblPos val="nextTo"/>
        <c:txPr>
          <a:bodyPr/>
          <a:lstStyle/>
          <a:p>
            <a:pPr>
              <a:defRPr sz="1400">
                <a:latin typeface="Arial" panose="020B0604020202020204" pitchFamily="34" charset="0"/>
                <a:cs typeface="Arial" panose="020B0604020202020204" pitchFamily="34" charset="0"/>
              </a:defRPr>
            </a:pPr>
            <a:endParaRPr lang="en-US"/>
          </a:p>
        </c:txPr>
        <c:crossAx val="179089408"/>
        <c:crosses val="autoZero"/>
        <c:crossBetween val="between"/>
      </c:valAx>
      <c:spPr>
        <a:solidFill>
          <a:schemeClr val="bg1"/>
        </a:solidFill>
      </c:spPr>
    </c:plotArea>
    <c:legend>
      <c:legendPos val="r"/>
      <c:layout>
        <c:manualLayout>
          <c:xMode val="edge"/>
          <c:yMode val="edge"/>
          <c:x val="0.16050136246321256"/>
          <c:y val="0.28780944088855426"/>
          <c:w val="0.17131072572439232"/>
          <c:h val="9.5240442343699119E-2"/>
        </c:manualLayout>
      </c:layout>
      <c:overlay val="1"/>
      <c:txPr>
        <a:bodyPr/>
        <a:lstStyle/>
        <a:p>
          <a:pPr>
            <a:defRPr sz="1800">
              <a:latin typeface="Arial" panose="020B0604020202020204" pitchFamily="34" charset="0"/>
              <a:cs typeface="Arial" panose="020B0604020202020204" pitchFamily="34" charset="0"/>
            </a:defRPr>
          </a:pPr>
          <a:endParaRPr lang="en-US"/>
        </a:p>
      </c:txPr>
    </c:legend>
    <c:plotVisOnly val="1"/>
    <c:dispBlanksAs val="gap"/>
    <c:showDLblsOverMax val="0"/>
  </c:chart>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264"/>
          <c:y val="3.8668176511380895E-2"/>
          <c:w val="0.90598887446313048"/>
          <c:h val="0.78317698116659362"/>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'Lag1_Exp_smooth_Total Run Odd'!$A$10:$A$35</c:f>
              <c:numCache>
                <c:formatCode>General</c:formatCode>
                <c:ptCount val="26"/>
                <c:pt idx="0">
                  <c:v>1965</c:v>
                </c:pt>
                <c:pt idx="1">
                  <c:v>1967</c:v>
                </c:pt>
                <c:pt idx="2">
                  <c:v>1969</c:v>
                </c:pt>
                <c:pt idx="3">
                  <c:v>1971</c:v>
                </c:pt>
                <c:pt idx="4">
                  <c:v>1973</c:v>
                </c:pt>
                <c:pt idx="5">
                  <c:v>1975</c:v>
                </c:pt>
                <c:pt idx="6">
                  <c:v>1977</c:v>
                </c:pt>
                <c:pt idx="7">
                  <c:v>1979</c:v>
                </c:pt>
                <c:pt idx="8">
                  <c:v>1981</c:v>
                </c:pt>
                <c:pt idx="9">
                  <c:v>1983</c:v>
                </c:pt>
                <c:pt idx="10">
                  <c:v>1985</c:v>
                </c:pt>
                <c:pt idx="11">
                  <c:v>1987</c:v>
                </c:pt>
                <c:pt idx="12">
                  <c:v>1989</c:v>
                </c:pt>
                <c:pt idx="13">
                  <c:v>1991</c:v>
                </c:pt>
                <c:pt idx="14">
                  <c:v>1993</c:v>
                </c:pt>
                <c:pt idx="15">
                  <c:v>1995</c:v>
                </c:pt>
                <c:pt idx="16">
                  <c:v>1997</c:v>
                </c:pt>
                <c:pt idx="17">
                  <c:v>1999</c:v>
                </c:pt>
                <c:pt idx="18">
                  <c:v>2001</c:v>
                </c:pt>
                <c:pt idx="19">
                  <c:v>2003</c:v>
                </c:pt>
                <c:pt idx="20">
                  <c:v>2005</c:v>
                </c:pt>
                <c:pt idx="21">
                  <c:v>2007</c:v>
                </c:pt>
                <c:pt idx="22">
                  <c:v>2009</c:v>
                </c:pt>
                <c:pt idx="23">
                  <c:v>2011</c:v>
                </c:pt>
                <c:pt idx="24">
                  <c:v>2013</c:v>
                </c:pt>
                <c:pt idx="25">
                  <c:v>2015</c:v>
                </c:pt>
              </c:numCache>
            </c:numRef>
          </c:cat>
          <c:val>
            <c:numRef>
              <c:f>'Lag1_Exp_smooth_Total Run Odd'!$B$10:$B$35</c:f>
              <c:numCache>
                <c:formatCode>#,##0</c:formatCode>
                <c:ptCount val="26"/>
                <c:pt idx="0">
                  <c:v>3436427</c:v>
                </c:pt>
                <c:pt idx="1">
                  <c:v>3468600</c:v>
                </c:pt>
                <c:pt idx="2">
                  <c:v>5233149</c:v>
                </c:pt>
                <c:pt idx="3">
                  <c:v>8423514</c:v>
                </c:pt>
                <c:pt idx="4">
                  <c:v>8535974</c:v>
                </c:pt>
                <c:pt idx="5">
                  <c:v>3322438</c:v>
                </c:pt>
                <c:pt idx="6">
                  <c:v>5816401</c:v>
                </c:pt>
                <c:pt idx="7">
                  <c:v>17335503</c:v>
                </c:pt>
                <c:pt idx="8">
                  <c:v>19568866</c:v>
                </c:pt>
                <c:pt idx="9">
                  <c:v>11567348</c:v>
                </c:pt>
                <c:pt idx="10">
                  <c:v>19938105</c:v>
                </c:pt>
                <c:pt idx="11">
                  <c:v>13066944</c:v>
                </c:pt>
                <c:pt idx="12">
                  <c:v>4743750</c:v>
                </c:pt>
                <c:pt idx="13">
                  <c:v>7544776</c:v>
                </c:pt>
                <c:pt idx="14">
                  <c:v>1542942</c:v>
                </c:pt>
                <c:pt idx="15">
                  <c:v>3934208</c:v>
                </c:pt>
                <c:pt idx="16">
                  <c:v>2588682</c:v>
                </c:pt>
                <c:pt idx="17">
                  <c:v>9405198</c:v>
                </c:pt>
                <c:pt idx="18">
                  <c:v>8854676.9808041956</c:v>
                </c:pt>
                <c:pt idx="19">
                  <c:v>7344511.9398193061</c:v>
                </c:pt>
                <c:pt idx="20">
                  <c:v>17032487.685321052</c:v>
                </c:pt>
                <c:pt idx="21">
                  <c:v>11526987.795003444</c:v>
                </c:pt>
                <c:pt idx="22">
                  <c:v>2824330.6070667375</c:v>
                </c:pt>
                <c:pt idx="23">
                  <c:v>9643099</c:v>
                </c:pt>
                <c:pt idx="24">
                  <c:v>21965453</c:v>
                </c:pt>
              </c:numCache>
            </c:numRef>
          </c:val>
          <c:extLst>
            <c:ext xmlns:c16="http://schemas.microsoft.com/office/drawing/2014/chart" uri="{C3380CC4-5D6E-409C-BE32-E72D297353CC}">
              <c16:uniqueId val="{00000000-FA5B-8848-9AF5-70B00E39266A}"/>
            </c:ext>
          </c:extLst>
        </c:ser>
        <c:dLbls>
          <c:showLegendKey val="0"/>
          <c:showVal val="0"/>
          <c:showCatName val="0"/>
          <c:showSerName val="0"/>
          <c:showPercent val="0"/>
          <c:showBubbleSize val="0"/>
        </c:dLbls>
        <c:gapWidth val="150"/>
        <c:axId val="179265536"/>
        <c:axId val="179267456"/>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'Lag1_Exp_smooth_Total Run Odd'!$C$10:$C$35</c:f>
              <c:numCache>
                <c:formatCode>#,##0</c:formatCode>
                <c:ptCount val="26"/>
                <c:pt idx="0">
                  <c:v>5841717.1713072099</c:v>
                </c:pt>
                <c:pt idx="1">
                  <c:v>4340287.8016559016</c:v>
                </c:pt>
                <c:pt idx="2">
                  <c:v>3796163.1541662095</c:v>
                </c:pt>
                <c:pt idx="3">
                  <c:v>4693157.9444186967</c:v>
                </c:pt>
                <c:pt idx="4">
                  <c:v>7021719.4659844963</c:v>
                </c:pt>
                <c:pt idx="5">
                  <c:v>7966946.8891119622</c:v>
                </c:pt>
                <c:pt idx="6">
                  <c:v>5067753.213061884</c:v>
                </c:pt>
                <c:pt idx="7">
                  <c:v>5535073.8666121606</c:v>
                </c:pt>
                <c:pt idx="8">
                  <c:v>12901133.515759796</c:v>
                </c:pt>
                <c:pt idx="9">
                  <c:v>17063263.100056708</c:v>
                </c:pt>
                <c:pt idx="10">
                  <c:v>13632604.943809945</c:v>
                </c:pt>
                <c:pt idx="11">
                  <c:v>17568621.931546822</c:v>
                </c:pt>
                <c:pt idx="12">
                  <c:v>14758586.144695275</c:v>
                </c:pt>
                <c:pt idx="13">
                  <c:v>8507128.7117157839</c:v>
                </c:pt>
                <c:pt idx="14">
                  <c:v>7906409.2465261053</c:v>
                </c:pt>
                <c:pt idx="15">
                  <c:v>3934207.9999896269</c:v>
                </c:pt>
                <c:pt idx="16">
                  <c:v>3934207.9999961024</c:v>
                </c:pt>
                <c:pt idx="17">
                  <c:v>3094304.2419702401</c:v>
                </c:pt>
                <c:pt idx="18">
                  <c:v>7033688.0843385812</c:v>
                </c:pt>
                <c:pt idx="19">
                  <c:v>8170385.1213852586</c:v>
                </c:pt>
                <c:pt idx="20">
                  <c:v>7654858.8596467059</c:v>
                </c:pt>
                <c:pt idx="21">
                  <c:v>13508558.968064046</c:v>
                </c:pt>
                <c:pt idx="22">
                  <c:v>12271623.319808912</c:v>
                </c:pt>
                <c:pt idx="23">
                  <c:v>6374437.6447454216</c:v>
                </c:pt>
                <c:pt idx="24">
                  <c:v>8414800.2657577097</c:v>
                </c:pt>
                <c:pt idx="25">
                  <c:v>16873383.86445925</c:v>
                </c:pt>
              </c:numCache>
            </c:numRef>
          </c:val>
          <c:smooth val="0"/>
          <c:extLst>
            <c:ext xmlns:c16="http://schemas.microsoft.com/office/drawing/2014/chart" uri="{C3380CC4-5D6E-409C-BE32-E72D297353CC}">
              <c16:uniqueId val="{00000001-FA5B-8848-9AF5-70B00E39266A}"/>
            </c:ext>
          </c:extLst>
        </c:ser>
        <c:dLbls>
          <c:showLegendKey val="0"/>
          <c:showVal val="0"/>
          <c:showCatName val="0"/>
          <c:showSerName val="0"/>
          <c:showPercent val="0"/>
          <c:showBubbleSize val="0"/>
        </c:dLbls>
        <c:marker val="1"/>
        <c:smooth val="0"/>
        <c:axId val="179268992"/>
        <c:axId val="179278976"/>
      </c:lineChart>
      <c:catAx>
        <c:axId val="1792655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79267456"/>
        <c:crosses val="autoZero"/>
        <c:auto val="0"/>
        <c:lblAlgn val="ctr"/>
        <c:lblOffset val="100"/>
        <c:tickLblSkip val="5"/>
        <c:tickMarkSkip val="1"/>
        <c:noMultiLvlLbl val="0"/>
      </c:catAx>
      <c:valAx>
        <c:axId val="179267456"/>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79265536"/>
        <c:crosses val="autoZero"/>
        <c:crossBetween val="between"/>
      </c:valAx>
      <c:catAx>
        <c:axId val="179268992"/>
        <c:scaling>
          <c:orientation val="minMax"/>
        </c:scaling>
        <c:delete val="1"/>
        <c:axPos val="b"/>
        <c:majorTickMark val="out"/>
        <c:minorTickMark val="none"/>
        <c:tickLblPos val="nextTo"/>
        <c:crossAx val="179278976"/>
        <c:crosses val="autoZero"/>
        <c:auto val="0"/>
        <c:lblAlgn val="ctr"/>
        <c:lblOffset val="100"/>
        <c:noMultiLvlLbl val="0"/>
      </c:catAx>
      <c:valAx>
        <c:axId val="179278976"/>
        <c:scaling>
          <c:orientation val="minMax"/>
        </c:scaling>
        <c:delete val="1"/>
        <c:axPos val="l"/>
        <c:numFmt formatCode="#,##0" sourceLinked="1"/>
        <c:majorTickMark val="out"/>
        <c:minorTickMark val="none"/>
        <c:tickLblPos val="nextTo"/>
        <c:crossAx val="179268992"/>
        <c:crosses val="autoZero"/>
        <c:crossBetween val="between"/>
      </c:valAx>
      <c:spPr>
        <a:solidFill>
          <a:srgbClr val="FFFFFF"/>
        </a:solidFill>
        <a:ln w="25400">
          <a:noFill/>
        </a:ln>
      </c:spPr>
    </c:plotArea>
    <c:legend>
      <c:legendPos val="r"/>
      <c:layout>
        <c:manualLayout>
          <c:xMode val="edge"/>
          <c:yMode val="edge"/>
          <c:x val="0.65973813618125321"/>
          <c:y val="4.7061670482679029E-2"/>
          <c:w val="0.25860608803209939"/>
          <c:h val="0.23237219461042544"/>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299"/>
          <c:y val="4.2701998788612971E-2"/>
          <c:w val="0.84709229022752541"/>
          <c:h val="0.91459600242277428"/>
        </c:manualLayout>
      </c:layout>
      <c:barChart>
        <c:barDir val="col"/>
        <c:grouping val="clustered"/>
        <c:varyColors val="0"/>
        <c:ser>
          <c:idx val="0"/>
          <c:order val="0"/>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5B9F-DC43-9FE9-1FDD24430723}"/>
                </c:ext>
              </c:extLst>
            </c:dLbl>
            <c:dLbl>
              <c:idx val="3"/>
              <c:delete val="1"/>
              <c:extLst>
                <c:ext xmlns:c15="http://schemas.microsoft.com/office/drawing/2012/chart" uri="{CE6537A1-D6FC-4f65-9D91-7224C49458BB}"/>
                <c:ext xmlns:c16="http://schemas.microsoft.com/office/drawing/2014/chart" uri="{C3380CC4-5D6E-409C-BE32-E72D297353CC}">
                  <c16:uniqueId val="{00000001-5B9F-DC43-9FE9-1FDD24430723}"/>
                </c:ext>
              </c:extLst>
            </c:dLbl>
            <c:dLbl>
              <c:idx val="17"/>
              <c:delete val="1"/>
              <c:extLst>
                <c:ext xmlns:c15="http://schemas.microsoft.com/office/drawing/2012/chart" uri="{CE6537A1-D6FC-4f65-9D91-7224C49458BB}"/>
                <c:ext xmlns:c16="http://schemas.microsoft.com/office/drawing/2014/chart" uri="{C3380CC4-5D6E-409C-BE32-E72D297353CC}">
                  <c16:uniqueId val="{00000002-5B9F-DC43-9FE9-1FDD24430723}"/>
                </c:ext>
              </c:extLst>
            </c:dLbl>
            <c:dLbl>
              <c:idx val="21"/>
              <c:delete val="1"/>
              <c:extLst>
                <c:ext xmlns:c15="http://schemas.microsoft.com/office/drawing/2012/chart" uri="{CE6537A1-D6FC-4f65-9D91-7224C49458BB}"/>
                <c:ext xmlns:c16="http://schemas.microsoft.com/office/drawing/2014/chart" uri="{C3380CC4-5D6E-409C-BE32-E72D297353CC}">
                  <c16:uniqueId val="{00000003-5B9F-DC43-9FE9-1FDD24430723}"/>
                </c:ext>
              </c:extLst>
            </c:dLbl>
            <c:dLbl>
              <c:idx val="34"/>
              <c:delete val="1"/>
              <c:extLst>
                <c:ext xmlns:c15="http://schemas.microsoft.com/office/drawing/2012/chart" uri="{CE6537A1-D6FC-4f65-9D91-7224C49458BB}"/>
                <c:ext xmlns:c16="http://schemas.microsoft.com/office/drawing/2014/chart" uri="{C3380CC4-5D6E-409C-BE32-E72D297353CC}">
                  <c16:uniqueId val="{00000004-5B9F-DC43-9FE9-1FDD24430723}"/>
                </c:ext>
              </c:extLst>
            </c:dLbl>
            <c:dLbl>
              <c:idx val="36"/>
              <c:delete val="1"/>
              <c:extLst>
                <c:ext xmlns:c15="http://schemas.microsoft.com/office/drawing/2012/chart" uri="{CE6537A1-D6FC-4f65-9D91-7224C49458BB}"/>
                <c:ext xmlns:c16="http://schemas.microsoft.com/office/drawing/2014/chart" uri="{C3380CC4-5D6E-409C-BE32-E72D297353CC}">
                  <c16:uniqueId val="{00000005-5B9F-DC43-9FE9-1FDD24430723}"/>
                </c:ext>
              </c:extLst>
            </c:dLbl>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'Lag1_Exp_smooth_Total Run Odd'!$A$10:$A$34</c:f>
              <c:numCache>
                <c:formatCode>General</c:formatCode>
                <c:ptCount val="25"/>
                <c:pt idx="0">
                  <c:v>1965</c:v>
                </c:pt>
                <c:pt idx="1">
                  <c:v>1967</c:v>
                </c:pt>
                <c:pt idx="2">
                  <c:v>1969</c:v>
                </c:pt>
                <c:pt idx="3">
                  <c:v>1971</c:v>
                </c:pt>
                <c:pt idx="4">
                  <c:v>1973</c:v>
                </c:pt>
                <c:pt idx="5">
                  <c:v>1975</c:v>
                </c:pt>
                <c:pt idx="6">
                  <c:v>1977</c:v>
                </c:pt>
                <c:pt idx="7">
                  <c:v>1979</c:v>
                </c:pt>
                <c:pt idx="8">
                  <c:v>1981</c:v>
                </c:pt>
                <c:pt idx="9">
                  <c:v>1983</c:v>
                </c:pt>
                <c:pt idx="10">
                  <c:v>1985</c:v>
                </c:pt>
                <c:pt idx="11">
                  <c:v>1987</c:v>
                </c:pt>
                <c:pt idx="12">
                  <c:v>1989</c:v>
                </c:pt>
                <c:pt idx="13">
                  <c:v>1991</c:v>
                </c:pt>
                <c:pt idx="14">
                  <c:v>1993</c:v>
                </c:pt>
                <c:pt idx="15">
                  <c:v>1995</c:v>
                </c:pt>
                <c:pt idx="16">
                  <c:v>1997</c:v>
                </c:pt>
                <c:pt idx="17">
                  <c:v>1999</c:v>
                </c:pt>
                <c:pt idx="18">
                  <c:v>2001</c:v>
                </c:pt>
                <c:pt idx="19">
                  <c:v>2003</c:v>
                </c:pt>
                <c:pt idx="20">
                  <c:v>2005</c:v>
                </c:pt>
                <c:pt idx="21">
                  <c:v>2007</c:v>
                </c:pt>
                <c:pt idx="22">
                  <c:v>2009</c:v>
                </c:pt>
                <c:pt idx="23">
                  <c:v>2011</c:v>
                </c:pt>
                <c:pt idx="24">
                  <c:v>2013</c:v>
                </c:pt>
              </c:numCache>
            </c:numRef>
          </c:cat>
          <c:val>
            <c:numRef>
              <c:f>'Lag1_Exp_smooth_Total Run Odd'!$G$10:$G$34</c:f>
              <c:numCache>
                <c:formatCode>0%</c:formatCode>
                <c:ptCount val="25"/>
                <c:pt idx="0">
                  <c:v>0.69993925996600825</c:v>
                </c:pt>
                <c:pt idx="1">
                  <c:v>0.25130825164501575</c:v>
                </c:pt>
                <c:pt idx="2">
                  <c:v>-0.27459295461180078</c:v>
                </c:pt>
                <c:pt idx="3">
                  <c:v>-0.44285034198094803</c:v>
                </c:pt>
                <c:pt idx="4">
                  <c:v>-0.17739680720858611</c:v>
                </c:pt>
                <c:pt idx="5">
                  <c:v>1.3979219143026784</c:v>
                </c:pt>
                <c:pt idx="6">
                  <c:v>-0.1287132346855239</c:v>
                </c:pt>
                <c:pt idx="7">
                  <c:v>-0.68070878205194507</c:v>
                </c:pt>
                <c:pt idx="8">
                  <c:v>-0.34073167470410415</c:v>
                </c:pt>
                <c:pt idx="9">
                  <c:v>0.47512317430552864</c:v>
                </c:pt>
                <c:pt idx="10">
                  <c:v>-0.31625372903744137</c:v>
                </c:pt>
                <c:pt idx="11">
                  <c:v>0.34450885620592098</c:v>
                </c:pt>
                <c:pt idx="12">
                  <c:v>2.1111644046788456</c:v>
                </c:pt>
                <c:pt idx="13">
                  <c:v>0.12755219130637993</c:v>
                </c:pt>
                <c:pt idx="14">
                  <c:v>4.1242426782899848</c:v>
                </c:pt>
                <c:pt idx="15">
                  <c:v>-2.6366350828596759E-12</c:v>
                </c:pt>
                <c:pt idx="16">
                  <c:v>0.51977261015300547</c:v>
                </c:pt>
                <c:pt idx="17">
                  <c:v>-0.67100062731584809</c:v>
                </c:pt>
                <c:pt idx="18">
                  <c:v>-0.20565277541047347</c:v>
                </c:pt>
                <c:pt idx="19">
                  <c:v>0.11244766001241889</c:v>
                </c:pt>
                <c:pt idx="20">
                  <c:v>-0.55057305773108989</c:v>
                </c:pt>
                <c:pt idx="21">
                  <c:v>0.1719071112333046</c:v>
                </c:pt>
                <c:pt idx="22">
                  <c:v>3.3449670123972632</c:v>
                </c:pt>
                <c:pt idx="23">
                  <c:v>-0.33896378697912138</c:v>
                </c:pt>
                <c:pt idx="24">
                  <c:v>-0.61690750171381803</c:v>
                </c:pt>
              </c:numCache>
            </c:numRef>
          </c:val>
          <c:extLst>
            <c:ext xmlns:c16="http://schemas.microsoft.com/office/drawing/2014/chart" uri="{C3380CC4-5D6E-409C-BE32-E72D297353CC}">
              <c16:uniqueId val="{00000006-5B9F-DC43-9FE9-1FDD24430723}"/>
            </c:ext>
          </c:extLst>
        </c:ser>
        <c:dLbls>
          <c:showLegendKey val="0"/>
          <c:showVal val="0"/>
          <c:showCatName val="0"/>
          <c:showSerName val="0"/>
          <c:showPercent val="0"/>
          <c:showBubbleSize val="0"/>
        </c:dLbls>
        <c:gapWidth val="150"/>
        <c:axId val="179299840"/>
        <c:axId val="179301376"/>
      </c:barChart>
      <c:catAx>
        <c:axId val="179299840"/>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179301376"/>
        <c:crosses val="autoZero"/>
        <c:auto val="1"/>
        <c:lblAlgn val="ctr"/>
        <c:lblOffset val="100"/>
        <c:tickLblSkip val="5"/>
        <c:noMultiLvlLbl val="0"/>
      </c:catAx>
      <c:valAx>
        <c:axId val="179301376"/>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17929984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a:noFill/>
            </a:ln>
          </c:spPr>
          <c:dLbls>
            <c:dLbl>
              <c:idx val="0"/>
              <c:tx>
                <c:strRef>
                  <c:f>'Esc-Return_Regression'!$A$11</c:f>
                  <c:strCache>
                    <c:ptCount val="1"/>
                    <c:pt idx="0">
                      <c:v>1961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{34E5487D-2A4C-AF42-96D0-F97D483D61C1}</c15:txfldGUID>
                      <c15:f>'Esc-Return_Regression'!$A$11</c15:f>
                      <c15:dlblFieldTableCache>
                        <c:ptCount val="1"/>
                        <c:pt idx="0">
                          <c:v>1961</c:v>
                        </c:pt>
                      </c15:dlblFieldTableCache>
                    </c15:dlblFTEntry>
                  </c15:dlblFieldTable>
                  <c15:showDataLabelsRange val="0"/>
                </c:ext>
                <c:ext xmlns:c16="http://schemas.microsoft.com/office/drawing/2014/chart" uri="{C3380CC4-5D6E-409C-BE32-E72D297353CC}">
                  <c16:uniqueId val="{00000000-9DC1-1E45-B9BF-A46A48BF47C9}"/>
                </c:ext>
              </c:extLst>
            </c:dLbl>
            <c:dLbl>
              <c:idx val="1"/>
              <c:tx>
                <c:strRef>
                  <c:f>'Esc-Return_Regression'!$A$12</c:f>
                  <c:strCache>
                    <c:ptCount val="1"/>
                    <c:pt idx="0">
                      <c:v>1963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{D4EE0AB8-3F15-B941-AE16-1ACC89CC2B8A}</c15:txfldGUID>
                      <c15:f>'Esc-Return_Regression'!$A$12</c15:f>
                      <c15:dlblFieldTableCache>
                        <c:ptCount val="1"/>
                        <c:pt idx="0">
                          <c:v>1963</c:v>
                        </c:pt>
                      </c15:dlblFieldTableCache>
                    </c15:dlblFTEntry>
                  </c15:dlblFieldTable>
                  <c15:showDataLabelsRange val="0"/>
                </c:ext>
                <c:ext xmlns:c16="http://schemas.microsoft.com/office/drawing/2014/chart" uri="{C3380CC4-5D6E-409C-BE32-E72D297353CC}">
                  <c16:uniqueId val="{00000001-9DC1-1E45-B9BF-A46A48BF47C9}"/>
                </c:ext>
              </c:extLst>
            </c:dLbl>
            <c:dLbl>
              <c:idx val="2"/>
              <c:tx>
                <c:strRef>
                  <c:f>'Esc-Return_Regression'!$A$13</c:f>
                  <c:strCache>
                    <c:ptCount val="1"/>
                    <c:pt idx="0">
                      <c:v>1965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{EF5FB7F5-2249-BA4B-B31B-4AC2F5F65190}</c15:txfldGUID>
                      <c15:f>'Esc-Return_Regression'!$A$13</c15:f>
                      <c15:dlblFieldTableCache>
                        <c:ptCount val="1"/>
                        <c:pt idx="0">
                          <c:v>1965</c:v>
                        </c:pt>
                      </c15:dlblFieldTableCache>
                    </c15:dlblFTEntry>
                  </c15:dlblFieldTable>
                  <c15:showDataLabelsRange val="0"/>
                </c:ext>
                <c:ext xmlns:c16="http://schemas.microsoft.com/office/drawing/2014/chart" uri="{C3380CC4-5D6E-409C-BE32-E72D297353CC}">
                  <c16:uniqueId val="{00000002-9DC1-1E45-B9BF-A46A48BF47C9}"/>
                </c:ext>
              </c:extLst>
            </c:dLbl>
            <c:dLbl>
              <c:idx val="3"/>
              <c:tx>
                <c:strRef>
                  <c:f>'Esc-Return_Regression'!$A$14</c:f>
                  <c:strCache>
                    <c:ptCount val="1"/>
                    <c:pt idx="0">
                      <c:v>1967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{66B298C0-56B6-5B42-A27D-A15B496DC381}</c15:txfldGUID>
                      <c15:f>'Esc-Return_Regression'!$A$14</c15:f>
                      <c15:dlblFieldTableCache>
                        <c:ptCount val="1"/>
                        <c:pt idx="0">
                          <c:v>1967</c:v>
                        </c:pt>
                      </c15:dlblFieldTableCache>
                    </c15:dlblFTEntry>
                  </c15:dlblFieldTable>
                  <c15:showDataLabelsRange val="0"/>
                </c:ext>
                <c:ext xmlns:c16="http://schemas.microsoft.com/office/drawing/2014/chart" uri="{C3380CC4-5D6E-409C-BE32-E72D297353CC}">
                  <c16:uniqueId val="{00000003-9DC1-1E45-B9BF-A46A48BF47C9}"/>
                </c:ext>
              </c:extLst>
            </c:dLbl>
            <c:dLbl>
              <c:idx val="4"/>
              <c:tx>
                <c:strRef>
                  <c:f>'Esc-Return_Regression'!$A$15</c:f>
                  <c:strCache>
                    <c:ptCount val="1"/>
                    <c:pt idx="0">
                      <c:v>1969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{5C7B2B16-0246-0343-9847-A1A404E6735F}</c15:txfldGUID>
                      <c15:f>'Esc-Return_Regression'!$A$15</c15:f>
                      <c15:dlblFieldTableCache>
                        <c:ptCount val="1"/>
                        <c:pt idx="0">
                          <c:v>1969</c:v>
                        </c:pt>
                      </c15:dlblFieldTableCache>
                    </c15:dlblFTEntry>
                  </c15:dlblFieldTable>
                  <c15:showDataLabelsRange val="0"/>
                </c:ext>
                <c:ext xmlns:c16="http://schemas.microsoft.com/office/drawing/2014/chart" uri="{C3380CC4-5D6E-409C-BE32-E72D297353CC}">
                  <c16:uniqueId val="{00000004-9DC1-1E45-B9BF-A46A48BF47C9}"/>
                </c:ext>
              </c:extLst>
            </c:dLbl>
            <c:dLbl>
              <c:idx val="5"/>
              <c:tx>
                <c:strRef>
                  <c:f>'Esc-Return_Regression'!$A$16</c:f>
                  <c:strCache>
                    <c:ptCount val="1"/>
                    <c:pt idx="0">
                      <c:v>1971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{9E3D04BC-B530-4342-8BB3-56D8C8F23CB1}</c15:txfldGUID>
                      <c15:f>'Esc-Return_Regression'!$A$16</c15:f>
                      <c15:dlblFieldTableCache>
                        <c:ptCount val="1"/>
                        <c:pt idx="0">
                          <c:v>1971</c:v>
                        </c:pt>
                      </c15:dlblFieldTableCache>
                    </c15:dlblFTEntry>
                  </c15:dlblFieldTable>
                  <c15:showDataLabelsRange val="0"/>
                </c:ext>
                <c:ext xmlns:c16="http://schemas.microsoft.com/office/drawing/2014/chart" uri="{C3380CC4-5D6E-409C-BE32-E72D297353CC}">
                  <c16:uniqueId val="{00000005-9DC1-1E45-B9BF-A46A48BF47C9}"/>
                </c:ext>
              </c:extLst>
            </c:dLbl>
            <c:dLbl>
              <c:idx val="6"/>
              <c:tx>
                <c:strRef>
                  <c:f>'Esc-Return_Regression'!$A$17</c:f>
                  <c:strCache>
                    <c:ptCount val="1"/>
                    <c:pt idx="0">
                      <c:v>1973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{77A46AAF-B295-D24C-9010-2B81C1FD8548}</c15:txfldGUID>
                      <c15:f>'Esc-Return_Regression'!$A$17</c15:f>
                      <c15:dlblFieldTableCache>
                        <c:ptCount val="1"/>
                        <c:pt idx="0">
                          <c:v>1973</c:v>
                        </c:pt>
                      </c15:dlblFieldTableCache>
                    </c15:dlblFTEntry>
                  </c15:dlblFieldTable>
                  <c15:showDataLabelsRange val="0"/>
                </c:ext>
                <c:ext xmlns:c16="http://schemas.microsoft.com/office/drawing/2014/chart" uri="{C3380CC4-5D6E-409C-BE32-E72D297353CC}">
                  <c16:uniqueId val="{00000006-9DC1-1E45-B9BF-A46A48BF47C9}"/>
                </c:ext>
              </c:extLst>
            </c:dLbl>
            <c:dLbl>
              <c:idx val="7"/>
              <c:tx>
                <c:strRef>
                  <c:f>'Esc-Return_Regression'!$A$18</c:f>
                  <c:strCache>
                    <c:ptCount val="1"/>
                    <c:pt idx="0">
                      <c:v>1975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{B4F2C5B1-3D38-5A48-8B8F-01231941B850}</c15:txfldGUID>
                      <c15:f>'Esc-Return_Regression'!$A$18</c15:f>
                      <c15:dlblFieldTableCache>
                        <c:ptCount val="1"/>
                        <c:pt idx="0">
                          <c:v>1975</c:v>
                        </c:pt>
                      </c15:dlblFieldTableCache>
                    </c15:dlblFTEntry>
                  </c15:dlblFieldTable>
                  <c15:showDataLabelsRange val="0"/>
                </c:ext>
                <c:ext xmlns:c16="http://schemas.microsoft.com/office/drawing/2014/chart" uri="{C3380CC4-5D6E-409C-BE32-E72D297353CC}">
                  <c16:uniqueId val="{00000007-9DC1-1E45-B9BF-A46A48BF47C9}"/>
                </c:ext>
              </c:extLst>
            </c:dLbl>
            <c:dLbl>
              <c:idx val="8"/>
              <c:tx>
                <c:strRef>
                  <c:f>'Esc-Return_Regression'!$A$19</c:f>
                  <c:strCache>
                    <c:ptCount val="1"/>
                    <c:pt idx="0">
                      <c:v>1977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{0608BEA7-A531-5049-916D-7537D0107DAC}</c15:txfldGUID>
                      <c15:f>'Esc-Return_Regression'!$A$19</c15:f>
                      <c15:dlblFieldTableCache>
                        <c:ptCount val="1"/>
                        <c:pt idx="0">
                          <c:v>1977</c:v>
                        </c:pt>
                      </c15:dlblFieldTableCache>
                    </c15:dlblFTEntry>
                  </c15:dlblFieldTable>
                  <c15:showDataLabelsRange val="0"/>
                </c:ext>
                <c:ext xmlns:c16="http://schemas.microsoft.com/office/drawing/2014/chart" uri="{C3380CC4-5D6E-409C-BE32-E72D297353CC}">
                  <c16:uniqueId val="{00000008-9DC1-1E45-B9BF-A46A48BF47C9}"/>
                </c:ext>
              </c:extLst>
            </c:dLbl>
            <c:dLbl>
              <c:idx val="9"/>
              <c:tx>
                <c:strRef>
                  <c:f>'Esc-Return_Regression'!$A$20</c:f>
                  <c:strCache>
                    <c:ptCount val="1"/>
                    <c:pt idx="0">
                      <c:v>1979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{C74AAC1B-BE63-9B4E-A1F9-D3C845EF67C0}</c15:txfldGUID>
                      <c15:f>'Esc-Return_Regression'!$A$20</c15:f>
                      <c15:dlblFieldTableCache>
                        <c:ptCount val="1"/>
                        <c:pt idx="0">
                          <c:v>1979</c:v>
                        </c:pt>
                      </c15:dlblFieldTableCache>
                    </c15:dlblFTEntry>
                  </c15:dlblFieldTable>
                  <c15:showDataLabelsRange val="0"/>
                </c:ext>
                <c:ext xmlns:c16="http://schemas.microsoft.com/office/drawing/2014/chart" uri="{C3380CC4-5D6E-409C-BE32-E72D297353CC}">
                  <c16:uniqueId val="{00000009-9DC1-1E45-B9BF-A46A48BF47C9}"/>
                </c:ext>
              </c:extLst>
            </c:dLbl>
            <c:dLbl>
              <c:idx val="10"/>
              <c:tx>
                <c:strRef>
                  <c:f>'Esc-Return_Regression'!$A$21</c:f>
                  <c:strCache>
                    <c:ptCount val="1"/>
                    <c:pt idx="0">
                      <c:v>1981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{C140B01D-15DA-574E-B1BD-3AFF115F2D69}</c15:txfldGUID>
                      <c15:f>'Esc-Return_Regression'!$A$21</c15:f>
                      <c15:dlblFieldTableCache>
                        <c:ptCount val="1"/>
                        <c:pt idx="0">
                          <c:v>1981</c:v>
                        </c:pt>
                      </c15:dlblFieldTableCache>
                    </c15:dlblFTEntry>
                  </c15:dlblFieldTable>
                  <c15:showDataLabelsRange val="0"/>
                </c:ext>
                <c:ext xmlns:c16="http://schemas.microsoft.com/office/drawing/2014/chart" uri="{C3380CC4-5D6E-409C-BE32-E72D297353CC}">
                  <c16:uniqueId val="{0000000A-9DC1-1E45-B9BF-A46A48BF47C9}"/>
                </c:ext>
              </c:extLst>
            </c:dLbl>
            <c:dLbl>
              <c:idx val="11"/>
              <c:tx>
                <c:strRef>
                  <c:f>'Esc-Return_Regression'!$A$22</c:f>
                  <c:strCache>
                    <c:ptCount val="1"/>
                    <c:pt idx="0">
                      <c:v>1983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{A2F0789F-4FFE-FA4A-A251-510D248C0246}</c15:txfldGUID>
                      <c15:f>'Esc-Return_Regression'!$A$22</c15:f>
                      <c15:dlblFieldTableCache>
                        <c:ptCount val="1"/>
                        <c:pt idx="0">
                          <c:v>1983</c:v>
                        </c:pt>
                      </c15:dlblFieldTableCache>
                    </c15:dlblFTEntry>
                  </c15:dlblFieldTable>
                  <c15:showDataLabelsRange val="0"/>
                </c:ext>
                <c:ext xmlns:c16="http://schemas.microsoft.com/office/drawing/2014/chart" uri="{C3380CC4-5D6E-409C-BE32-E72D297353CC}">
                  <c16:uniqueId val="{0000000B-9DC1-1E45-B9BF-A46A48BF47C9}"/>
                </c:ext>
              </c:extLst>
            </c:dLbl>
            <c:dLbl>
              <c:idx val="12"/>
              <c:layout>
                <c:manualLayout>
                  <c:x val="-3.6732891832229581E-2"/>
                  <c:y val="5.4951127353625326E-2"/>
                </c:manualLayout>
              </c:layout>
              <c:tx>
                <c:strRef>
                  <c:f>'Esc-Return_Regression'!$A$23</c:f>
                  <c:strCache>
                    <c:ptCount val="1"/>
                    <c:pt idx="0">
                      <c:v>1985</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{A42D5845-AEC7-4D4D-83FA-255C81DFD0D3}</c15:txfldGUID>
                      <c15:f>'Esc-Return_Regression'!$A$23</c15:f>
                      <c15:dlblFieldTableCache>
                        <c:ptCount val="1"/>
                        <c:pt idx="0">
                          <c:v>1985</c:v>
                        </c:pt>
                      </c15:dlblFieldTableCache>
                    </c15:dlblFTEntry>
                  </c15:dlblFieldTable>
                  <c15:showDataLabelsRange val="0"/>
                </c:ext>
                <c:ext xmlns:c16="http://schemas.microsoft.com/office/drawing/2014/chart" uri="{C3380CC4-5D6E-409C-BE32-E72D297353CC}">
                  <c16:uniqueId val="{0000000C-9DC1-1E45-B9BF-A46A48BF47C9}"/>
                </c:ext>
              </c:extLst>
            </c:dLbl>
            <c:dLbl>
              <c:idx val="13"/>
              <c:tx>
                <c:strRef>
                  <c:f>'Esc-Return_Regression'!$A$24</c:f>
                  <c:strCache>
                    <c:ptCount val="1"/>
                    <c:pt idx="0">
                      <c:v>1987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{C0566A70-DB9C-1C42-8DE3-2042880BE61A}</c15:txfldGUID>
                      <c15:f>'Esc-Return_Regression'!$A$24</c15:f>
                      <c15:dlblFieldTableCache>
                        <c:ptCount val="1"/>
                        <c:pt idx="0">
                          <c:v>1987</c:v>
                        </c:pt>
                      </c15:dlblFieldTableCache>
                    </c15:dlblFTEntry>
                  </c15:dlblFieldTable>
                  <c15:showDataLabelsRange val="0"/>
                </c:ext>
                <c:ext xmlns:c16="http://schemas.microsoft.com/office/drawing/2014/chart" uri="{C3380CC4-5D6E-409C-BE32-E72D297353CC}">
                  <c16:uniqueId val="{0000000D-9DC1-1E45-B9BF-A46A48BF47C9}"/>
                </c:ext>
              </c:extLst>
            </c:dLbl>
            <c:dLbl>
              <c:idx val="14"/>
              <c:tx>
                <c:strRef>
                  <c:f>'Esc-Return_Regression'!$A$25</c:f>
                  <c:strCache>
                    <c:ptCount val="1"/>
                    <c:pt idx="0">
                      <c:v>1989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{6FB2D2E2-8EA0-B743-A251-6DBA4AE6B6DB}</c15:txfldGUID>
                      <c15:f>'Esc-Return_Regression'!$A$25</c15:f>
                      <c15:dlblFieldTableCache>
                        <c:ptCount val="1"/>
                        <c:pt idx="0">
                          <c:v>1989</c:v>
                        </c:pt>
                      </c15:dlblFieldTableCache>
                    </c15:dlblFTEntry>
                  </c15:dlblFieldTable>
                  <c15:showDataLabelsRange val="0"/>
                </c:ext>
                <c:ext xmlns:c16="http://schemas.microsoft.com/office/drawing/2014/chart" uri="{C3380CC4-5D6E-409C-BE32-E72D297353CC}">
                  <c16:uniqueId val="{0000000E-9DC1-1E45-B9BF-A46A48BF47C9}"/>
                </c:ext>
              </c:extLst>
            </c:dLbl>
            <c:dLbl>
              <c:idx val="15"/>
              <c:tx>
                <c:strRef>
                  <c:f>'Esc-Return_Regression'!$A$26</c:f>
                  <c:strCache>
                    <c:ptCount val="1"/>
                    <c:pt idx="0">
                      <c:v>1991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{0400E46A-AE50-7646-9394-CF67FD3A31FB}</c15:txfldGUID>
                      <c15:f>'Esc-Return_Regression'!$A$26</c15:f>
                      <c15:dlblFieldTableCache>
                        <c:ptCount val="1"/>
                        <c:pt idx="0">
                          <c:v>1991</c:v>
                        </c:pt>
                      </c15:dlblFieldTableCache>
                    </c15:dlblFTEntry>
                  </c15:dlblFieldTable>
                  <c15:showDataLabelsRange val="0"/>
                </c:ext>
                <c:ext xmlns:c16="http://schemas.microsoft.com/office/drawing/2014/chart" uri="{C3380CC4-5D6E-409C-BE32-E72D297353CC}">
                  <c16:uniqueId val="{0000000F-9DC1-1E45-B9BF-A46A48BF47C9}"/>
                </c:ext>
              </c:extLst>
            </c:dLbl>
            <c:dLbl>
              <c:idx val="16"/>
              <c:tx>
                <c:strRef>
                  <c:f>'Esc-Return_Regression'!$A$27</c:f>
                  <c:strCache>
                    <c:ptCount val="1"/>
                    <c:pt idx="0">
                      <c:v>1993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{E1553C30-2AC3-8844-B3CC-3307C1073869}</c15:txfldGUID>
                      <c15:f>'Esc-Return_Regression'!$A$27</c15:f>
                      <c15:dlblFieldTableCache>
                        <c:ptCount val="1"/>
                        <c:pt idx="0">
                          <c:v>1993</c:v>
                        </c:pt>
                      </c15:dlblFieldTableCache>
                    </c15:dlblFTEntry>
                  </c15:dlblFieldTable>
                  <c15:showDataLabelsRange val="0"/>
                </c:ext>
                <c:ext xmlns:c16="http://schemas.microsoft.com/office/drawing/2014/chart" uri="{C3380CC4-5D6E-409C-BE32-E72D297353CC}">
                  <c16:uniqueId val="{00000010-9DC1-1E45-B9BF-A46A48BF47C9}"/>
                </c:ext>
              </c:extLst>
            </c:dLbl>
            <c:dLbl>
              <c:idx val="17"/>
              <c:tx>
                <c:strRef>
                  <c:f>'Esc-Return_Regression'!$A$28</c:f>
                  <c:strCache>
                    <c:ptCount val="1"/>
                    <c:pt idx="0">
                      <c:v>1995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{799CC55D-4AA0-434D-A780-E16EBED80072}</c15:txfldGUID>
                      <c15:f>'Esc-Return_Regression'!$A$28</c15:f>
                      <c15:dlblFieldTableCache>
                        <c:ptCount val="1"/>
                        <c:pt idx="0">
                          <c:v>1995</c:v>
                        </c:pt>
                      </c15:dlblFieldTableCache>
                    </c15:dlblFTEntry>
                  </c15:dlblFieldTable>
                  <c15:showDataLabelsRange val="0"/>
                </c:ext>
                <c:ext xmlns:c16="http://schemas.microsoft.com/office/drawing/2014/chart" uri="{C3380CC4-5D6E-409C-BE32-E72D297353CC}">
                  <c16:uniqueId val="{00000011-9DC1-1E45-B9BF-A46A48BF47C9}"/>
                </c:ext>
              </c:extLst>
            </c:dLbl>
            <c:dLbl>
              <c:idx val="18"/>
              <c:tx>
                <c:strRef>
                  <c:f>'Esc-Return_Regression'!$A$29</c:f>
                  <c:strCache>
                    <c:ptCount val="1"/>
                    <c:pt idx="0">
                      <c:v>1997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{8BA17EA9-3921-9141-868C-19855931DEC8}</c15:txfldGUID>
                      <c15:f>'Esc-Return_Regression'!$A$29</c15:f>
                      <c15:dlblFieldTableCache>
                        <c:ptCount val="1"/>
                        <c:pt idx="0">
                          <c:v>1997</c:v>
                        </c:pt>
                      </c15:dlblFieldTableCache>
                    </c15:dlblFTEntry>
                  </c15:dlblFieldTable>
                  <c15:showDataLabelsRange val="0"/>
                </c:ext>
                <c:ext xmlns:c16="http://schemas.microsoft.com/office/drawing/2014/chart" uri="{C3380CC4-5D6E-409C-BE32-E72D297353CC}">
                  <c16:uniqueId val="{00000012-9DC1-1E45-B9BF-A46A48BF47C9}"/>
                </c:ext>
              </c:extLst>
            </c:dLbl>
            <c:dLbl>
              <c:idx val="19"/>
              <c:tx>
                <c:strRef>
                  <c:f>'Esc-Return_Regression'!$A$30</c:f>
                  <c:strCache>
                    <c:ptCount val="1"/>
                    <c:pt idx="0">
                      <c:v>1999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{29B1A0A8-D6E1-4E46-B943-F3EE1D70506A}</c15:txfldGUID>
                      <c15:f>'Esc-Return_Regression'!$A$30</c15:f>
                      <c15:dlblFieldTableCache>
                        <c:ptCount val="1"/>
                        <c:pt idx="0">
                          <c:v>1999</c:v>
                        </c:pt>
                      </c15:dlblFieldTableCache>
                    </c15:dlblFTEntry>
                  </c15:dlblFieldTable>
                  <c15:showDataLabelsRange val="0"/>
                </c:ext>
                <c:ext xmlns:c16="http://schemas.microsoft.com/office/drawing/2014/chart" uri="{C3380CC4-5D6E-409C-BE32-E72D297353CC}">
                  <c16:uniqueId val="{00000013-9DC1-1E45-B9BF-A46A48BF47C9}"/>
                </c:ext>
              </c:extLst>
            </c:dLbl>
            <c:dLbl>
              <c:idx val="20"/>
              <c:tx>
                <c:strRef>
                  <c:f>'Esc-Return_Regression'!$A$31</c:f>
                  <c:strCache>
                    <c:ptCount val="1"/>
                    <c:pt idx="0">
                      <c:v>2001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{370D558D-2BCE-0342-9598-CEC4D10D98C6}</c15:txfldGUID>
                      <c15:f>'Esc-Return_Regression'!$A$31</c15:f>
                      <c15:dlblFieldTableCache>
                        <c:ptCount val="1"/>
                        <c:pt idx="0">
                          <c:v>2001</c:v>
                        </c:pt>
                      </c15:dlblFieldTableCache>
                    </c15:dlblFTEntry>
                  </c15:dlblFieldTable>
                  <c15:showDataLabelsRange val="0"/>
                </c:ext>
                <c:ext xmlns:c16="http://schemas.microsoft.com/office/drawing/2014/chart" uri="{C3380CC4-5D6E-409C-BE32-E72D297353CC}">
                  <c16:uniqueId val="{00000014-9DC1-1E45-B9BF-A46A48BF47C9}"/>
                </c:ext>
              </c:extLst>
            </c:dLbl>
            <c:dLbl>
              <c:idx val="21"/>
              <c:tx>
                <c:strRef>
                  <c:f>'Esc-Return_Regression'!$A$32</c:f>
                  <c:strCache>
                    <c:ptCount val="1"/>
                    <c:pt idx="0">
                      <c:v>2003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{D16FD6DA-FCF7-1146-98A6-CC2B82598DAC}</c15:txfldGUID>
                      <c15:f>'Esc-Return_Regression'!$A$32</c15:f>
                      <c15:dlblFieldTableCache>
                        <c:ptCount val="1"/>
                        <c:pt idx="0">
                          <c:v>2003</c:v>
                        </c:pt>
                      </c15:dlblFieldTableCache>
                    </c15:dlblFTEntry>
                  </c15:dlblFieldTable>
                  <c15:showDataLabelsRange val="0"/>
                </c:ext>
                <c:ext xmlns:c16="http://schemas.microsoft.com/office/drawing/2014/chart" uri="{C3380CC4-5D6E-409C-BE32-E72D297353CC}">
                  <c16:uniqueId val="{00000015-9DC1-1E45-B9BF-A46A48BF47C9}"/>
                </c:ext>
              </c:extLst>
            </c:dLbl>
            <c:dLbl>
              <c:idx val="22"/>
              <c:tx>
                <c:strRef>
                  <c:f>'Esc-Return_Regression'!$A$33</c:f>
                  <c:strCache>
                    <c:ptCount val="1"/>
                    <c:pt idx="0">
                      <c:v>2005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{5B4AF34A-F5ED-1D42-B9EA-CC59176C1C5C}</c15:txfldGUID>
                      <c15:f>'Esc-Return_Regression'!$A$33</c15:f>
                      <c15:dlblFieldTableCache>
                        <c:ptCount val="1"/>
                        <c:pt idx="0">
                          <c:v>2005</c:v>
                        </c:pt>
                      </c15:dlblFieldTableCache>
                    </c15:dlblFTEntry>
                  </c15:dlblFieldTable>
                  <c15:showDataLabelsRange val="0"/>
                </c:ext>
                <c:ext xmlns:c16="http://schemas.microsoft.com/office/drawing/2014/chart" uri="{C3380CC4-5D6E-409C-BE32-E72D297353CC}">
                  <c16:uniqueId val="{00000016-9DC1-1E45-B9BF-A46A48BF47C9}"/>
                </c:ext>
              </c:extLst>
            </c:dLbl>
            <c:dLbl>
              <c:idx val="23"/>
              <c:tx>
                <c:strRef>
                  <c:f>'Esc-Return_Regression'!$A$34</c:f>
                  <c:strCache>
                    <c:ptCount val="1"/>
                    <c:pt idx="0">
                      <c:v>2007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{839A7F1E-4200-DB4A-89AB-EC5BC4011ED0}</c15:txfldGUID>
                      <c15:f>'Esc-Return_Regression'!$A$34</c15:f>
                      <c15:dlblFieldTableCache>
                        <c:ptCount val="1"/>
                        <c:pt idx="0">
                          <c:v>2007</c:v>
                        </c:pt>
                      </c15:dlblFieldTableCache>
                    </c15:dlblFTEntry>
                  </c15:dlblFieldTable>
                  <c15:showDataLabelsRange val="0"/>
                </c:ext>
                <c:ext xmlns:c16="http://schemas.microsoft.com/office/drawing/2014/chart" uri="{C3380CC4-5D6E-409C-BE32-E72D297353CC}">
                  <c16:uniqueId val="{00000017-9DC1-1E45-B9BF-A46A48BF47C9}"/>
                </c:ext>
              </c:extLst>
            </c:dLbl>
            <c:dLbl>
              <c:idx val="24"/>
              <c:tx>
                <c:strRef>
                  <c:f>'Esc-Return_Regression'!$A$35</c:f>
                  <c:strCache>
                    <c:ptCount val="1"/>
                    <c:pt idx="0">
                      <c:v>2009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{D9AFCF75-F42E-4444-BA75-D0CB3BA793F9}</c15:txfldGUID>
                      <c15:f>'Esc-Return_Regression'!$A$35</c15:f>
                      <c15:dlblFieldTableCache>
                        <c:ptCount val="1"/>
                        <c:pt idx="0">
                          <c:v>2009</c:v>
                        </c:pt>
                      </c15:dlblFieldTableCache>
                    </c15:dlblFTEntry>
                  </c15:dlblFieldTable>
                  <c15:showDataLabelsRange val="0"/>
                </c:ext>
                <c:ext xmlns:c16="http://schemas.microsoft.com/office/drawing/2014/chart" uri="{C3380CC4-5D6E-409C-BE32-E72D297353CC}">
                  <c16:uniqueId val="{00000018-9DC1-1E45-B9BF-A46A48BF47C9}"/>
                </c:ext>
              </c:extLst>
            </c:dLbl>
            <c:dLbl>
              <c:idx val="25"/>
              <c:tx>
                <c:strRef>
                  <c:f>'Esc-Return_Regression'!$A$36</c:f>
                  <c:strCache>
                    <c:ptCount val="1"/>
                    <c:pt idx="0">
                      <c:v>2011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{F80D5AF4-2D7D-A048-8B97-D336454ADB58}</c15:txfldGUID>
                      <c15:f>'Esc-Return_Regression'!$A$36</c15:f>
                      <c15:dlblFieldTableCache>
                        <c:ptCount val="1"/>
                        <c:pt idx="0">
                          <c:v>2011</c:v>
                        </c:pt>
                      </c15:dlblFieldTableCache>
                    </c15:dlblFTEntry>
                  </c15:dlblFieldTable>
                  <c15:showDataLabelsRange val="0"/>
                </c:ext>
                <c:ext xmlns:c16="http://schemas.microsoft.com/office/drawing/2014/chart" uri="{C3380CC4-5D6E-409C-BE32-E72D297353CC}">
                  <c16:uniqueId val="{00000019-9DC1-1E45-B9BF-A46A48BF47C9}"/>
                </c:ext>
              </c:extLst>
            </c:dLbl>
            <c:dLbl>
              <c:idx val="26"/>
              <c:tx>
                <c:strRef>
                  <c:f>'Esc-Return_Regression'!$A$37</c:f>
                  <c:strCache>
                    <c:ptCount val="1"/>
                    <c:pt idx="0">
                      <c:v>2013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{018489D4-3CC9-7D41-BC36-D82B720C7D9C}</c15:txfldGUID>
                      <c15:f>'Esc-Return_Regression'!$A$37</c15:f>
                      <c15:dlblFieldTableCache>
                        <c:ptCount val="1"/>
                        <c:pt idx="0">
                          <c:v>2013</c:v>
                        </c:pt>
                      </c15:dlblFieldTableCache>
                    </c15:dlblFTEntry>
                  </c15:dlblFieldTable>
                  <c15:showDataLabelsRange val="0"/>
                </c:ext>
                <c:ext xmlns:c16="http://schemas.microsoft.com/office/drawing/2014/chart" uri="{C3380CC4-5D6E-409C-BE32-E72D297353CC}">
                  <c16:uniqueId val="{0000001A-9DC1-1E45-B9BF-A46A48BF47C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trendlineType val="linear"/>
            <c:dispRSqr val="1"/>
            <c:dispEq val="1"/>
            <c:trendlineLbl>
              <c:layout>
                <c:manualLayout>
                  <c:x val="-0.52232028256937824"/>
                  <c:y val="1.8772649404467431E-2"/>
                </c:manualLayout>
              </c:layout>
              <c:numFmt formatCode="General" sourceLinked="0"/>
              <c:txPr>
                <a:bodyPr/>
                <a:lstStyle/>
                <a:p>
                  <a:pPr>
                    <a:defRPr sz="1200"/>
                  </a:pPr>
                  <a:endParaRPr lang="en-US"/>
                </a:p>
              </c:txPr>
            </c:trendlineLbl>
          </c:trendline>
          <c:xVal>
            <c:numRef>
              <c:f>'Esc-Return_Regression'!$C$11:$C$37</c:f>
              <c:numCache>
                <c:formatCode>#,##0</c:formatCode>
                <c:ptCount val="27"/>
                <c:pt idx="0">
                  <c:v>2198980</c:v>
                </c:pt>
                <c:pt idx="1">
                  <c:v>1355740</c:v>
                </c:pt>
                <c:pt idx="2">
                  <c:v>975956</c:v>
                </c:pt>
                <c:pt idx="3">
                  <c:v>842260</c:v>
                </c:pt>
                <c:pt idx="4">
                  <c:v>404570</c:v>
                </c:pt>
                <c:pt idx="5">
                  <c:v>1112550</c:v>
                </c:pt>
                <c:pt idx="6">
                  <c:v>1225010</c:v>
                </c:pt>
                <c:pt idx="7">
                  <c:v>1265560</c:v>
                </c:pt>
                <c:pt idx="8">
                  <c:v>1517667</c:v>
                </c:pt>
                <c:pt idx="9">
                  <c:v>2901977</c:v>
                </c:pt>
                <c:pt idx="10">
                  <c:v>2166319</c:v>
                </c:pt>
                <c:pt idx="11">
                  <c:v>2003106</c:v>
                </c:pt>
                <c:pt idx="12">
                  <c:v>2347997</c:v>
                </c:pt>
                <c:pt idx="13">
                  <c:v>1372217</c:v>
                </c:pt>
                <c:pt idx="14">
                  <c:v>1233676</c:v>
                </c:pt>
                <c:pt idx="15">
                  <c:v>1725792</c:v>
                </c:pt>
                <c:pt idx="16">
                  <c:v>1065640</c:v>
                </c:pt>
                <c:pt idx="17">
                  <c:v>1190184</c:v>
                </c:pt>
                <c:pt idx="18">
                  <c:v>1422688</c:v>
                </c:pt>
                <c:pt idx="19">
                  <c:v>2462862</c:v>
                </c:pt>
                <c:pt idx="20">
                  <c:v>2000386</c:v>
                </c:pt>
                <c:pt idx="21">
                  <c:v>2846732</c:v>
                </c:pt>
                <c:pt idx="22">
                  <c:v>4736115.8571428573</c:v>
                </c:pt>
                <c:pt idx="23">
                  <c:v>1509133.1628835602</c:v>
                </c:pt>
                <c:pt idx="24">
                  <c:v>1829622.6091624377</c:v>
                </c:pt>
                <c:pt idx="25">
                  <c:v>3927419</c:v>
                </c:pt>
                <c:pt idx="26">
                  <c:v>4684239</c:v>
                </c:pt>
              </c:numCache>
            </c:numRef>
          </c:xVal>
          <c:yVal>
            <c:numRef>
              <c:f>'Esc-Return_Regression'!$E$11:$E$37</c:f>
              <c:numCache>
                <c:formatCode>#,##0</c:formatCode>
                <c:ptCount val="27"/>
                <c:pt idx="0">
                  <c:v>6651118</c:v>
                </c:pt>
                <c:pt idx="1">
                  <c:v>3436427</c:v>
                </c:pt>
                <c:pt idx="2">
                  <c:v>3468600</c:v>
                </c:pt>
                <c:pt idx="3">
                  <c:v>5233149</c:v>
                </c:pt>
                <c:pt idx="4">
                  <c:v>8423514</c:v>
                </c:pt>
                <c:pt idx="5">
                  <c:v>8535974</c:v>
                </c:pt>
                <c:pt idx="6">
                  <c:v>3322438</c:v>
                </c:pt>
                <c:pt idx="7">
                  <c:v>5816401</c:v>
                </c:pt>
                <c:pt idx="8">
                  <c:v>17335503</c:v>
                </c:pt>
                <c:pt idx="9">
                  <c:v>19568866</c:v>
                </c:pt>
                <c:pt idx="10">
                  <c:v>11567348</c:v>
                </c:pt>
                <c:pt idx="11">
                  <c:v>19938105</c:v>
                </c:pt>
                <c:pt idx="12">
                  <c:v>13066944</c:v>
                </c:pt>
                <c:pt idx="13">
                  <c:v>4743750</c:v>
                </c:pt>
                <c:pt idx="14">
                  <c:v>7544776</c:v>
                </c:pt>
                <c:pt idx="15">
                  <c:v>1542942</c:v>
                </c:pt>
                <c:pt idx="16">
                  <c:v>3934208</c:v>
                </c:pt>
                <c:pt idx="17">
                  <c:v>2588682</c:v>
                </c:pt>
                <c:pt idx="18">
                  <c:v>9405198</c:v>
                </c:pt>
                <c:pt idx="19">
                  <c:v>8854676.9808041956</c:v>
                </c:pt>
                <c:pt idx="20">
                  <c:v>7344511.9398193061</c:v>
                </c:pt>
                <c:pt idx="21">
                  <c:v>17032487.685321052</c:v>
                </c:pt>
                <c:pt idx="22">
                  <c:v>11526987.795003444</c:v>
                </c:pt>
                <c:pt idx="23">
                  <c:v>2824330.6070667375</c:v>
                </c:pt>
                <c:pt idx="24">
                  <c:v>9643099</c:v>
                </c:pt>
                <c:pt idx="25">
                  <c:v>21965453</c:v>
                </c:pt>
                <c:pt idx="26">
                  <c:v>31683677.72775621</c:v>
                </c:pt>
              </c:numCache>
            </c:numRef>
          </c:yVal>
          <c:smooth val="0"/>
          <c:extLst>
            <c:ext xmlns:c16="http://schemas.microsoft.com/office/drawing/2014/chart" uri="{C3380CC4-5D6E-409C-BE32-E72D297353CC}">
              <c16:uniqueId val="{0000001C-9DC1-1E45-B9BF-A46A48BF47C9}"/>
            </c:ext>
          </c:extLst>
        </c:ser>
        <c:dLbls>
          <c:showLegendKey val="0"/>
          <c:showVal val="0"/>
          <c:showCatName val="0"/>
          <c:showSerName val="0"/>
          <c:showPercent val="0"/>
          <c:showBubbleSize val="0"/>
        </c:dLbls>
        <c:axId val="190634624"/>
        <c:axId val="180187904"/>
      </c:scatterChart>
      <c:valAx>
        <c:axId val="190634624"/>
        <c:scaling>
          <c:orientation val="minMax"/>
        </c:scaling>
        <c:delete val="0"/>
        <c:axPos val="b"/>
        <c:title>
          <c:tx>
            <c:rich>
              <a:bodyPr/>
              <a:lstStyle/>
              <a:p>
                <a:pPr>
                  <a:defRPr sz="1200"/>
                </a:pPr>
                <a:r>
                  <a:rPr lang="en-US" sz="1200"/>
                  <a:t>Brood Year Escapement Index </a:t>
                </a:r>
              </a:p>
            </c:rich>
          </c:tx>
          <c:overlay val="0"/>
        </c:title>
        <c:numFmt formatCode="#,##0" sourceLinked="1"/>
        <c:majorTickMark val="out"/>
        <c:minorTickMark val="none"/>
        <c:tickLblPos val="nextTo"/>
        <c:txPr>
          <a:bodyPr rot="0"/>
          <a:lstStyle/>
          <a:p>
            <a:pPr>
              <a:defRPr sz="1000"/>
            </a:pPr>
            <a:endParaRPr lang="en-US"/>
          </a:p>
        </c:txPr>
        <c:crossAx val="180187904"/>
        <c:crosses val="autoZero"/>
        <c:crossBetween val="midCat"/>
      </c:valAx>
      <c:valAx>
        <c:axId val="180187904"/>
        <c:scaling>
          <c:orientation val="minMax"/>
        </c:scaling>
        <c:delete val="0"/>
        <c:axPos val="l"/>
        <c:title>
          <c:tx>
            <c:rich>
              <a:bodyPr rot="-5400000" vert="horz"/>
              <a:lstStyle/>
              <a:p>
                <a:pPr>
                  <a:defRPr sz="1200"/>
                </a:pPr>
                <a:r>
                  <a:rPr lang="en-US" sz="1200"/>
                  <a:t>Brood Year Return</a:t>
                </a:r>
              </a:p>
            </c:rich>
          </c:tx>
          <c:layout>
            <c:manualLayout>
              <c:xMode val="edge"/>
              <c:yMode val="edge"/>
              <c:x val="1.186002579390508E-2"/>
              <c:y val="0.18673151635765217"/>
            </c:manualLayout>
          </c:layout>
          <c:overlay val="0"/>
        </c:title>
        <c:numFmt formatCode="#,##0" sourceLinked="1"/>
        <c:majorTickMark val="out"/>
        <c:minorTickMark val="none"/>
        <c:tickLblPos val="nextTo"/>
        <c:txPr>
          <a:bodyPr/>
          <a:lstStyle/>
          <a:p>
            <a:pPr>
              <a:defRPr sz="1000"/>
            </a:pPr>
            <a:endParaRPr lang="en-US"/>
          </a:p>
        </c:txPr>
        <c:crossAx val="190634624"/>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57589032335229"/>
          <c:y val="3.4874992122621316E-2"/>
          <c:w val="0.84648680629046325"/>
          <c:h val="0.70515224646513852"/>
        </c:manualLayout>
      </c:layout>
      <c:scatterChart>
        <c:scatterStyle val="lineMarker"/>
        <c:varyColors val="0"/>
        <c:ser>
          <c:idx val="0"/>
          <c:order val="0"/>
          <c:spPr>
            <a:ln w="28575">
              <a:noFill/>
            </a:ln>
          </c:spPr>
          <c:dLbls>
            <c:dLbl>
              <c:idx val="0"/>
              <c:tx>
                <c:strRef>
                  <c:f>'Esc-Return_Regression'!$A$11</c:f>
                  <c:strCache>
                    <c:ptCount val="1"/>
                    <c:pt idx="0">
                      <c:v>1961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{6346931D-5825-7A4E-AC2C-24B016C5C0E2}</c15:txfldGUID>
                      <c15:f>'Esc-Return_Regression'!$A$11</c15:f>
                      <c15:dlblFieldTableCache>
                        <c:ptCount val="1"/>
                        <c:pt idx="0">
                          <c:v>1961</c:v>
                        </c:pt>
                      </c15:dlblFieldTableCache>
                    </c15:dlblFTEntry>
                  </c15:dlblFieldTable>
                  <c15:showDataLabelsRange val="0"/>
                </c:ext>
                <c:ext xmlns:c16="http://schemas.microsoft.com/office/drawing/2014/chart" uri="{C3380CC4-5D6E-409C-BE32-E72D297353CC}">
                  <c16:uniqueId val="{00000000-9729-E04C-BB42-265B5D8A4D47}"/>
                </c:ext>
              </c:extLst>
            </c:dLbl>
            <c:dLbl>
              <c:idx val="1"/>
              <c:tx>
                <c:strRef>
                  <c:f>'Esc-Return_Regression'!$A$12</c:f>
                  <c:strCache>
                    <c:ptCount val="1"/>
                    <c:pt idx="0">
                      <c:v>1963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{F0BA7B9C-1D41-7647-8E68-4B1BF920DD7A}</c15:txfldGUID>
                      <c15:f>'Esc-Return_Regression'!$A$12</c15:f>
                      <c15:dlblFieldTableCache>
                        <c:ptCount val="1"/>
                        <c:pt idx="0">
                          <c:v>1963</c:v>
                        </c:pt>
                      </c15:dlblFieldTableCache>
                    </c15:dlblFTEntry>
                  </c15:dlblFieldTable>
                  <c15:showDataLabelsRange val="0"/>
                </c:ext>
                <c:ext xmlns:c16="http://schemas.microsoft.com/office/drawing/2014/chart" uri="{C3380CC4-5D6E-409C-BE32-E72D297353CC}">
                  <c16:uniqueId val="{00000001-9729-E04C-BB42-265B5D8A4D47}"/>
                </c:ext>
              </c:extLst>
            </c:dLbl>
            <c:dLbl>
              <c:idx val="2"/>
              <c:tx>
                <c:strRef>
                  <c:f>'Esc-Return_Regression'!$A$13</c:f>
                  <c:strCache>
                    <c:ptCount val="1"/>
                    <c:pt idx="0">
                      <c:v>1965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{97895176-1E57-A84B-B94B-FB20B9773667}</c15:txfldGUID>
                      <c15:f>'Esc-Return_Regression'!$A$13</c15:f>
                      <c15:dlblFieldTableCache>
                        <c:ptCount val="1"/>
                        <c:pt idx="0">
                          <c:v>1965</c:v>
                        </c:pt>
                      </c15:dlblFieldTableCache>
                    </c15:dlblFTEntry>
                  </c15:dlblFieldTable>
                  <c15:showDataLabelsRange val="0"/>
                </c:ext>
                <c:ext xmlns:c16="http://schemas.microsoft.com/office/drawing/2014/chart" uri="{C3380CC4-5D6E-409C-BE32-E72D297353CC}">
                  <c16:uniqueId val="{00000002-9729-E04C-BB42-265B5D8A4D47}"/>
                </c:ext>
              </c:extLst>
            </c:dLbl>
            <c:dLbl>
              <c:idx val="3"/>
              <c:tx>
                <c:strRef>
                  <c:f>'Esc-Return_Regression'!$A$14</c:f>
                  <c:strCache>
                    <c:ptCount val="1"/>
                    <c:pt idx="0">
                      <c:v>1967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{A2E85CFA-66FB-F145-B2A2-1830EC3CD040}</c15:txfldGUID>
                      <c15:f>'Esc-Return_Regression'!$A$14</c15:f>
                      <c15:dlblFieldTableCache>
                        <c:ptCount val="1"/>
                        <c:pt idx="0">
                          <c:v>1967</c:v>
                        </c:pt>
                      </c15:dlblFieldTableCache>
                    </c15:dlblFTEntry>
                  </c15:dlblFieldTable>
                  <c15:showDataLabelsRange val="0"/>
                </c:ext>
                <c:ext xmlns:c16="http://schemas.microsoft.com/office/drawing/2014/chart" uri="{C3380CC4-5D6E-409C-BE32-E72D297353CC}">
                  <c16:uniqueId val="{00000003-9729-E04C-BB42-265B5D8A4D47}"/>
                </c:ext>
              </c:extLst>
            </c:dLbl>
            <c:dLbl>
              <c:idx val="4"/>
              <c:tx>
                <c:strRef>
                  <c:f>'Esc-Return_Regression'!$A$15</c:f>
                  <c:strCache>
                    <c:ptCount val="1"/>
                    <c:pt idx="0">
                      <c:v>1969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{13199EF3-AF81-9C47-9CDE-A0FAE334C714}</c15:txfldGUID>
                      <c15:f>'Esc-Return_Regression'!$A$15</c15:f>
                      <c15:dlblFieldTableCache>
                        <c:ptCount val="1"/>
                        <c:pt idx="0">
                          <c:v>1969</c:v>
                        </c:pt>
                      </c15:dlblFieldTableCache>
                    </c15:dlblFTEntry>
                  </c15:dlblFieldTable>
                  <c15:showDataLabelsRange val="0"/>
                </c:ext>
                <c:ext xmlns:c16="http://schemas.microsoft.com/office/drawing/2014/chart" uri="{C3380CC4-5D6E-409C-BE32-E72D297353CC}">
                  <c16:uniqueId val="{00000004-9729-E04C-BB42-265B5D8A4D47}"/>
                </c:ext>
              </c:extLst>
            </c:dLbl>
            <c:dLbl>
              <c:idx val="5"/>
              <c:tx>
                <c:strRef>
                  <c:f>'Esc-Return_Regression'!$A$16</c:f>
                  <c:strCache>
                    <c:ptCount val="1"/>
                    <c:pt idx="0">
                      <c:v>1971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{0A8E5C1E-F716-634F-90CB-2204D08A6808}</c15:txfldGUID>
                      <c15:f>'Esc-Return_Regression'!$A$16</c15:f>
                      <c15:dlblFieldTableCache>
                        <c:ptCount val="1"/>
                        <c:pt idx="0">
                          <c:v>1971</c:v>
                        </c:pt>
                      </c15:dlblFieldTableCache>
                    </c15:dlblFTEntry>
                  </c15:dlblFieldTable>
                  <c15:showDataLabelsRange val="0"/>
                </c:ext>
                <c:ext xmlns:c16="http://schemas.microsoft.com/office/drawing/2014/chart" uri="{C3380CC4-5D6E-409C-BE32-E72D297353CC}">
                  <c16:uniqueId val="{00000005-9729-E04C-BB42-265B5D8A4D47}"/>
                </c:ext>
              </c:extLst>
            </c:dLbl>
            <c:dLbl>
              <c:idx val="6"/>
              <c:tx>
                <c:strRef>
                  <c:f>'Esc-Return_Regression'!$A$17</c:f>
                  <c:strCache>
                    <c:ptCount val="1"/>
                    <c:pt idx="0">
                      <c:v>1973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{BA46F36A-BF09-0648-80F9-E97EC0CA4BED}</c15:txfldGUID>
                      <c15:f>'Esc-Return_Regression'!$A$17</c15:f>
                      <c15:dlblFieldTableCache>
                        <c:ptCount val="1"/>
                        <c:pt idx="0">
                          <c:v>1973</c:v>
                        </c:pt>
                      </c15:dlblFieldTableCache>
                    </c15:dlblFTEntry>
                  </c15:dlblFieldTable>
                  <c15:showDataLabelsRange val="0"/>
                </c:ext>
                <c:ext xmlns:c16="http://schemas.microsoft.com/office/drawing/2014/chart" uri="{C3380CC4-5D6E-409C-BE32-E72D297353CC}">
                  <c16:uniqueId val="{00000006-9729-E04C-BB42-265B5D8A4D47}"/>
                </c:ext>
              </c:extLst>
            </c:dLbl>
            <c:dLbl>
              <c:idx val="7"/>
              <c:tx>
                <c:strRef>
                  <c:f>'Esc-Return_Regression'!$A$18</c:f>
                  <c:strCache>
                    <c:ptCount val="1"/>
                    <c:pt idx="0">
                      <c:v>1975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{2B282823-5C66-0344-B238-4B4CFAC67E8A}</c15:txfldGUID>
                      <c15:f>'Esc-Return_Regression'!$A$18</c15:f>
                      <c15:dlblFieldTableCache>
                        <c:ptCount val="1"/>
                        <c:pt idx="0">
                          <c:v>1975</c:v>
                        </c:pt>
                      </c15:dlblFieldTableCache>
                    </c15:dlblFTEntry>
                  </c15:dlblFieldTable>
                  <c15:showDataLabelsRange val="0"/>
                </c:ext>
                <c:ext xmlns:c16="http://schemas.microsoft.com/office/drawing/2014/chart" uri="{C3380CC4-5D6E-409C-BE32-E72D297353CC}">
                  <c16:uniqueId val="{00000007-9729-E04C-BB42-265B5D8A4D47}"/>
                </c:ext>
              </c:extLst>
            </c:dLbl>
            <c:dLbl>
              <c:idx val="8"/>
              <c:tx>
                <c:strRef>
                  <c:f>'Esc-Return_Regression'!$A$19</c:f>
                  <c:strCache>
                    <c:ptCount val="1"/>
                    <c:pt idx="0">
                      <c:v>1977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{780DC3A2-F407-DB41-8429-DDC942BCA3D2}</c15:txfldGUID>
                      <c15:f>'Esc-Return_Regression'!$A$19</c15:f>
                      <c15:dlblFieldTableCache>
                        <c:ptCount val="1"/>
                        <c:pt idx="0">
                          <c:v>1977</c:v>
                        </c:pt>
                      </c15:dlblFieldTableCache>
                    </c15:dlblFTEntry>
                  </c15:dlblFieldTable>
                  <c15:showDataLabelsRange val="0"/>
                </c:ext>
                <c:ext xmlns:c16="http://schemas.microsoft.com/office/drawing/2014/chart" uri="{C3380CC4-5D6E-409C-BE32-E72D297353CC}">
                  <c16:uniqueId val="{00000008-9729-E04C-BB42-265B5D8A4D47}"/>
                </c:ext>
              </c:extLst>
            </c:dLbl>
            <c:dLbl>
              <c:idx val="9"/>
              <c:tx>
                <c:strRef>
                  <c:f>'Esc-Return_Regression'!$A$20</c:f>
                  <c:strCache>
                    <c:ptCount val="1"/>
                    <c:pt idx="0">
                      <c:v>1979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{A021F0A1-4418-2F46-9734-8E09230A5CF6}</c15:txfldGUID>
                      <c15:f>'Esc-Return_Regression'!$A$20</c15:f>
                      <c15:dlblFieldTableCache>
                        <c:ptCount val="1"/>
                        <c:pt idx="0">
                          <c:v>1979</c:v>
                        </c:pt>
                      </c15:dlblFieldTableCache>
                    </c15:dlblFTEntry>
                  </c15:dlblFieldTable>
                  <c15:showDataLabelsRange val="0"/>
                </c:ext>
                <c:ext xmlns:c16="http://schemas.microsoft.com/office/drawing/2014/chart" uri="{C3380CC4-5D6E-409C-BE32-E72D297353CC}">
                  <c16:uniqueId val="{00000009-9729-E04C-BB42-265B5D8A4D47}"/>
                </c:ext>
              </c:extLst>
            </c:dLbl>
            <c:dLbl>
              <c:idx val="10"/>
              <c:tx>
                <c:strRef>
                  <c:f>'Esc-Return_Regression'!$A$21</c:f>
                  <c:strCache>
                    <c:ptCount val="1"/>
                    <c:pt idx="0">
                      <c:v>1981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{3ABDF7C1-4E68-3B49-9A2D-062788487793}</c15:txfldGUID>
                      <c15:f>'Esc-Return_Regression'!$A$21</c15:f>
                      <c15:dlblFieldTableCache>
                        <c:ptCount val="1"/>
                        <c:pt idx="0">
                          <c:v>1981</c:v>
                        </c:pt>
                      </c15:dlblFieldTableCache>
                    </c15:dlblFTEntry>
                  </c15:dlblFieldTable>
                  <c15:showDataLabelsRange val="0"/>
                </c:ext>
                <c:ext xmlns:c16="http://schemas.microsoft.com/office/drawing/2014/chart" uri="{C3380CC4-5D6E-409C-BE32-E72D297353CC}">
                  <c16:uniqueId val="{0000000A-9729-E04C-BB42-265B5D8A4D47}"/>
                </c:ext>
              </c:extLst>
            </c:dLbl>
            <c:dLbl>
              <c:idx val="11"/>
              <c:tx>
                <c:strRef>
                  <c:f>'Esc-Return_Regression'!$A$22</c:f>
                  <c:strCache>
                    <c:ptCount val="1"/>
                    <c:pt idx="0">
                      <c:v>1983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{CD724A8F-581B-D345-9259-3883FB4935F7}</c15:txfldGUID>
                      <c15:f>'Esc-Return_Regression'!$A$22</c15:f>
                      <c15:dlblFieldTableCache>
                        <c:ptCount val="1"/>
                        <c:pt idx="0">
                          <c:v>1983</c:v>
                        </c:pt>
                      </c15:dlblFieldTableCache>
                    </c15:dlblFTEntry>
                  </c15:dlblFieldTable>
                  <c15:showDataLabelsRange val="0"/>
                </c:ext>
                <c:ext xmlns:c16="http://schemas.microsoft.com/office/drawing/2014/chart" uri="{C3380CC4-5D6E-409C-BE32-E72D297353CC}">
                  <c16:uniqueId val="{0000000B-9729-E04C-BB42-265B5D8A4D47}"/>
                </c:ext>
              </c:extLst>
            </c:dLbl>
            <c:dLbl>
              <c:idx val="12"/>
              <c:layout>
                <c:manualLayout>
                  <c:x val="-3.6732891832229581E-2"/>
                  <c:y val="5.4951127353625326E-2"/>
                </c:manualLayout>
              </c:layout>
              <c:tx>
                <c:strRef>
                  <c:f>'Esc-Return_Regression'!$A$23</c:f>
                  <c:strCache>
                    <c:ptCount val="1"/>
                    <c:pt idx="0">
                      <c:v>1985</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{6EB04A0E-5FE5-B244-8512-D47E3C39E411}</c15:txfldGUID>
                      <c15:f>'Esc-Return_Regression'!$A$23</c15:f>
                      <c15:dlblFieldTableCache>
                        <c:ptCount val="1"/>
                        <c:pt idx="0">
                          <c:v>1985</c:v>
                        </c:pt>
                      </c15:dlblFieldTableCache>
                    </c15:dlblFTEntry>
                  </c15:dlblFieldTable>
                  <c15:showDataLabelsRange val="0"/>
                </c:ext>
                <c:ext xmlns:c16="http://schemas.microsoft.com/office/drawing/2014/chart" uri="{C3380CC4-5D6E-409C-BE32-E72D297353CC}">
                  <c16:uniqueId val="{0000000C-9729-E04C-BB42-265B5D8A4D47}"/>
                </c:ext>
              </c:extLst>
            </c:dLbl>
            <c:dLbl>
              <c:idx val="13"/>
              <c:tx>
                <c:strRef>
                  <c:f>'Esc-Return_Regression'!$A$24</c:f>
                  <c:strCache>
                    <c:ptCount val="1"/>
                    <c:pt idx="0">
                      <c:v>1987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{997D2142-6D0C-764F-B955-85B176DDF5BB}</c15:txfldGUID>
                      <c15:f>'Esc-Return_Regression'!$A$24</c15:f>
                      <c15:dlblFieldTableCache>
                        <c:ptCount val="1"/>
                        <c:pt idx="0">
                          <c:v>1987</c:v>
                        </c:pt>
                      </c15:dlblFieldTableCache>
                    </c15:dlblFTEntry>
                  </c15:dlblFieldTable>
                  <c15:showDataLabelsRange val="0"/>
                </c:ext>
                <c:ext xmlns:c16="http://schemas.microsoft.com/office/drawing/2014/chart" uri="{C3380CC4-5D6E-409C-BE32-E72D297353CC}">
                  <c16:uniqueId val="{0000000D-9729-E04C-BB42-265B5D8A4D47}"/>
                </c:ext>
              </c:extLst>
            </c:dLbl>
            <c:dLbl>
              <c:idx val="14"/>
              <c:tx>
                <c:strRef>
                  <c:f>'Esc-Return_Regression'!$A$25</c:f>
                  <c:strCache>
                    <c:ptCount val="1"/>
                    <c:pt idx="0">
                      <c:v>1989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{9E263DC3-3371-4342-83A9-D7EB01563539}</c15:txfldGUID>
                      <c15:f>'Esc-Return_Regression'!$A$25</c15:f>
                      <c15:dlblFieldTableCache>
                        <c:ptCount val="1"/>
                        <c:pt idx="0">
                          <c:v>1989</c:v>
                        </c:pt>
                      </c15:dlblFieldTableCache>
                    </c15:dlblFTEntry>
                  </c15:dlblFieldTable>
                  <c15:showDataLabelsRange val="0"/>
                </c:ext>
                <c:ext xmlns:c16="http://schemas.microsoft.com/office/drawing/2014/chart" uri="{C3380CC4-5D6E-409C-BE32-E72D297353CC}">
                  <c16:uniqueId val="{0000000E-9729-E04C-BB42-265B5D8A4D47}"/>
                </c:ext>
              </c:extLst>
            </c:dLbl>
            <c:dLbl>
              <c:idx val="15"/>
              <c:tx>
                <c:strRef>
                  <c:f>'Esc-Return_Regression'!$A$26</c:f>
                  <c:strCache>
                    <c:ptCount val="1"/>
                    <c:pt idx="0">
                      <c:v>1991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{0DFC7557-9BDE-494F-86B1-3EF228E16571}</c15:txfldGUID>
                      <c15:f>'Esc-Return_Regression'!$A$26</c15:f>
                      <c15:dlblFieldTableCache>
                        <c:ptCount val="1"/>
                        <c:pt idx="0">
                          <c:v>1991</c:v>
                        </c:pt>
                      </c15:dlblFieldTableCache>
                    </c15:dlblFTEntry>
                  </c15:dlblFieldTable>
                  <c15:showDataLabelsRange val="0"/>
                </c:ext>
                <c:ext xmlns:c16="http://schemas.microsoft.com/office/drawing/2014/chart" uri="{C3380CC4-5D6E-409C-BE32-E72D297353CC}">
                  <c16:uniqueId val="{0000000F-9729-E04C-BB42-265B5D8A4D47}"/>
                </c:ext>
              </c:extLst>
            </c:dLbl>
            <c:dLbl>
              <c:idx val="16"/>
              <c:tx>
                <c:strRef>
                  <c:f>'Esc-Return_Regression'!$A$27</c:f>
                  <c:strCache>
                    <c:ptCount val="1"/>
                    <c:pt idx="0">
                      <c:v>1993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{72AB0584-CD02-AF42-8FDE-F0D67FF98834}</c15:txfldGUID>
                      <c15:f>'Esc-Return_Regression'!$A$27</c15:f>
                      <c15:dlblFieldTableCache>
                        <c:ptCount val="1"/>
                        <c:pt idx="0">
                          <c:v>1993</c:v>
                        </c:pt>
                      </c15:dlblFieldTableCache>
                    </c15:dlblFTEntry>
                  </c15:dlblFieldTable>
                  <c15:showDataLabelsRange val="0"/>
                </c:ext>
                <c:ext xmlns:c16="http://schemas.microsoft.com/office/drawing/2014/chart" uri="{C3380CC4-5D6E-409C-BE32-E72D297353CC}">
                  <c16:uniqueId val="{00000010-9729-E04C-BB42-265B5D8A4D47}"/>
                </c:ext>
              </c:extLst>
            </c:dLbl>
            <c:dLbl>
              <c:idx val="17"/>
              <c:tx>
                <c:strRef>
                  <c:f>'Esc-Return_Regression'!$A$28</c:f>
                  <c:strCache>
                    <c:ptCount val="1"/>
                    <c:pt idx="0">
                      <c:v>1995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{C6B1A90F-BCEC-5D4B-880B-BC2C1344B0C6}</c15:txfldGUID>
                      <c15:f>'Esc-Return_Regression'!$A$28</c15:f>
                      <c15:dlblFieldTableCache>
                        <c:ptCount val="1"/>
                        <c:pt idx="0">
                          <c:v>1995</c:v>
                        </c:pt>
                      </c15:dlblFieldTableCache>
                    </c15:dlblFTEntry>
                  </c15:dlblFieldTable>
                  <c15:showDataLabelsRange val="0"/>
                </c:ext>
                <c:ext xmlns:c16="http://schemas.microsoft.com/office/drawing/2014/chart" uri="{C3380CC4-5D6E-409C-BE32-E72D297353CC}">
                  <c16:uniqueId val="{00000011-9729-E04C-BB42-265B5D8A4D47}"/>
                </c:ext>
              </c:extLst>
            </c:dLbl>
            <c:dLbl>
              <c:idx val="18"/>
              <c:tx>
                <c:strRef>
                  <c:f>'Esc-Return_Regression'!$A$29</c:f>
                  <c:strCache>
                    <c:ptCount val="1"/>
                    <c:pt idx="0">
                      <c:v>1997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{80D702F8-B18C-8741-B764-F7B0531EE0A4}</c15:txfldGUID>
                      <c15:f>'Esc-Return_Regression'!$A$29</c15:f>
                      <c15:dlblFieldTableCache>
                        <c:ptCount val="1"/>
                        <c:pt idx="0">
                          <c:v>1997</c:v>
                        </c:pt>
                      </c15:dlblFieldTableCache>
                    </c15:dlblFTEntry>
                  </c15:dlblFieldTable>
                  <c15:showDataLabelsRange val="0"/>
                </c:ext>
                <c:ext xmlns:c16="http://schemas.microsoft.com/office/drawing/2014/chart" uri="{C3380CC4-5D6E-409C-BE32-E72D297353CC}">
                  <c16:uniqueId val="{00000012-9729-E04C-BB42-265B5D8A4D47}"/>
                </c:ext>
              </c:extLst>
            </c:dLbl>
            <c:dLbl>
              <c:idx val="19"/>
              <c:tx>
                <c:strRef>
                  <c:f>'Esc-Return_Regression'!$A$30</c:f>
                  <c:strCache>
                    <c:ptCount val="1"/>
                    <c:pt idx="0">
                      <c:v>1999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{AE52B0F2-122F-974E-BCB4-82C209430BE6}</c15:txfldGUID>
                      <c15:f>'Esc-Return_Regression'!$A$30</c15:f>
                      <c15:dlblFieldTableCache>
                        <c:ptCount val="1"/>
                        <c:pt idx="0">
                          <c:v>1999</c:v>
                        </c:pt>
                      </c15:dlblFieldTableCache>
                    </c15:dlblFTEntry>
                  </c15:dlblFieldTable>
                  <c15:showDataLabelsRange val="0"/>
                </c:ext>
                <c:ext xmlns:c16="http://schemas.microsoft.com/office/drawing/2014/chart" uri="{C3380CC4-5D6E-409C-BE32-E72D297353CC}">
                  <c16:uniqueId val="{00000013-9729-E04C-BB42-265B5D8A4D47}"/>
                </c:ext>
              </c:extLst>
            </c:dLbl>
            <c:dLbl>
              <c:idx val="20"/>
              <c:tx>
                <c:strRef>
                  <c:f>'Esc-Return_Regression'!$A$31</c:f>
                  <c:strCache>
                    <c:ptCount val="1"/>
                    <c:pt idx="0">
                      <c:v>2001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{B91E3EB8-1234-6143-96FB-36C2673B3176}</c15:txfldGUID>
                      <c15:f>'Esc-Return_Regression'!$A$31</c15:f>
                      <c15:dlblFieldTableCache>
                        <c:ptCount val="1"/>
                        <c:pt idx="0">
                          <c:v>2001</c:v>
                        </c:pt>
                      </c15:dlblFieldTableCache>
                    </c15:dlblFTEntry>
                  </c15:dlblFieldTable>
                  <c15:showDataLabelsRange val="0"/>
                </c:ext>
                <c:ext xmlns:c16="http://schemas.microsoft.com/office/drawing/2014/chart" uri="{C3380CC4-5D6E-409C-BE32-E72D297353CC}">
                  <c16:uniqueId val="{00000014-9729-E04C-BB42-265B5D8A4D47}"/>
                </c:ext>
              </c:extLst>
            </c:dLbl>
            <c:dLbl>
              <c:idx val="21"/>
              <c:tx>
                <c:strRef>
                  <c:f>'Esc-Return_Regression'!$A$32</c:f>
                  <c:strCache>
                    <c:ptCount val="1"/>
                    <c:pt idx="0">
                      <c:v>2003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{1083071B-6766-CC44-ABAF-2183DB08F377}</c15:txfldGUID>
                      <c15:f>'Esc-Return_Regression'!$A$32</c15:f>
                      <c15:dlblFieldTableCache>
                        <c:ptCount val="1"/>
                        <c:pt idx="0">
                          <c:v>2003</c:v>
                        </c:pt>
                      </c15:dlblFieldTableCache>
                    </c15:dlblFTEntry>
                  </c15:dlblFieldTable>
                  <c15:showDataLabelsRange val="0"/>
                </c:ext>
                <c:ext xmlns:c16="http://schemas.microsoft.com/office/drawing/2014/chart" uri="{C3380CC4-5D6E-409C-BE32-E72D297353CC}">
                  <c16:uniqueId val="{00000015-9729-E04C-BB42-265B5D8A4D47}"/>
                </c:ext>
              </c:extLst>
            </c:dLbl>
            <c:dLbl>
              <c:idx val="22"/>
              <c:tx>
                <c:strRef>
                  <c:f>'Esc-Return_Regression'!$A$33</c:f>
                  <c:strCache>
                    <c:ptCount val="1"/>
                    <c:pt idx="0">
                      <c:v>2005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{6A6202AE-FEDB-3F46-B5F6-31E5E6FEDC1C}</c15:txfldGUID>
                      <c15:f>'Esc-Return_Regression'!$A$33</c15:f>
                      <c15:dlblFieldTableCache>
                        <c:ptCount val="1"/>
                        <c:pt idx="0">
                          <c:v>2005</c:v>
                        </c:pt>
                      </c15:dlblFieldTableCache>
                    </c15:dlblFTEntry>
                  </c15:dlblFieldTable>
                  <c15:showDataLabelsRange val="0"/>
                </c:ext>
                <c:ext xmlns:c16="http://schemas.microsoft.com/office/drawing/2014/chart" uri="{C3380CC4-5D6E-409C-BE32-E72D297353CC}">
                  <c16:uniqueId val="{00000016-9729-E04C-BB42-265B5D8A4D47}"/>
                </c:ext>
              </c:extLst>
            </c:dLbl>
            <c:dLbl>
              <c:idx val="23"/>
              <c:tx>
                <c:strRef>
                  <c:f>'Esc-Return_Regression'!$A$34</c:f>
                  <c:strCache>
                    <c:ptCount val="1"/>
                    <c:pt idx="0">
                      <c:v>2007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{24EE8B33-7D2D-4D4E-9907-E5470AA4B9C3}</c15:txfldGUID>
                      <c15:f>'Esc-Return_Regression'!$A$34</c15:f>
                      <c15:dlblFieldTableCache>
                        <c:ptCount val="1"/>
                        <c:pt idx="0">
                          <c:v>2007</c:v>
                        </c:pt>
                      </c15:dlblFieldTableCache>
                    </c15:dlblFTEntry>
                  </c15:dlblFieldTable>
                  <c15:showDataLabelsRange val="0"/>
                </c:ext>
                <c:ext xmlns:c16="http://schemas.microsoft.com/office/drawing/2014/chart" uri="{C3380CC4-5D6E-409C-BE32-E72D297353CC}">
                  <c16:uniqueId val="{00000017-9729-E04C-BB42-265B5D8A4D47}"/>
                </c:ext>
              </c:extLst>
            </c:dLbl>
            <c:dLbl>
              <c:idx val="24"/>
              <c:tx>
                <c:strRef>
                  <c:f>'Esc-Return_Regression'!$A$35</c:f>
                  <c:strCache>
                    <c:ptCount val="1"/>
                    <c:pt idx="0">
                      <c:v>2009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{0B8E2E4A-B0E8-4846-8B27-175F87BAA299}</c15:txfldGUID>
                      <c15:f>'Esc-Return_Regression'!$A$35</c15:f>
                      <c15:dlblFieldTableCache>
                        <c:ptCount val="1"/>
                        <c:pt idx="0">
                          <c:v>2009</c:v>
                        </c:pt>
                      </c15:dlblFieldTableCache>
                    </c15:dlblFTEntry>
                  </c15:dlblFieldTable>
                  <c15:showDataLabelsRange val="0"/>
                </c:ext>
                <c:ext xmlns:c16="http://schemas.microsoft.com/office/drawing/2014/chart" uri="{C3380CC4-5D6E-409C-BE32-E72D297353CC}">
                  <c16:uniqueId val="{00000018-9729-E04C-BB42-265B5D8A4D47}"/>
                </c:ext>
              </c:extLst>
            </c:dLbl>
            <c:dLbl>
              <c:idx val="25"/>
              <c:tx>
                <c:strRef>
                  <c:f>'Esc-Return_Regression'!$A$36</c:f>
                  <c:strCache>
                    <c:ptCount val="1"/>
                    <c:pt idx="0">
                      <c:v>2011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{1EAC4BAB-883A-8045-A0D4-2936BE890E63}</c15:txfldGUID>
                      <c15:f>'Esc-Return_Regression'!$A$36</c15:f>
                      <c15:dlblFieldTableCache>
                        <c:ptCount val="1"/>
                        <c:pt idx="0">
                          <c:v>2011</c:v>
                        </c:pt>
                      </c15:dlblFieldTableCache>
                    </c15:dlblFTEntry>
                  </c15:dlblFieldTable>
                  <c15:showDataLabelsRange val="0"/>
                </c:ext>
                <c:ext xmlns:c16="http://schemas.microsoft.com/office/drawing/2014/chart" uri="{C3380CC4-5D6E-409C-BE32-E72D297353CC}">
                  <c16:uniqueId val="{00000019-9729-E04C-BB42-265B5D8A4D47}"/>
                </c:ext>
              </c:extLst>
            </c:dLbl>
            <c:dLbl>
              <c:idx val="26"/>
              <c:tx>
                <c:strRef>
                  <c:f>'Esc-Return_Regression'!$A$37</c:f>
                  <c:strCache>
                    <c:ptCount val="1"/>
                    <c:pt idx="0">
                      <c:v>2013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{1FF3D240-E3B8-8F4C-AF52-C3936BA18B59}</c15:txfldGUID>
                      <c15:f>'Esc-Return_Regression'!$A$37</c15:f>
                      <c15:dlblFieldTableCache>
                        <c:ptCount val="1"/>
                        <c:pt idx="0">
                          <c:v>2013</c:v>
                        </c:pt>
                      </c15:dlblFieldTableCache>
                    </c15:dlblFTEntry>
                  </c15:dlblFieldTable>
                  <c15:showDataLabelsRange val="0"/>
                </c:ext>
                <c:ext xmlns:c16="http://schemas.microsoft.com/office/drawing/2014/chart" uri="{C3380CC4-5D6E-409C-BE32-E72D297353CC}">
                  <c16:uniqueId val="{0000001A-9729-E04C-BB42-265B5D8A4D4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trendlineType val="linear"/>
            <c:dispRSqr val="1"/>
            <c:dispEq val="1"/>
            <c:trendlineLbl>
              <c:layout>
                <c:manualLayout>
                  <c:x val="5.1143442684856245E-2"/>
                  <c:y val="0.25803514383728382"/>
                </c:manualLayout>
              </c:layout>
              <c:numFmt formatCode="General" sourceLinked="0"/>
              <c:txPr>
                <a:bodyPr/>
                <a:lstStyle/>
                <a:p>
                  <a:pPr>
                    <a:defRPr sz="1200"/>
                  </a:pPr>
                  <a:endParaRPr lang="en-US"/>
                </a:p>
              </c:txPr>
            </c:trendlineLbl>
          </c:trendline>
          <c:xVal>
            <c:numRef>
              <c:f>'Esc-Return_Regression'!$D$11:$D$37</c:f>
              <c:numCache>
                <c:formatCode>0.00</c:formatCode>
                <c:ptCount val="27"/>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numCache>
            </c:numRef>
          </c:xVal>
          <c:yVal>
            <c:numRef>
              <c:f>'Esc-Return_Regression'!$F$11:$F$37</c:f>
              <c:numCache>
                <c:formatCode>0.00</c:formatCode>
                <c:ptCount val="27"/>
                <c:pt idx="0">
                  <c:v>15.710295518802155</c:v>
                </c:pt>
                <c:pt idx="1">
                  <c:v>15.049942826774886</c:v>
                </c:pt>
                <c:pt idx="2">
                  <c:v>15.059261612298622</c:v>
                </c:pt>
                <c:pt idx="3">
                  <c:v>15.470523758100148</c:v>
                </c:pt>
                <c:pt idx="4">
                  <c:v>15.94653763882399</c:v>
                </c:pt>
                <c:pt idx="5">
                  <c:v>15.959800026035939</c:v>
                </c:pt>
                <c:pt idx="6">
                  <c:v>15.016209408748322</c:v>
                </c:pt>
                <c:pt idx="7">
                  <c:v>15.576192243549105</c:v>
                </c:pt>
                <c:pt idx="8">
                  <c:v>16.668267153121018</c:v>
                </c:pt>
                <c:pt idx="9">
                  <c:v>16.789450391857873</c:v>
                </c:pt>
                <c:pt idx="10">
                  <c:v>16.263696859413287</c:v>
                </c:pt>
                <c:pt idx="11">
                  <c:v>16.808143282876529</c:v>
                </c:pt>
                <c:pt idx="12">
                  <c:v>16.385596240357142</c:v>
                </c:pt>
                <c:pt idx="13">
                  <c:v>15.372338520126076</c:v>
                </c:pt>
                <c:pt idx="14">
                  <c:v>15.836365961207919</c:v>
                </c:pt>
                <c:pt idx="15">
                  <c:v>14.249201541526689</c:v>
                </c:pt>
                <c:pt idx="16">
                  <c:v>15.185220148927955</c:v>
                </c:pt>
                <c:pt idx="17">
                  <c:v>14.766659423843313</c:v>
                </c:pt>
                <c:pt idx="18">
                  <c:v>16.056773073127243</c:v>
                </c:pt>
                <c:pt idx="19">
                  <c:v>15.996456349799002</c:v>
                </c:pt>
                <c:pt idx="20">
                  <c:v>15.809463917433993</c:v>
                </c:pt>
                <c:pt idx="21">
                  <c:v>16.650633118619044</c:v>
                </c:pt>
                <c:pt idx="22">
                  <c:v>16.260201608764461</c:v>
                </c:pt>
                <c:pt idx="23">
                  <c:v>14.853781941234109</c:v>
                </c:pt>
                <c:pt idx="24">
                  <c:v>16.081753087954393</c:v>
                </c:pt>
                <c:pt idx="25">
                  <c:v>16.904981458898906</c:v>
                </c:pt>
                <c:pt idx="26">
                  <c:v>17.271312208063883</c:v>
                </c:pt>
              </c:numCache>
            </c:numRef>
          </c:yVal>
          <c:smooth val="0"/>
          <c:extLst>
            <c:ext xmlns:c16="http://schemas.microsoft.com/office/drawing/2014/chart" uri="{C3380CC4-5D6E-409C-BE32-E72D297353CC}">
              <c16:uniqueId val="{0000001C-9729-E04C-BB42-265B5D8A4D47}"/>
            </c:ext>
          </c:extLst>
        </c:ser>
        <c:dLbls>
          <c:showLegendKey val="0"/>
          <c:showVal val="0"/>
          <c:showCatName val="0"/>
          <c:showSerName val="0"/>
          <c:showPercent val="0"/>
          <c:showBubbleSize val="0"/>
        </c:dLbls>
        <c:axId val="180213632"/>
        <c:axId val="180387840"/>
      </c:scatterChart>
      <c:valAx>
        <c:axId val="180213632"/>
        <c:scaling>
          <c:orientation val="minMax"/>
        </c:scaling>
        <c:delete val="0"/>
        <c:axPos val="b"/>
        <c:title>
          <c:tx>
            <c:rich>
              <a:bodyPr/>
              <a:lstStyle/>
              <a:p>
                <a:pPr>
                  <a:defRPr sz="1200"/>
                </a:pPr>
                <a:r>
                  <a:rPr lang="en-US" sz="1200"/>
                  <a:t>Brood Year Escapement Index</a:t>
                </a:r>
              </a:p>
              <a:p>
                <a:pPr>
                  <a:defRPr sz="1200"/>
                </a:pPr>
                <a:r>
                  <a:rPr lang="en-US" sz="1200"/>
                  <a:t>Ln(Esc.</a:t>
                </a:r>
                <a:r>
                  <a:rPr lang="en-US" sz="1200" baseline="0"/>
                  <a:t> Index)</a:t>
                </a:r>
                <a:endParaRPr lang="en-US" sz="1200"/>
              </a:p>
            </c:rich>
          </c:tx>
          <c:overlay val="0"/>
        </c:title>
        <c:numFmt formatCode="0.00" sourceLinked="1"/>
        <c:majorTickMark val="out"/>
        <c:minorTickMark val="none"/>
        <c:tickLblPos val="nextTo"/>
        <c:txPr>
          <a:bodyPr rot="0"/>
          <a:lstStyle/>
          <a:p>
            <a:pPr>
              <a:defRPr sz="1000"/>
            </a:pPr>
            <a:endParaRPr lang="en-US"/>
          </a:p>
        </c:txPr>
        <c:crossAx val="180387840"/>
        <c:crosses val="autoZero"/>
        <c:crossBetween val="midCat"/>
      </c:valAx>
      <c:valAx>
        <c:axId val="180387840"/>
        <c:scaling>
          <c:orientation val="minMax"/>
          <c:min val="13"/>
        </c:scaling>
        <c:delete val="0"/>
        <c:axPos val="l"/>
        <c:title>
          <c:tx>
            <c:rich>
              <a:bodyPr rot="-5400000" vert="horz"/>
              <a:lstStyle/>
              <a:p>
                <a:pPr>
                  <a:defRPr sz="1200"/>
                </a:pPr>
                <a:r>
                  <a:rPr lang="en-US" sz="1200"/>
                  <a:t>Brood Year Return</a:t>
                </a:r>
              </a:p>
              <a:p>
                <a:pPr>
                  <a:defRPr sz="1200"/>
                </a:pPr>
                <a:r>
                  <a:rPr lang="en-US" sz="1200"/>
                  <a:t>Ln(No. of Fsh)</a:t>
                </a:r>
              </a:p>
            </c:rich>
          </c:tx>
          <c:layout>
            <c:manualLayout>
              <c:xMode val="edge"/>
              <c:yMode val="edge"/>
              <c:x val="1.1001286670034588E-2"/>
              <c:y val="0.18490403638516317"/>
            </c:manualLayout>
          </c:layout>
          <c:overlay val="0"/>
        </c:title>
        <c:numFmt formatCode="0.00" sourceLinked="1"/>
        <c:majorTickMark val="out"/>
        <c:minorTickMark val="none"/>
        <c:tickLblPos val="nextTo"/>
        <c:txPr>
          <a:bodyPr/>
          <a:lstStyle/>
          <a:p>
            <a:pPr>
              <a:defRPr sz="1000"/>
            </a:pPr>
            <a:endParaRPr lang="en-US"/>
          </a:p>
        </c:txPr>
        <c:crossAx val="18021363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558984015609743"/>
          <c:y val="5.2573977078779768E-2"/>
          <c:w val="0.84863948091369101"/>
          <c:h val="0.68549607563990034"/>
        </c:manualLayout>
      </c:layout>
      <c:lineChart>
        <c:grouping val="standard"/>
        <c:varyColors val="0"/>
        <c:ser>
          <c:idx val="0"/>
          <c:order val="0"/>
          <c:tx>
            <c:v>Escapement Index</c:v>
          </c:tx>
          <c:cat>
            <c:numRef>
              <c:f>'Esc-Return_Regression'!$A$11:$A$38</c:f>
              <c:numCache>
                <c:formatCode>General</c:formatCode>
                <c:ptCount val="28"/>
                <c:pt idx="0" formatCode="0">
                  <c:v>1961</c:v>
                </c:pt>
                <c:pt idx="1">
                  <c:v>1963</c:v>
                </c:pt>
                <c:pt idx="2">
                  <c:v>1965</c:v>
                </c:pt>
                <c:pt idx="3">
                  <c:v>1967</c:v>
                </c:pt>
                <c:pt idx="4">
                  <c:v>1969</c:v>
                </c:pt>
                <c:pt idx="5">
                  <c:v>1971</c:v>
                </c:pt>
                <c:pt idx="6">
                  <c:v>1973</c:v>
                </c:pt>
                <c:pt idx="7">
                  <c:v>1975</c:v>
                </c:pt>
                <c:pt idx="8">
                  <c:v>1977</c:v>
                </c:pt>
                <c:pt idx="9">
                  <c:v>1979</c:v>
                </c:pt>
                <c:pt idx="10">
                  <c:v>1981</c:v>
                </c:pt>
                <c:pt idx="11">
                  <c:v>1983</c:v>
                </c:pt>
                <c:pt idx="12">
                  <c:v>1985</c:v>
                </c:pt>
                <c:pt idx="13">
                  <c:v>1987</c:v>
                </c:pt>
                <c:pt idx="14">
                  <c:v>1989</c:v>
                </c:pt>
                <c:pt idx="15">
                  <c:v>1991</c:v>
                </c:pt>
                <c:pt idx="16">
                  <c:v>1993</c:v>
                </c:pt>
                <c:pt idx="17">
                  <c:v>1995</c:v>
                </c:pt>
                <c:pt idx="18">
                  <c:v>1997</c:v>
                </c:pt>
                <c:pt idx="19">
                  <c:v>1999</c:v>
                </c:pt>
                <c:pt idx="20">
                  <c:v>2001</c:v>
                </c:pt>
                <c:pt idx="21">
                  <c:v>2003</c:v>
                </c:pt>
                <c:pt idx="22">
                  <c:v>2005</c:v>
                </c:pt>
                <c:pt idx="23">
                  <c:v>2007</c:v>
                </c:pt>
                <c:pt idx="24">
                  <c:v>2009</c:v>
                </c:pt>
                <c:pt idx="25">
                  <c:v>2011</c:v>
                </c:pt>
                <c:pt idx="26">
                  <c:v>2013</c:v>
                </c:pt>
                <c:pt idx="27">
                  <c:v>2015</c:v>
                </c:pt>
              </c:numCache>
            </c:numRef>
          </c:cat>
          <c:val>
            <c:numRef>
              <c:f>'Esc-Return_Regression'!$C$11:$C$38</c:f>
              <c:numCache>
                <c:formatCode>#,##0</c:formatCode>
                <c:ptCount val="28"/>
                <c:pt idx="0">
                  <c:v>2198980</c:v>
                </c:pt>
                <c:pt idx="1">
                  <c:v>1355740</c:v>
                </c:pt>
                <c:pt idx="2">
                  <c:v>975956</c:v>
                </c:pt>
                <c:pt idx="3">
                  <c:v>842260</c:v>
                </c:pt>
                <c:pt idx="4">
                  <c:v>404570</c:v>
                </c:pt>
                <c:pt idx="5">
                  <c:v>1112550</c:v>
                </c:pt>
                <c:pt idx="6">
                  <c:v>1225010</c:v>
                </c:pt>
                <c:pt idx="7">
                  <c:v>1265560</c:v>
                </c:pt>
                <c:pt idx="8">
                  <c:v>1517667</c:v>
                </c:pt>
                <c:pt idx="9">
                  <c:v>2901977</c:v>
                </c:pt>
                <c:pt idx="10">
                  <c:v>2166319</c:v>
                </c:pt>
                <c:pt idx="11">
                  <c:v>2003106</c:v>
                </c:pt>
                <c:pt idx="12">
                  <c:v>2347997</c:v>
                </c:pt>
                <c:pt idx="13">
                  <c:v>1372217</c:v>
                </c:pt>
                <c:pt idx="14">
                  <c:v>1233676</c:v>
                </c:pt>
                <c:pt idx="15">
                  <c:v>1725792</c:v>
                </c:pt>
                <c:pt idx="16">
                  <c:v>1065640</c:v>
                </c:pt>
                <c:pt idx="17">
                  <c:v>1190184</c:v>
                </c:pt>
                <c:pt idx="18">
                  <c:v>1422688</c:v>
                </c:pt>
                <c:pt idx="19">
                  <c:v>2462862</c:v>
                </c:pt>
                <c:pt idx="20">
                  <c:v>2000386</c:v>
                </c:pt>
                <c:pt idx="21">
                  <c:v>2846732</c:v>
                </c:pt>
                <c:pt idx="22">
                  <c:v>4736115.8571428573</c:v>
                </c:pt>
                <c:pt idx="23">
                  <c:v>1509133.1628835602</c:v>
                </c:pt>
                <c:pt idx="24">
                  <c:v>1829622.6091624377</c:v>
                </c:pt>
                <c:pt idx="25">
                  <c:v>3927419</c:v>
                </c:pt>
                <c:pt idx="26">
                  <c:v>4684239</c:v>
                </c:pt>
                <c:pt idx="27">
                  <c:v>6148422.160193054</c:v>
                </c:pt>
              </c:numCache>
            </c:numRef>
          </c:val>
          <c:smooth val="0"/>
          <c:extLst>
            <c:ext xmlns:c16="http://schemas.microsoft.com/office/drawing/2014/chart" uri="{C3380CC4-5D6E-409C-BE32-E72D297353CC}">
              <c16:uniqueId val="{00000000-587D-9C42-AEA2-29834EE50078}"/>
            </c:ext>
          </c:extLst>
        </c:ser>
        <c:ser>
          <c:idx val="1"/>
          <c:order val="1"/>
          <c:tx>
            <c:v>Brood Year Return</c:v>
          </c:tx>
          <c:dLbls>
            <c:dLbl>
              <c:idx val="0"/>
              <c:tx>
                <c:strRef>
                  <c:f>'Esc-Return_Regression'!$B$11</c:f>
                  <c:strCache>
                    <c:ptCount val="1"/>
                    <c:pt idx="0">
                      <c:v>1963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{801108AC-16D9-AC47-AACA-3AF935A9CC3D}</c15:txfldGUID>
                      <c15:f>'Esc-Return_Regression'!$B$11</c15:f>
                      <c15:dlblFieldTableCache>
                        <c:ptCount val="1"/>
                        <c:pt idx="0">
                          <c:v>1963</c:v>
                        </c:pt>
                      </c15:dlblFieldTableCache>
                    </c15:dlblFTEntry>
                  </c15:dlblFieldTable>
                  <c15:showDataLabelsRange val="0"/>
                </c:ext>
                <c:ext xmlns:c16="http://schemas.microsoft.com/office/drawing/2014/chart" uri="{C3380CC4-5D6E-409C-BE32-E72D297353CC}">
                  <c16:uniqueId val="{00000001-587D-9C42-AEA2-29834EE50078}"/>
                </c:ext>
              </c:extLst>
            </c:dLbl>
            <c:dLbl>
              <c:idx val="1"/>
              <c:tx>
                <c:strRef>
                  <c:f>'Esc-Return_Regression'!$B$12</c:f>
                  <c:strCache>
                    <c:ptCount val="1"/>
                    <c:pt idx="0">
                      <c:v>1965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{24BDCB8E-EC9D-6D47-AB8B-27F4A3B2015A}</c15:txfldGUID>
                      <c15:f>'Esc-Return_Regression'!$B$12</c15:f>
                      <c15:dlblFieldTableCache>
                        <c:ptCount val="1"/>
                        <c:pt idx="0">
                          <c:v>1965</c:v>
                        </c:pt>
                      </c15:dlblFieldTableCache>
                    </c15:dlblFTEntry>
                  </c15:dlblFieldTable>
                  <c15:showDataLabelsRange val="0"/>
                </c:ext>
                <c:ext xmlns:c16="http://schemas.microsoft.com/office/drawing/2014/chart" uri="{C3380CC4-5D6E-409C-BE32-E72D297353CC}">
                  <c16:uniqueId val="{00000002-587D-9C42-AEA2-29834EE50078}"/>
                </c:ext>
              </c:extLst>
            </c:dLbl>
            <c:dLbl>
              <c:idx val="2"/>
              <c:tx>
                <c:strRef>
                  <c:f>'Esc-Return_Regression'!$B$13</c:f>
                  <c:strCache>
                    <c:ptCount val="1"/>
                    <c:pt idx="0">
                      <c:v>1967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{4D112472-73C2-254E-9A8F-F711A6AD27BD}</c15:txfldGUID>
                      <c15:f>'Esc-Return_Regression'!$B$13</c15:f>
                      <c15:dlblFieldTableCache>
                        <c:ptCount val="1"/>
                        <c:pt idx="0">
                          <c:v>1967</c:v>
                        </c:pt>
                      </c15:dlblFieldTableCache>
                    </c15:dlblFTEntry>
                  </c15:dlblFieldTable>
                  <c15:showDataLabelsRange val="0"/>
                </c:ext>
                <c:ext xmlns:c16="http://schemas.microsoft.com/office/drawing/2014/chart" uri="{C3380CC4-5D6E-409C-BE32-E72D297353CC}">
                  <c16:uniqueId val="{00000003-587D-9C42-AEA2-29834EE50078}"/>
                </c:ext>
              </c:extLst>
            </c:dLbl>
            <c:dLbl>
              <c:idx val="3"/>
              <c:delete val="1"/>
              <c:extLst>
                <c:ext xmlns:c15="http://schemas.microsoft.com/office/drawing/2012/chart" uri="{CE6537A1-D6FC-4f65-9D91-7224C49458BB}"/>
                <c:ext xmlns:c16="http://schemas.microsoft.com/office/drawing/2014/chart" uri="{C3380CC4-5D6E-409C-BE32-E72D297353CC}">
                  <c16:uniqueId val="{00000004-587D-9C42-AEA2-29834EE50078}"/>
                </c:ext>
              </c:extLst>
            </c:dLbl>
            <c:dLbl>
              <c:idx val="4"/>
              <c:tx>
                <c:strRef>
                  <c:f>'Esc-Return_Regression'!$B$15</c:f>
                  <c:strCache>
                    <c:ptCount val="1"/>
                    <c:pt idx="0">
                      <c:v>1971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{990AEB45-0B7F-6642-829E-14DBBE06C33D}</c15:txfldGUID>
                      <c15:f>'Esc-Return_Regression'!$B$15</c15:f>
                      <c15:dlblFieldTableCache>
                        <c:ptCount val="1"/>
                        <c:pt idx="0">
                          <c:v>1971</c:v>
                        </c:pt>
                      </c15:dlblFieldTableCache>
                    </c15:dlblFTEntry>
                  </c15:dlblFieldTable>
                  <c15:showDataLabelsRange val="0"/>
                </c:ext>
                <c:ext xmlns:c16="http://schemas.microsoft.com/office/drawing/2014/chart" uri="{C3380CC4-5D6E-409C-BE32-E72D297353CC}">
                  <c16:uniqueId val="{00000005-587D-9C42-AEA2-29834EE50078}"/>
                </c:ext>
              </c:extLst>
            </c:dLbl>
            <c:dLbl>
              <c:idx val="5"/>
              <c:delete val="1"/>
              <c:extLst>
                <c:ext xmlns:c15="http://schemas.microsoft.com/office/drawing/2012/chart" uri="{CE6537A1-D6FC-4f65-9D91-7224C49458BB}"/>
                <c:ext xmlns:c16="http://schemas.microsoft.com/office/drawing/2014/chart" uri="{C3380CC4-5D6E-409C-BE32-E72D297353CC}">
                  <c16:uniqueId val="{00000006-587D-9C42-AEA2-29834EE50078}"/>
                </c:ext>
              </c:extLst>
            </c:dLbl>
            <c:dLbl>
              <c:idx val="6"/>
              <c:tx>
                <c:strRef>
                  <c:f>'Esc-Return_Regression'!$B$17</c:f>
                  <c:strCache>
                    <c:ptCount val="1"/>
                    <c:pt idx="0">
                      <c:v>1975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{634CC6E3-DBF6-3F42-BE5D-13EED9FC9038}</c15:txfldGUID>
                      <c15:f>'Esc-Return_Regression'!$B$17</c15:f>
                      <c15:dlblFieldTableCache>
                        <c:ptCount val="1"/>
                        <c:pt idx="0">
                          <c:v>1975</c:v>
                        </c:pt>
                      </c15:dlblFieldTableCache>
                    </c15:dlblFTEntry>
                  </c15:dlblFieldTable>
                  <c15:showDataLabelsRange val="0"/>
                </c:ext>
                <c:ext xmlns:c16="http://schemas.microsoft.com/office/drawing/2014/chart" uri="{C3380CC4-5D6E-409C-BE32-E72D297353CC}">
                  <c16:uniqueId val="{00000007-587D-9C42-AEA2-29834EE50078}"/>
                </c:ext>
              </c:extLst>
            </c:dLbl>
            <c:dLbl>
              <c:idx val="7"/>
              <c:delete val="1"/>
              <c:extLst>
                <c:ext xmlns:c15="http://schemas.microsoft.com/office/drawing/2012/chart" uri="{CE6537A1-D6FC-4f65-9D91-7224C49458BB}"/>
                <c:ext xmlns:c16="http://schemas.microsoft.com/office/drawing/2014/chart" uri="{C3380CC4-5D6E-409C-BE32-E72D297353CC}">
                  <c16:uniqueId val="{00000008-587D-9C42-AEA2-29834EE50078}"/>
                </c:ext>
              </c:extLst>
            </c:dLbl>
            <c:dLbl>
              <c:idx val="8"/>
              <c:tx>
                <c:strRef>
                  <c:f>'Esc-Return_Regression'!$B$19</c:f>
                  <c:strCache>
                    <c:ptCount val="1"/>
                    <c:pt idx="0">
                      <c:v>1979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{ABA83F4A-4654-8149-A3B2-D2C7F971B9CD}</c15:txfldGUID>
                      <c15:f>'Esc-Return_Regression'!$B$19</c15:f>
                      <c15:dlblFieldTableCache>
                        <c:ptCount val="1"/>
                        <c:pt idx="0">
                          <c:v>1979</c:v>
                        </c:pt>
                      </c15:dlblFieldTableCache>
                    </c15:dlblFTEntry>
                  </c15:dlblFieldTable>
                  <c15:showDataLabelsRange val="0"/>
                </c:ext>
                <c:ext xmlns:c16="http://schemas.microsoft.com/office/drawing/2014/chart" uri="{C3380CC4-5D6E-409C-BE32-E72D297353CC}">
                  <c16:uniqueId val="{00000009-587D-9C42-AEA2-29834EE50078}"/>
                </c:ext>
              </c:extLst>
            </c:dLbl>
            <c:dLbl>
              <c:idx val="9"/>
              <c:tx>
                <c:strRef>
                  <c:f>'Esc-Return_Regression'!$B$20</c:f>
                  <c:strCache>
                    <c:ptCount val="1"/>
                    <c:pt idx="0">
                      <c:v>1981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{BB65903F-D28E-BE4E-9FBB-B20EE91F66C9}</c15:txfldGUID>
                      <c15:f>'Esc-Return_Regression'!$B$20</c15:f>
                      <c15:dlblFieldTableCache>
                        <c:ptCount val="1"/>
                        <c:pt idx="0">
                          <c:v>1981</c:v>
                        </c:pt>
                      </c15:dlblFieldTableCache>
                    </c15:dlblFTEntry>
                  </c15:dlblFieldTable>
                  <c15:showDataLabelsRange val="0"/>
                </c:ext>
                <c:ext xmlns:c16="http://schemas.microsoft.com/office/drawing/2014/chart" uri="{C3380CC4-5D6E-409C-BE32-E72D297353CC}">
                  <c16:uniqueId val="{0000000A-587D-9C42-AEA2-29834EE50078}"/>
                </c:ext>
              </c:extLst>
            </c:dLbl>
            <c:dLbl>
              <c:idx val="10"/>
              <c:tx>
                <c:strRef>
                  <c:f>'Esc-Return_Regression'!$B$21</c:f>
                  <c:strCache>
                    <c:ptCount val="1"/>
                    <c:pt idx="0">
                      <c:v>1983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{335994E1-C914-A741-8B97-996F3F7A2046}</c15:txfldGUID>
                      <c15:f>'Esc-Return_Regression'!$B$21</c15:f>
                      <c15:dlblFieldTableCache>
                        <c:ptCount val="1"/>
                        <c:pt idx="0">
                          <c:v>1983</c:v>
                        </c:pt>
                      </c15:dlblFieldTableCache>
                    </c15:dlblFTEntry>
                  </c15:dlblFieldTable>
                  <c15:showDataLabelsRange val="0"/>
                </c:ext>
                <c:ext xmlns:c16="http://schemas.microsoft.com/office/drawing/2014/chart" uri="{C3380CC4-5D6E-409C-BE32-E72D297353CC}">
                  <c16:uniqueId val="{0000000B-587D-9C42-AEA2-29834EE50078}"/>
                </c:ext>
              </c:extLst>
            </c:dLbl>
            <c:dLbl>
              <c:idx val="11"/>
              <c:tx>
                <c:strRef>
                  <c:f>'Esc-Return_Regression'!$B$22</c:f>
                  <c:strCache>
                    <c:ptCount val="1"/>
                    <c:pt idx="0">
                      <c:v>1985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{3F7B89A8-51EB-7046-9957-606D747FF93B}</c15:txfldGUID>
                      <c15:f>'Esc-Return_Regression'!$B$22</c15:f>
                      <c15:dlblFieldTableCache>
                        <c:ptCount val="1"/>
                        <c:pt idx="0">
                          <c:v>1985</c:v>
                        </c:pt>
                      </c15:dlblFieldTableCache>
                    </c15:dlblFTEntry>
                  </c15:dlblFieldTable>
                  <c15:showDataLabelsRange val="0"/>
                </c:ext>
                <c:ext xmlns:c16="http://schemas.microsoft.com/office/drawing/2014/chart" uri="{C3380CC4-5D6E-409C-BE32-E72D297353CC}">
                  <c16:uniqueId val="{0000000C-587D-9C42-AEA2-29834EE50078}"/>
                </c:ext>
              </c:extLst>
            </c:dLbl>
            <c:dLbl>
              <c:idx val="12"/>
              <c:tx>
                <c:strRef>
                  <c:f>'Esc-Return_Regression'!$B$23</c:f>
                  <c:strCache>
                    <c:ptCount val="1"/>
                    <c:pt idx="0">
                      <c:v>1987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{518DAB56-CF12-A345-B896-ACCBD2182972}</c15:txfldGUID>
                      <c15:f>'Esc-Return_Regression'!$B$23</c15:f>
                      <c15:dlblFieldTableCache>
                        <c:ptCount val="1"/>
                        <c:pt idx="0">
                          <c:v>1987</c:v>
                        </c:pt>
                      </c15:dlblFieldTableCache>
                    </c15:dlblFTEntry>
                  </c15:dlblFieldTable>
                  <c15:showDataLabelsRange val="0"/>
                </c:ext>
                <c:ext xmlns:c16="http://schemas.microsoft.com/office/drawing/2014/chart" uri="{C3380CC4-5D6E-409C-BE32-E72D297353CC}">
                  <c16:uniqueId val="{0000000D-587D-9C42-AEA2-29834EE50078}"/>
                </c:ext>
              </c:extLst>
            </c:dLbl>
            <c:dLbl>
              <c:idx val="13"/>
              <c:tx>
                <c:strRef>
                  <c:f>'Esc-Return_Regression'!$B$24</c:f>
                  <c:strCache>
                    <c:ptCount val="1"/>
                    <c:pt idx="0">
                      <c:v>1989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{5381E074-172D-FE42-A2AC-24E1F431C03B}</c15:txfldGUID>
                      <c15:f>'Esc-Return_Regression'!$B$24</c15:f>
                      <c15:dlblFieldTableCache>
                        <c:ptCount val="1"/>
                        <c:pt idx="0">
                          <c:v>1989</c:v>
                        </c:pt>
                      </c15:dlblFieldTableCache>
                    </c15:dlblFTEntry>
                  </c15:dlblFieldTable>
                  <c15:showDataLabelsRange val="0"/>
                </c:ext>
                <c:ext xmlns:c16="http://schemas.microsoft.com/office/drawing/2014/chart" uri="{C3380CC4-5D6E-409C-BE32-E72D297353CC}">
                  <c16:uniqueId val="{0000000E-587D-9C42-AEA2-29834EE50078}"/>
                </c:ext>
              </c:extLst>
            </c:dLbl>
            <c:dLbl>
              <c:idx val="14"/>
              <c:tx>
                <c:strRef>
                  <c:f>'Esc-Return_Regression'!$B$25</c:f>
                  <c:strCache>
                    <c:ptCount val="1"/>
                    <c:pt idx="0">
                      <c:v>1991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{879128D9-AEB4-5B46-A44B-77BFFE5DC8B6}</c15:txfldGUID>
                      <c15:f>'Esc-Return_Regression'!$B$25</c15:f>
                      <c15:dlblFieldTableCache>
                        <c:ptCount val="1"/>
                        <c:pt idx="0">
                          <c:v>1991</c:v>
                        </c:pt>
                      </c15:dlblFieldTableCache>
                    </c15:dlblFTEntry>
                  </c15:dlblFieldTable>
                  <c15:showDataLabelsRange val="0"/>
                </c:ext>
                <c:ext xmlns:c16="http://schemas.microsoft.com/office/drawing/2014/chart" uri="{C3380CC4-5D6E-409C-BE32-E72D297353CC}">
                  <c16:uniqueId val="{0000000F-587D-9C42-AEA2-29834EE50078}"/>
                </c:ext>
              </c:extLst>
            </c:dLbl>
            <c:dLbl>
              <c:idx val="15"/>
              <c:tx>
                <c:strRef>
                  <c:f>'Esc-Return_Regression'!$B$26</c:f>
                  <c:strCache>
                    <c:ptCount val="1"/>
                    <c:pt idx="0">
                      <c:v>1993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{807D0CBC-FC88-8E40-A602-9050F7708ABB}</c15:txfldGUID>
                      <c15:f>'Esc-Return_Regression'!$B$26</c15:f>
                      <c15:dlblFieldTableCache>
                        <c:ptCount val="1"/>
                        <c:pt idx="0">
                          <c:v>1993</c:v>
                        </c:pt>
                      </c15:dlblFieldTableCache>
                    </c15:dlblFTEntry>
                  </c15:dlblFieldTable>
                  <c15:showDataLabelsRange val="0"/>
                </c:ext>
                <c:ext xmlns:c16="http://schemas.microsoft.com/office/drawing/2014/chart" uri="{C3380CC4-5D6E-409C-BE32-E72D297353CC}">
                  <c16:uniqueId val="{00000010-587D-9C42-AEA2-29834EE50078}"/>
                </c:ext>
              </c:extLst>
            </c:dLbl>
            <c:dLbl>
              <c:idx val="16"/>
              <c:tx>
                <c:strRef>
                  <c:f>'Esc-Return_Regression'!$B$27</c:f>
                  <c:strCache>
                    <c:ptCount val="1"/>
                    <c:pt idx="0">
                      <c:v>1995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{F7148E35-2246-D048-878D-38A68FEC898C}</c15:txfldGUID>
                      <c15:f>'Esc-Return_Regression'!$B$27</c15:f>
                      <c15:dlblFieldTableCache>
                        <c:ptCount val="1"/>
                        <c:pt idx="0">
                          <c:v>1995</c:v>
                        </c:pt>
                      </c15:dlblFieldTableCache>
                    </c15:dlblFTEntry>
                  </c15:dlblFieldTable>
                  <c15:showDataLabelsRange val="0"/>
                </c:ext>
                <c:ext xmlns:c16="http://schemas.microsoft.com/office/drawing/2014/chart" uri="{C3380CC4-5D6E-409C-BE32-E72D297353CC}">
                  <c16:uniqueId val="{00000011-587D-9C42-AEA2-29834EE50078}"/>
                </c:ext>
              </c:extLst>
            </c:dLbl>
            <c:dLbl>
              <c:idx val="17"/>
              <c:delete val="1"/>
              <c:extLst>
                <c:ext xmlns:c15="http://schemas.microsoft.com/office/drawing/2012/chart" uri="{CE6537A1-D6FC-4f65-9D91-7224C49458BB}"/>
                <c:ext xmlns:c16="http://schemas.microsoft.com/office/drawing/2014/chart" uri="{C3380CC4-5D6E-409C-BE32-E72D297353CC}">
                  <c16:uniqueId val="{00000012-587D-9C42-AEA2-29834EE50078}"/>
                </c:ext>
              </c:extLst>
            </c:dLbl>
            <c:dLbl>
              <c:idx val="18"/>
              <c:tx>
                <c:strRef>
                  <c:f>'Esc-Return_Regression'!$B$29</c:f>
                  <c:strCache>
                    <c:ptCount val="1"/>
                    <c:pt idx="0">
                      <c:v>1999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{C14EFACD-FB05-5146-B88B-2B7C638DD0F5}</c15:txfldGUID>
                      <c15:f>'Esc-Return_Regression'!$B$29</c15:f>
                      <c15:dlblFieldTableCache>
                        <c:ptCount val="1"/>
                        <c:pt idx="0">
                          <c:v>1999</c:v>
                        </c:pt>
                      </c15:dlblFieldTableCache>
                    </c15:dlblFTEntry>
                  </c15:dlblFieldTable>
                  <c15:showDataLabelsRange val="0"/>
                </c:ext>
                <c:ext xmlns:c16="http://schemas.microsoft.com/office/drawing/2014/chart" uri="{C3380CC4-5D6E-409C-BE32-E72D297353CC}">
                  <c16:uniqueId val="{00000013-587D-9C42-AEA2-29834EE50078}"/>
                </c:ext>
              </c:extLst>
            </c:dLbl>
            <c:dLbl>
              <c:idx val="19"/>
              <c:tx>
                <c:strRef>
                  <c:f>'Esc-Return_Regression'!$B$30</c:f>
                  <c:strCache>
                    <c:ptCount val="1"/>
                    <c:pt idx="0">
                      <c:v>2001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{D65D63E1-814A-144B-A4EB-16C5D8D59E13}</c15:txfldGUID>
                      <c15:f>'Esc-Return_Regression'!$B$30</c15:f>
                      <c15:dlblFieldTableCache>
                        <c:ptCount val="1"/>
                        <c:pt idx="0">
                          <c:v>2001</c:v>
                        </c:pt>
                      </c15:dlblFieldTableCache>
                    </c15:dlblFTEntry>
                  </c15:dlblFieldTable>
                  <c15:showDataLabelsRange val="0"/>
                </c:ext>
                <c:ext xmlns:c16="http://schemas.microsoft.com/office/drawing/2014/chart" uri="{C3380CC4-5D6E-409C-BE32-E72D297353CC}">
                  <c16:uniqueId val="{00000014-587D-9C42-AEA2-29834EE50078}"/>
                </c:ext>
              </c:extLst>
            </c:dLbl>
            <c:dLbl>
              <c:idx val="20"/>
              <c:tx>
                <c:strRef>
                  <c:f>'Esc-Return_Regression'!$B$31</c:f>
                  <c:strCache>
                    <c:ptCount val="1"/>
                    <c:pt idx="0">
                      <c:v>2003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{66554AC7-1BC4-9C45-A0FC-4F691A31C2A4}</c15:txfldGUID>
                      <c15:f>'Esc-Return_Regression'!$B$31</c15:f>
                      <c15:dlblFieldTableCache>
                        <c:ptCount val="1"/>
                        <c:pt idx="0">
                          <c:v>2003</c:v>
                        </c:pt>
                      </c15:dlblFieldTableCache>
                    </c15:dlblFTEntry>
                  </c15:dlblFieldTable>
                  <c15:showDataLabelsRange val="0"/>
                </c:ext>
                <c:ext xmlns:c16="http://schemas.microsoft.com/office/drawing/2014/chart" uri="{C3380CC4-5D6E-409C-BE32-E72D297353CC}">
                  <c16:uniqueId val="{00000015-587D-9C42-AEA2-29834EE50078}"/>
                </c:ext>
              </c:extLst>
            </c:dLbl>
            <c:dLbl>
              <c:idx val="21"/>
              <c:tx>
                <c:strRef>
                  <c:f>'Esc-Return_Regression'!$B$32</c:f>
                  <c:strCache>
                    <c:ptCount val="1"/>
                    <c:pt idx="0">
                      <c:v>2005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{F3E53233-BDA2-2044-844A-69FB24869C21}</c15:txfldGUID>
                      <c15:f>'Esc-Return_Regression'!$B$32</c15:f>
                      <c15:dlblFieldTableCache>
                        <c:ptCount val="1"/>
                        <c:pt idx="0">
                          <c:v>2005</c:v>
                        </c:pt>
                      </c15:dlblFieldTableCache>
                    </c15:dlblFTEntry>
                  </c15:dlblFieldTable>
                  <c15:showDataLabelsRange val="0"/>
                </c:ext>
                <c:ext xmlns:c16="http://schemas.microsoft.com/office/drawing/2014/chart" uri="{C3380CC4-5D6E-409C-BE32-E72D297353CC}">
                  <c16:uniqueId val="{00000016-587D-9C42-AEA2-29834EE50078}"/>
                </c:ext>
              </c:extLst>
            </c:dLbl>
            <c:dLbl>
              <c:idx val="22"/>
              <c:tx>
                <c:strRef>
                  <c:f>'Esc-Return_Regression'!$B$33</c:f>
                  <c:strCache>
                    <c:ptCount val="1"/>
                    <c:pt idx="0">
                      <c:v>2007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{ECE49323-EED9-FC4E-8AF9-DEA05D45439F}</c15:txfldGUID>
                      <c15:f>'Esc-Return_Regression'!$B$33</c15:f>
                      <c15:dlblFieldTableCache>
                        <c:ptCount val="1"/>
                        <c:pt idx="0">
                          <c:v>2007</c:v>
                        </c:pt>
                      </c15:dlblFieldTableCache>
                    </c15:dlblFTEntry>
                  </c15:dlblFieldTable>
                  <c15:showDataLabelsRange val="0"/>
                </c:ext>
                <c:ext xmlns:c16="http://schemas.microsoft.com/office/drawing/2014/chart" uri="{C3380CC4-5D6E-409C-BE32-E72D297353CC}">
                  <c16:uniqueId val="{00000017-587D-9C42-AEA2-29834EE50078}"/>
                </c:ext>
              </c:extLst>
            </c:dLbl>
            <c:dLbl>
              <c:idx val="23"/>
              <c:tx>
                <c:strRef>
                  <c:f>'Esc-Return_Regression'!$B$34</c:f>
                  <c:strCache>
                    <c:ptCount val="1"/>
                    <c:pt idx="0">
                      <c:v>2009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{12410844-12BD-684A-9B05-6F2DD9A1314D}</c15:txfldGUID>
                      <c15:f>'Esc-Return_Regression'!$B$34</c15:f>
                      <c15:dlblFieldTableCache>
                        <c:ptCount val="1"/>
                        <c:pt idx="0">
                          <c:v>2009</c:v>
                        </c:pt>
                      </c15:dlblFieldTableCache>
                    </c15:dlblFTEntry>
                  </c15:dlblFieldTable>
                  <c15:showDataLabelsRange val="0"/>
                </c:ext>
                <c:ext xmlns:c16="http://schemas.microsoft.com/office/drawing/2014/chart" uri="{C3380CC4-5D6E-409C-BE32-E72D297353CC}">
                  <c16:uniqueId val="{00000018-587D-9C42-AEA2-29834EE50078}"/>
                </c:ext>
              </c:extLst>
            </c:dLbl>
            <c:dLbl>
              <c:idx val="24"/>
              <c:tx>
                <c:strRef>
                  <c:f>'Esc-Return_Regression'!$B$35</c:f>
                  <c:strCache>
                    <c:ptCount val="1"/>
                    <c:pt idx="0">
                      <c:v>2011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{66ACE193-DD8C-5A4A-82C6-8EEF332A15FF}</c15:txfldGUID>
                      <c15:f>'Esc-Return_Regression'!$B$35</c15:f>
                      <c15:dlblFieldTableCache>
                        <c:ptCount val="1"/>
                        <c:pt idx="0">
                          <c:v>2011</c:v>
                        </c:pt>
                      </c15:dlblFieldTableCache>
                    </c15:dlblFTEntry>
                  </c15:dlblFieldTable>
                  <c15:showDataLabelsRange val="0"/>
                </c:ext>
                <c:ext xmlns:c16="http://schemas.microsoft.com/office/drawing/2014/chart" uri="{C3380CC4-5D6E-409C-BE32-E72D297353CC}">
                  <c16:uniqueId val="{00000019-587D-9C42-AEA2-29834EE50078}"/>
                </c:ext>
              </c:extLst>
            </c:dLbl>
            <c:dLbl>
              <c:idx val="25"/>
              <c:delete val="1"/>
              <c:extLst>
                <c:ext xmlns:c15="http://schemas.microsoft.com/office/drawing/2012/chart" uri="{CE6537A1-D6FC-4f65-9D91-7224C49458BB}"/>
                <c:ext xmlns:c16="http://schemas.microsoft.com/office/drawing/2014/chart" uri="{C3380CC4-5D6E-409C-BE32-E72D297353CC}">
                  <c16:uniqueId val="{0000001A-587D-9C42-AEA2-29834EE50078}"/>
                </c:ext>
              </c:extLst>
            </c:dLbl>
            <c:dLbl>
              <c:idx val="26"/>
              <c:tx>
                <c:strRef>
                  <c:f>'Esc-Return_Regression'!$B$37</c:f>
                  <c:strCache>
                    <c:ptCount val="1"/>
                    <c:pt idx="0">
                      <c:v>2015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{1C5CFE36-3F09-DA49-A0D1-1FBD0A9FCE1E}</c15:txfldGUID>
                      <c15:f>'Esc-Return_Regression'!$B$37</c15:f>
                      <c15:dlblFieldTableCache>
                        <c:ptCount val="1"/>
                        <c:pt idx="0">
                          <c:v>2015</c:v>
                        </c:pt>
                      </c15:dlblFieldTableCache>
                    </c15:dlblFTEntry>
                  </c15:dlblFieldTable>
                  <c15:showDataLabelsRange val="0"/>
                </c:ext>
                <c:ext xmlns:c16="http://schemas.microsoft.com/office/drawing/2014/chart" uri="{C3380CC4-5D6E-409C-BE32-E72D297353CC}">
                  <c16:uniqueId val="{0000001B-587D-9C42-AEA2-29834EE50078}"/>
                </c:ext>
              </c:extLst>
            </c:dLbl>
            <c:dLbl>
              <c:idx val="27"/>
              <c:tx>
                <c:strRef>
                  <c:f>'Esc-Return_Regression'!$B$38</c:f>
                  <c:strCache>
                    <c:ptCount val="1"/>
                    <c:pt idx="0">
                      <c:v>2017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{654E4366-6DFB-3141-B6B3-405175FB3346}</c15:txfldGUID>
                      <c15:f>'Esc-Return_Regression'!$B$38</c15:f>
                      <c15:dlblFieldTableCache>
                        <c:ptCount val="1"/>
                        <c:pt idx="0">
                          <c:v>2017</c:v>
                        </c:pt>
                      </c15:dlblFieldTableCache>
                    </c15:dlblFTEntry>
                  </c15:dlblFieldTable>
                  <c15:showDataLabelsRange val="0"/>
                </c:ext>
                <c:ext xmlns:c16="http://schemas.microsoft.com/office/drawing/2014/chart" uri="{C3380CC4-5D6E-409C-BE32-E72D297353CC}">
                  <c16:uniqueId val="{0000001C-587D-9C42-AEA2-29834EE50078}"/>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'Esc-Return_Regression'!$E$11:$E$38</c:f>
              <c:numCache>
                <c:formatCode>#,##0</c:formatCode>
                <c:ptCount val="28"/>
                <c:pt idx="0">
                  <c:v>6651118</c:v>
                </c:pt>
                <c:pt idx="1">
                  <c:v>3436427</c:v>
                </c:pt>
                <c:pt idx="2">
                  <c:v>3468600</c:v>
                </c:pt>
                <c:pt idx="3">
                  <c:v>5233149</c:v>
                </c:pt>
                <c:pt idx="4">
                  <c:v>8423514</c:v>
                </c:pt>
                <c:pt idx="5">
                  <c:v>8535974</c:v>
                </c:pt>
                <c:pt idx="6">
                  <c:v>3322438</c:v>
                </c:pt>
                <c:pt idx="7">
                  <c:v>5816401</c:v>
                </c:pt>
                <c:pt idx="8">
                  <c:v>17335503</c:v>
                </c:pt>
                <c:pt idx="9">
                  <c:v>19568866</c:v>
                </c:pt>
                <c:pt idx="10">
                  <c:v>11567348</c:v>
                </c:pt>
                <c:pt idx="11">
                  <c:v>19938105</c:v>
                </c:pt>
                <c:pt idx="12">
                  <c:v>13066944</c:v>
                </c:pt>
                <c:pt idx="13">
                  <c:v>4743750</c:v>
                </c:pt>
                <c:pt idx="14">
                  <c:v>7544776</c:v>
                </c:pt>
                <c:pt idx="15">
                  <c:v>1542942</c:v>
                </c:pt>
                <c:pt idx="16">
                  <c:v>3934208</c:v>
                </c:pt>
                <c:pt idx="17">
                  <c:v>2588682</c:v>
                </c:pt>
                <c:pt idx="18">
                  <c:v>9405198</c:v>
                </c:pt>
                <c:pt idx="19">
                  <c:v>8854676.9808041956</c:v>
                </c:pt>
                <c:pt idx="20">
                  <c:v>7344511.9398193061</c:v>
                </c:pt>
                <c:pt idx="21">
                  <c:v>17032487.685321052</c:v>
                </c:pt>
                <c:pt idx="22">
                  <c:v>11526987.795003444</c:v>
                </c:pt>
                <c:pt idx="23">
                  <c:v>2824330.6070667375</c:v>
                </c:pt>
                <c:pt idx="24">
                  <c:v>9643099</c:v>
                </c:pt>
                <c:pt idx="25">
                  <c:v>21965453</c:v>
                </c:pt>
                <c:pt idx="26">
                  <c:v>31683677.72775621</c:v>
                </c:pt>
              </c:numCache>
            </c:numRef>
          </c:val>
          <c:smooth val="0"/>
          <c:extLst>
            <c:ext xmlns:c16="http://schemas.microsoft.com/office/drawing/2014/chart" uri="{C3380CC4-5D6E-409C-BE32-E72D297353CC}">
              <c16:uniqueId val="{0000001D-587D-9C42-AEA2-29834EE50078}"/>
            </c:ext>
          </c:extLst>
        </c:ser>
        <c:dLbls>
          <c:showLegendKey val="0"/>
          <c:showVal val="0"/>
          <c:showCatName val="0"/>
          <c:showSerName val="0"/>
          <c:showPercent val="0"/>
          <c:showBubbleSize val="0"/>
        </c:dLbls>
        <c:marker val="1"/>
        <c:smooth val="0"/>
        <c:axId val="185151872"/>
        <c:axId val="185153792"/>
      </c:lineChart>
      <c:catAx>
        <c:axId val="185151872"/>
        <c:scaling>
          <c:orientation val="minMax"/>
        </c:scaling>
        <c:delete val="0"/>
        <c:axPos val="b"/>
        <c:title>
          <c:tx>
            <c:rich>
              <a:bodyPr/>
              <a:lstStyle/>
              <a:p>
                <a:pPr>
                  <a:defRPr sz="1600"/>
                </a:pPr>
                <a:r>
                  <a:rPr lang="en-US" sz="1600"/>
                  <a:t>Brood Year </a:t>
                </a:r>
              </a:p>
            </c:rich>
          </c:tx>
          <c:overlay val="0"/>
        </c:title>
        <c:numFmt formatCode="0" sourceLinked="1"/>
        <c:majorTickMark val="out"/>
        <c:minorTickMark val="none"/>
        <c:tickLblPos val="nextTo"/>
        <c:txPr>
          <a:bodyPr rot="-2700000"/>
          <a:lstStyle/>
          <a:p>
            <a:pPr>
              <a:defRPr sz="1100"/>
            </a:pPr>
            <a:endParaRPr lang="en-US"/>
          </a:p>
        </c:txPr>
        <c:crossAx val="185153792"/>
        <c:crosses val="autoZero"/>
        <c:auto val="1"/>
        <c:lblAlgn val="ctr"/>
        <c:lblOffset val="100"/>
        <c:noMultiLvlLbl val="0"/>
      </c:catAx>
      <c:valAx>
        <c:axId val="185153792"/>
        <c:scaling>
          <c:orientation val="minMax"/>
        </c:scaling>
        <c:delete val="0"/>
        <c:axPos val="l"/>
        <c:title>
          <c:tx>
            <c:rich>
              <a:bodyPr rot="-5400000" vert="horz"/>
              <a:lstStyle/>
              <a:p>
                <a:pPr>
                  <a:defRPr sz="1200"/>
                </a:pPr>
                <a:r>
                  <a:rPr lang="en-US" sz="1200"/>
                  <a:t>Brood Year Return</a:t>
                </a:r>
              </a:p>
            </c:rich>
          </c:tx>
          <c:layout>
            <c:manualLayout>
              <c:xMode val="edge"/>
              <c:yMode val="edge"/>
              <c:x val="1.7660044150110375E-2"/>
              <c:y val="0.17714349803802673"/>
            </c:manualLayout>
          </c:layout>
          <c:overlay val="0"/>
        </c:title>
        <c:numFmt formatCode="#,##0" sourceLinked="1"/>
        <c:majorTickMark val="out"/>
        <c:minorTickMark val="none"/>
        <c:tickLblPos val="nextTo"/>
        <c:txPr>
          <a:bodyPr/>
          <a:lstStyle/>
          <a:p>
            <a:pPr>
              <a:defRPr sz="1000"/>
            </a:pPr>
            <a:endParaRPr lang="en-US"/>
          </a:p>
        </c:txPr>
        <c:crossAx val="185151872"/>
        <c:crosses val="autoZero"/>
        <c:crossBetween val="between"/>
      </c:valAx>
    </c:plotArea>
    <c:legend>
      <c:legendPos val="r"/>
      <c:layout>
        <c:manualLayout>
          <c:xMode val="edge"/>
          <c:yMode val="edge"/>
          <c:x val="0.5904338538609416"/>
          <c:y val="0.1657946568546606"/>
          <c:w val="0.16578994523600696"/>
          <c:h val="0.14385941613822853"/>
        </c:manualLayout>
      </c:layout>
      <c:overlay val="1"/>
    </c:legend>
    <c:plotVisOnly val="1"/>
    <c:dispBlanksAs val="gap"/>
    <c:showDLblsOverMax val="0"/>
  </c:chart>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dLbls>
            <c:dLbl>
              <c:idx val="0"/>
              <c:tx>
                <c:strRef>
                  <c:f>'Esc-Return_Regression'!$G$11</c:f>
                  <c:strCache>
                    <c:ptCount val="1"/>
                    <c:pt idx="0">
                      <c:v>3.02</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{32797984-7CC4-1843-90FF-83904AEBF473}</c15:txfldGUID>
                      <c15:f>'Esc-Return_Regression'!$G$11</c15:f>
                      <c15:dlblFieldTableCache>
                        <c:ptCount val="1"/>
                        <c:pt idx="0">
                          <c:v>3.02</c:v>
                        </c:pt>
                      </c15:dlblFieldTableCache>
                    </c15:dlblFTEntry>
                  </c15:dlblFieldTable>
                  <c15:showDataLabelsRange val="0"/>
                </c:ext>
                <c:ext xmlns:c16="http://schemas.microsoft.com/office/drawing/2014/chart" uri="{C3380CC4-5D6E-409C-BE32-E72D297353CC}">
                  <c16:uniqueId val="{00000000-55A6-724F-A88C-400914604B1F}"/>
                </c:ext>
              </c:extLst>
            </c:dLbl>
            <c:dLbl>
              <c:idx val="1"/>
              <c:tx>
                <c:strRef>
                  <c:f>'Esc-Return_Regression'!$G$12</c:f>
                  <c:strCache>
                    <c:ptCount val="1"/>
                    <c:pt idx="0">
                      <c:v>2.53</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{2537543E-4BAB-4946-8006-21D762F2A0DB}</c15:txfldGUID>
                      <c15:f>'Esc-Return_Regression'!$G$12</c15:f>
                      <c15:dlblFieldTableCache>
                        <c:ptCount val="1"/>
                        <c:pt idx="0">
                          <c:v>2.53</c:v>
                        </c:pt>
                      </c15:dlblFieldTableCache>
                    </c15:dlblFTEntry>
                  </c15:dlblFieldTable>
                  <c15:showDataLabelsRange val="0"/>
                </c:ext>
                <c:ext xmlns:c16="http://schemas.microsoft.com/office/drawing/2014/chart" uri="{C3380CC4-5D6E-409C-BE32-E72D297353CC}">
                  <c16:uniqueId val="{00000001-55A6-724F-A88C-400914604B1F}"/>
                </c:ext>
              </c:extLst>
            </c:dLbl>
            <c:dLbl>
              <c:idx val="2"/>
              <c:tx>
                <c:strRef>
                  <c:f>'Esc-Return_Regression'!$G$13</c:f>
                  <c:strCache>
                    <c:ptCount val="1"/>
                    <c:pt idx="0">
                      <c:v>3.55</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{4EE50649-DEE7-9C47-8EDC-3168601BC80A}</c15:txfldGUID>
                      <c15:f>'Esc-Return_Regression'!$G$13</c15:f>
                      <c15:dlblFieldTableCache>
                        <c:ptCount val="1"/>
                        <c:pt idx="0">
                          <c:v>3.55</c:v>
                        </c:pt>
                      </c15:dlblFieldTableCache>
                    </c15:dlblFTEntry>
                  </c15:dlblFieldTable>
                  <c15:showDataLabelsRange val="0"/>
                </c:ext>
                <c:ext xmlns:c16="http://schemas.microsoft.com/office/drawing/2014/chart" uri="{C3380CC4-5D6E-409C-BE32-E72D297353CC}">
                  <c16:uniqueId val="{00000002-55A6-724F-A88C-400914604B1F}"/>
                </c:ext>
              </c:extLst>
            </c:dLbl>
            <c:dLbl>
              <c:idx val="3"/>
              <c:tx>
                <c:strRef>
                  <c:f>'Esc-Return_Regression'!$G$14</c:f>
                  <c:strCache>
                    <c:ptCount val="1"/>
                    <c:pt idx="0">
                      <c:v>6.21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{79FEEA06-EDC8-094A-AD18-97B44EB1FD95}</c15:txfldGUID>
                      <c15:f>'Esc-Return_Regression'!$G$14</c15:f>
                      <c15:dlblFieldTableCache>
                        <c:ptCount val="1"/>
                        <c:pt idx="0">
                          <c:v>6.21</c:v>
                        </c:pt>
                      </c15:dlblFieldTableCache>
                    </c15:dlblFTEntry>
                  </c15:dlblFieldTable>
                  <c15:showDataLabelsRange val="0"/>
                </c:ext>
                <c:ext xmlns:c16="http://schemas.microsoft.com/office/drawing/2014/chart" uri="{C3380CC4-5D6E-409C-BE32-E72D297353CC}">
                  <c16:uniqueId val="{00000003-55A6-724F-A88C-400914604B1F}"/>
                </c:ext>
              </c:extLst>
            </c:dLbl>
            <c:dLbl>
              <c:idx val="4"/>
              <c:tx>
                <c:strRef>
                  <c:f>'Esc-Return_Regression'!$G$15</c:f>
                  <c:strCache>
                    <c:ptCount val="1"/>
                    <c:pt idx="0">
                      <c:v>20.82</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{1A9CAF95-712F-F34D-B978-7133CA86C845}</c15:txfldGUID>
                      <c15:f>'Esc-Return_Regression'!$G$15</c15:f>
                      <c15:dlblFieldTableCache>
                        <c:ptCount val="1"/>
                        <c:pt idx="0">
                          <c:v>20.82</c:v>
                        </c:pt>
                      </c15:dlblFieldTableCache>
                    </c15:dlblFTEntry>
                  </c15:dlblFieldTable>
                  <c15:showDataLabelsRange val="0"/>
                </c:ext>
                <c:ext xmlns:c16="http://schemas.microsoft.com/office/drawing/2014/chart" uri="{C3380CC4-5D6E-409C-BE32-E72D297353CC}">
                  <c16:uniqueId val="{00000004-55A6-724F-A88C-400914604B1F}"/>
                </c:ext>
              </c:extLst>
            </c:dLbl>
            <c:dLbl>
              <c:idx val="5"/>
              <c:tx>
                <c:strRef>
                  <c:f>'Esc-Return_Regression'!$G$16</c:f>
                  <c:strCache>
                    <c:ptCount val="1"/>
                    <c:pt idx="0">
                      <c:v>7.67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{EFCAC77E-2FE9-4D4F-ACF4-67C967B84000}</c15:txfldGUID>
                      <c15:f>'Esc-Return_Regression'!$G$16</c15:f>
                      <c15:dlblFieldTableCache>
                        <c:ptCount val="1"/>
                        <c:pt idx="0">
                          <c:v>7.67</c:v>
                        </c:pt>
                      </c15:dlblFieldTableCache>
                    </c15:dlblFTEntry>
                  </c15:dlblFieldTable>
                  <c15:showDataLabelsRange val="0"/>
                </c:ext>
                <c:ext xmlns:c16="http://schemas.microsoft.com/office/drawing/2014/chart" uri="{C3380CC4-5D6E-409C-BE32-E72D297353CC}">
                  <c16:uniqueId val="{00000005-55A6-724F-A88C-400914604B1F}"/>
                </c:ext>
              </c:extLst>
            </c:dLbl>
            <c:dLbl>
              <c:idx val="6"/>
              <c:tx>
                <c:strRef>
                  <c:f>'Esc-Return_Regression'!$G$17</c:f>
                  <c:strCache>
                    <c:ptCount val="1"/>
                    <c:pt idx="0">
                      <c:v>2.71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{D5F8CB92-23E4-0243-8E1B-72A919DFA4F6}</c15:txfldGUID>
                      <c15:f>'Esc-Return_Regression'!$G$17</c15:f>
                      <c15:dlblFieldTableCache>
                        <c:ptCount val="1"/>
                        <c:pt idx="0">
                          <c:v>2.71</c:v>
                        </c:pt>
                      </c15:dlblFieldTableCache>
                    </c15:dlblFTEntry>
                  </c15:dlblFieldTable>
                  <c15:showDataLabelsRange val="0"/>
                </c:ext>
                <c:ext xmlns:c16="http://schemas.microsoft.com/office/drawing/2014/chart" uri="{C3380CC4-5D6E-409C-BE32-E72D297353CC}">
                  <c16:uniqueId val="{00000006-55A6-724F-A88C-400914604B1F}"/>
                </c:ext>
              </c:extLst>
            </c:dLbl>
            <c:dLbl>
              <c:idx val="7"/>
              <c:tx>
                <c:strRef>
                  <c:f>'Esc-Return_Regression'!$G$18</c:f>
                  <c:strCache>
                    <c:ptCount val="1"/>
                    <c:pt idx="0">
                      <c:v>4.60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{9560EDB3-62AC-6A4A-A701-772B40FF4ACD}</c15:txfldGUID>
                      <c15:f>'Esc-Return_Regression'!$G$18</c15:f>
                      <c15:dlblFieldTableCache>
                        <c:ptCount val="1"/>
                        <c:pt idx="0">
                          <c:v>4.60</c:v>
                        </c:pt>
                      </c15:dlblFieldTableCache>
                    </c15:dlblFTEntry>
                  </c15:dlblFieldTable>
                  <c15:showDataLabelsRange val="0"/>
                </c:ext>
                <c:ext xmlns:c16="http://schemas.microsoft.com/office/drawing/2014/chart" uri="{C3380CC4-5D6E-409C-BE32-E72D297353CC}">
                  <c16:uniqueId val="{00000007-55A6-724F-A88C-400914604B1F}"/>
                </c:ext>
              </c:extLst>
            </c:dLbl>
            <c:dLbl>
              <c:idx val="8"/>
              <c:layout>
                <c:manualLayout>
                  <c:x val="-6.2536478618310035E-2"/>
                  <c:y val="-3.8788296635506044E-2"/>
                </c:manualLayout>
              </c:layout>
              <c:tx>
                <c:strRef>
                  <c:f>'Esc-Return_Regression'!$G$19</c:f>
                  <c:strCache>
                    <c:ptCount val="1"/>
                    <c:pt idx="0">
                      <c:v>11.42</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{03E3BA44-F7B1-9C49-BEC9-01024D8AA55B}</c15:txfldGUID>
                      <c15:f>'Esc-Return_Regression'!$G$19</c15:f>
                      <c15:dlblFieldTableCache>
                        <c:ptCount val="1"/>
                        <c:pt idx="0">
                          <c:v>11.42</c:v>
                        </c:pt>
                      </c15:dlblFieldTableCache>
                    </c15:dlblFTEntry>
                  </c15:dlblFieldTable>
                  <c15:showDataLabelsRange val="0"/>
                </c:ext>
                <c:ext xmlns:c16="http://schemas.microsoft.com/office/drawing/2014/chart" uri="{C3380CC4-5D6E-409C-BE32-E72D297353CC}">
                  <c16:uniqueId val="{00000008-55A6-724F-A88C-400914604B1F}"/>
                </c:ext>
              </c:extLst>
            </c:dLbl>
            <c:dLbl>
              <c:idx val="9"/>
              <c:tx>
                <c:strRef>
                  <c:f>'Esc-Return_Regression'!$G$20</c:f>
                  <c:strCache>
                    <c:ptCount val="1"/>
                    <c:pt idx="0">
                      <c:v>6.74</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{5AB86B43-262C-5345-9768-7D0A3735F4EB}</c15:txfldGUID>
                      <c15:f>'Esc-Return_Regression'!$G$20</c15:f>
                      <c15:dlblFieldTableCache>
                        <c:ptCount val="1"/>
                        <c:pt idx="0">
                          <c:v>6.74</c:v>
                        </c:pt>
                      </c15:dlblFieldTableCache>
                    </c15:dlblFTEntry>
                  </c15:dlblFieldTable>
                  <c15:showDataLabelsRange val="0"/>
                </c:ext>
                <c:ext xmlns:c16="http://schemas.microsoft.com/office/drawing/2014/chart" uri="{C3380CC4-5D6E-409C-BE32-E72D297353CC}">
                  <c16:uniqueId val="{00000009-55A6-724F-A88C-400914604B1F}"/>
                </c:ext>
              </c:extLst>
            </c:dLbl>
            <c:dLbl>
              <c:idx val="10"/>
              <c:layout>
                <c:manualLayout>
                  <c:x val="-1.5754995549569321E-2"/>
                  <c:y val="-3.8788296635506044E-2"/>
                </c:manualLayout>
              </c:layout>
              <c:tx>
                <c:strRef>
                  <c:f>'Esc-Return_Regression'!$G$21</c:f>
                  <c:strCache>
                    <c:ptCount val="1"/>
                    <c:pt idx="0">
                      <c:v>5.34</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{3770A506-AF4E-2542-9AF8-371DE8F9E2EF}</c15:txfldGUID>
                      <c15:f>'Esc-Return_Regression'!$G$21</c15:f>
                      <c15:dlblFieldTableCache>
                        <c:ptCount val="1"/>
                        <c:pt idx="0">
                          <c:v>5.34</c:v>
                        </c:pt>
                      </c15:dlblFieldTableCache>
                    </c15:dlblFTEntry>
                  </c15:dlblFieldTable>
                  <c15:showDataLabelsRange val="0"/>
                </c:ext>
                <c:ext xmlns:c16="http://schemas.microsoft.com/office/drawing/2014/chart" uri="{C3380CC4-5D6E-409C-BE32-E72D297353CC}">
                  <c16:uniqueId val="{0000000A-55A6-724F-A88C-400914604B1F}"/>
                </c:ext>
              </c:extLst>
            </c:dLbl>
            <c:dLbl>
              <c:idx val="11"/>
              <c:layout>
                <c:manualLayout>
                  <c:x val="-5.562834272868699E-2"/>
                  <c:y val="1.2491334575114692E-2"/>
                </c:manualLayout>
              </c:layout>
              <c:tx>
                <c:strRef>
                  <c:f>'Esc-Return_Regression'!$G$22</c:f>
                  <c:strCache>
                    <c:ptCount val="1"/>
                    <c:pt idx="0">
                      <c:v>9.95</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{FD6EAEB2-C424-6F42-BF49-B2736E5067A3}</c15:txfldGUID>
                      <c15:f>'Esc-Return_Regression'!$G$22</c15:f>
                      <c15:dlblFieldTableCache>
                        <c:ptCount val="1"/>
                        <c:pt idx="0">
                          <c:v>9.95</c:v>
                        </c:pt>
                      </c15:dlblFieldTableCache>
                    </c15:dlblFTEntry>
                  </c15:dlblFieldTable>
                  <c15:showDataLabelsRange val="0"/>
                </c:ext>
                <c:ext xmlns:c16="http://schemas.microsoft.com/office/drawing/2014/chart" uri="{C3380CC4-5D6E-409C-BE32-E72D297353CC}">
                  <c16:uniqueId val="{0000000B-55A6-724F-A88C-400914604B1F}"/>
                </c:ext>
              </c:extLst>
            </c:dLbl>
            <c:dLbl>
              <c:idx val="12"/>
              <c:layout>
                <c:manualLayout>
                  <c:x val="-6.6523813336221801E-2"/>
                  <c:y val="1.2491334575114692E-2"/>
                </c:manualLayout>
              </c:layout>
              <c:tx>
                <c:strRef>
                  <c:f>'Esc-Return_Regression'!$G$23</c:f>
                  <c:strCache>
                    <c:ptCount val="1"/>
                    <c:pt idx="0">
                      <c:v>5.57</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{379312EA-EF6A-8940-B622-6E84B03F34AC}</c15:txfldGUID>
                      <c15:f>'Esc-Return_Regression'!$G$23</c15:f>
                      <c15:dlblFieldTableCache>
                        <c:ptCount val="1"/>
                        <c:pt idx="0">
                          <c:v>5.57</c:v>
                        </c:pt>
                      </c15:dlblFieldTableCache>
                    </c15:dlblFTEntry>
                  </c15:dlblFieldTable>
                  <c15:showDataLabelsRange val="0"/>
                </c:ext>
                <c:ext xmlns:c16="http://schemas.microsoft.com/office/drawing/2014/chart" uri="{C3380CC4-5D6E-409C-BE32-E72D297353CC}">
                  <c16:uniqueId val="{0000000C-55A6-724F-A88C-400914604B1F}"/>
                </c:ext>
              </c:extLst>
            </c:dLbl>
            <c:dLbl>
              <c:idx val="13"/>
              <c:tx>
                <c:strRef>
                  <c:f>'Esc-Return_Regression'!$G$24</c:f>
                  <c:strCache>
                    <c:ptCount val="1"/>
                    <c:pt idx="0">
                      <c:v>3.46</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{D7DBA03C-FDB3-0D4D-97BF-C0894572C98D}</c15:txfldGUID>
                      <c15:f>'Esc-Return_Regression'!$G$24</c15:f>
                      <c15:dlblFieldTableCache>
                        <c:ptCount val="1"/>
                        <c:pt idx="0">
                          <c:v>3.46</c:v>
                        </c:pt>
                      </c15:dlblFieldTableCache>
                    </c15:dlblFTEntry>
                  </c15:dlblFieldTable>
                  <c15:showDataLabelsRange val="0"/>
                </c:ext>
                <c:ext xmlns:c16="http://schemas.microsoft.com/office/drawing/2014/chart" uri="{C3380CC4-5D6E-409C-BE32-E72D297353CC}">
                  <c16:uniqueId val="{0000000D-55A6-724F-A88C-400914604B1F}"/>
                </c:ext>
              </c:extLst>
            </c:dLbl>
            <c:dLbl>
              <c:idx val="14"/>
              <c:tx>
                <c:strRef>
                  <c:f>'Esc-Return_Regression'!$G$25</c:f>
                  <c:strCache>
                    <c:ptCount val="1"/>
                    <c:pt idx="0">
                      <c:v>6.12</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{72FA9038-F027-F845-A975-7E486245DB41}</c15:txfldGUID>
                      <c15:f>'Esc-Return_Regression'!$G$25</c15:f>
                      <c15:dlblFieldTableCache>
                        <c:ptCount val="1"/>
                        <c:pt idx="0">
                          <c:v>6.12</c:v>
                        </c:pt>
                      </c15:dlblFieldTableCache>
                    </c15:dlblFTEntry>
                  </c15:dlblFieldTable>
                  <c15:showDataLabelsRange val="0"/>
                </c:ext>
                <c:ext xmlns:c16="http://schemas.microsoft.com/office/drawing/2014/chart" uri="{C3380CC4-5D6E-409C-BE32-E72D297353CC}">
                  <c16:uniqueId val="{0000000E-55A6-724F-A88C-400914604B1F}"/>
                </c:ext>
              </c:extLst>
            </c:dLbl>
            <c:dLbl>
              <c:idx val="15"/>
              <c:layout>
                <c:manualLayout>
                  <c:x val="-8.7074599265011769E-3"/>
                  <c:y val="6.081380673787099E-3"/>
                </c:manualLayout>
              </c:layout>
              <c:tx>
                <c:strRef>
                  <c:f>'Esc-Return_Regression'!$G$26</c:f>
                  <c:strCache>
                    <c:ptCount val="1"/>
                    <c:pt idx="0">
                      <c:v>0.89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{6EC49C25-D880-FA45-AFD3-DD6F303C3F19}</c15:txfldGUID>
                      <c15:f>'Esc-Return_Regression'!$G$26</c15:f>
                      <c15:dlblFieldTableCache>
                        <c:ptCount val="1"/>
                        <c:pt idx="0">
                          <c:v>0.89</c:v>
                        </c:pt>
                      </c15:dlblFieldTableCache>
                    </c15:dlblFTEntry>
                  </c15:dlblFieldTable>
                  <c15:showDataLabelsRange val="0"/>
                </c:ext>
                <c:ext xmlns:c16="http://schemas.microsoft.com/office/drawing/2014/chart" uri="{C3380CC4-5D6E-409C-BE32-E72D297353CC}">
                  <c16:uniqueId val="{0000000F-55A6-724F-A88C-400914604B1F}"/>
                </c:ext>
              </c:extLst>
            </c:dLbl>
            <c:dLbl>
              <c:idx val="16"/>
              <c:tx>
                <c:strRef>
                  <c:f>'Esc-Return_Regression'!$G$27</c:f>
                  <c:strCache>
                    <c:ptCount val="1"/>
                    <c:pt idx="0">
                      <c:v>3.69</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{E90A8835-1BBE-5348-87F1-A1918EE019AA}</c15:txfldGUID>
                      <c15:f>'Esc-Return_Regression'!$G$27</c15:f>
                      <c15:dlblFieldTableCache>
                        <c:ptCount val="1"/>
                        <c:pt idx="0">
                          <c:v>3.69</c:v>
                        </c:pt>
                      </c15:dlblFieldTableCache>
                    </c15:dlblFTEntry>
                  </c15:dlblFieldTable>
                  <c15:showDataLabelsRange val="0"/>
                </c:ext>
                <c:ext xmlns:c16="http://schemas.microsoft.com/office/drawing/2014/chart" uri="{C3380CC4-5D6E-409C-BE32-E72D297353CC}">
                  <c16:uniqueId val="{00000010-55A6-724F-A88C-400914604B1F}"/>
                </c:ext>
              </c:extLst>
            </c:dLbl>
            <c:dLbl>
              <c:idx val="17"/>
              <c:layout>
                <c:manualLayout>
                  <c:x val="-3.8612470310839357E-2"/>
                  <c:y val="1.5696311525778488E-2"/>
                </c:manualLayout>
              </c:layout>
              <c:tx>
                <c:strRef>
                  <c:f>'Esc-Return_Regression'!$G$28</c:f>
                  <c:strCache>
                    <c:ptCount val="1"/>
                    <c:pt idx="0">
                      <c:v>2.18</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{54785CC9-4F7C-1C48-BF5C-FF0C295072D6}</c15:txfldGUID>
                      <c15:f>'Esc-Return_Regression'!$G$28</c15:f>
                      <c15:dlblFieldTableCache>
                        <c:ptCount val="1"/>
                        <c:pt idx="0">
                          <c:v>2.18</c:v>
                        </c:pt>
                      </c15:dlblFieldTableCache>
                    </c15:dlblFTEntry>
                  </c15:dlblFieldTable>
                  <c15:showDataLabelsRange val="0"/>
                </c:ext>
                <c:ext xmlns:c16="http://schemas.microsoft.com/office/drawing/2014/chart" uri="{C3380CC4-5D6E-409C-BE32-E72D297353CC}">
                  <c16:uniqueId val="{00000011-55A6-724F-A88C-400914604B1F}"/>
                </c:ext>
              </c:extLst>
            </c:dLbl>
            <c:dLbl>
              <c:idx val="18"/>
              <c:tx>
                <c:strRef>
                  <c:f>'Esc-Return_Regression'!$G$29</c:f>
                  <c:strCache>
                    <c:ptCount val="1"/>
                    <c:pt idx="0">
                      <c:v>6.61</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{010EF96F-0802-4C4F-9BCF-A51A5FEB248B}</c15:txfldGUID>
                      <c15:f>'Esc-Return_Regression'!$G$29</c15:f>
                      <c15:dlblFieldTableCache>
                        <c:ptCount val="1"/>
                        <c:pt idx="0">
                          <c:v>6.61</c:v>
                        </c:pt>
                      </c15:dlblFieldTableCache>
                    </c15:dlblFTEntry>
                  </c15:dlblFieldTable>
                  <c15:showDataLabelsRange val="0"/>
                </c:ext>
                <c:ext xmlns:c16="http://schemas.microsoft.com/office/drawing/2014/chart" uri="{C3380CC4-5D6E-409C-BE32-E72D297353CC}">
                  <c16:uniqueId val="{00000012-55A6-724F-A88C-400914604B1F}"/>
                </c:ext>
              </c:extLst>
            </c:dLbl>
            <c:dLbl>
              <c:idx val="19"/>
              <c:tx>
                <c:strRef>
                  <c:f>'Esc-Return_Regression'!$G$30</c:f>
                  <c:strCache>
                    <c:ptCount val="1"/>
                    <c:pt idx="0">
                      <c:v>3.60</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{F619E4C4-F15C-DC41-892F-674C3FB5FF09}</c15:txfldGUID>
                      <c15:f>'Esc-Return_Regression'!$G$30</c15:f>
                      <c15:dlblFieldTableCache>
                        <c:ptCount val="1"/>
                        <c:pt idx="0">
                          <c:v>3.60</c:v>
                        </c:pt>
                      </c15:dlblFieldTableCache>
                    </c15:dlblFTEntry>
                  </c15:dlblFieldTable>
                  <c15:showDataLabelsRange val="0"/>
                </c:ext>
                <c:ext xmlns:c16="http://schemas.microsoft.com/office/drawing/2014/chart" uri="{C3380CC4-5D6E-409C-BE32-E72D297353CC}">
                  <c16:uniqueId val="{00000013-55A6-724F-A88C-400914604B1F}"/>
                </c:ext>
              </c:extLst>
            </c:dLbl>
            <c:dLbl>
              <c:idx val="20"/>
              <c:layout>
                <c:manualLayout>
                  <c:x val="-6.4530145977265918E-2"/>
                  <c:y val="-3.2857322754049309E-4"/>
                </c:manualLayout>
              </c:layout>
              <c:tx>
                <c:strRef>
                  <c:f>'Esc-Return_Regression'!$G$31</c:f>
                  <c:strCache>
                    <c:ptCount val="1"/>
                    <c:pt idx="0">
                      <c:v>3.67</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{11FF6747-1A13-F84B-8B97-F8FBCEF56937}</c15:txfldGUID>
                      <c15:f>'Esc-Return_Regression'!$G$31</c15:f>
                      <c15:dlblFieldTableCache>
                        <c:ptCount val="1"/>
                        <c:pt idx="0">
                          <c:v>3.67</c:v>
                        </c:pt>
                      </c15:dlblFieldTableCache>
                    </c15:dlblFTEntry>
                  </c15:dlblFieldTable>
                  <c15:showDataLabelsRange val="0"/>
                </c:ext>
                <c:ext xmlns:c16="http://schemas.microsoft.com/office/drawing/2014/chart" uri="{C3380CC4-5D6E-409C-BE32-E72D297353CC}">
                  <c16:uniqueId val="{00000014-55A6-724F-A88C-400914604B1F}"/>
                </c:ext>
              </c:extLst>
            </c:dLbl>
            <c:dLbl>
              <c:idx val="21"/>
              <c:tx>
                <c:strRef>
                  <c:f>'Esc-Return_Regression'!$G$32</c:f>
                  <c:strCache>
                    <c:ptCount val="1"/>
                    <c:pt idx="0">
                      <c:v>5.98</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{B2E26F62-AB04-AF44-B6A6-C87FD34C0015}</c15:txfldGUID>
                      <c15:f>'Esc-Return_Regression'!$G$32</c15:f>
                      <c15:dlblFieldTableCache>
                        <c:ptCount val="1"/>
                        <c:pt idx="0">
                          <c:v>5.98</c:v>
                        </c:pt>
                      </c15:dlblFieldTableCache>
                    </c15:dlblFTEntry>
                  </c15:dlblFieldTable>
                  <c15:showDataLabelsRange val="0"/>
                </c:ext>
                <c:ext xmlns:c16="http://schemas.microsoft.com/office/drawing/2014/chart" uri="{C3380CC4-5D6E-409C-BE32-E72D297353CC}">
                  <c16:uniqueId val="{00000015-55A6-724F-A88C-400914604B1F}"/>
                </c:ext>
              </c:extLst>
            </c:dLbl>
            <c:dLbl>
              <c:idx val="22"/>
              <c:layout>
                <c:manualLayout>
                  <c:x val="-4.4593472387707077E-2"/>
                  <c:y val="2.5311242377769876E-2"/>
                </c:manualLayout>
              </c:layout>
              <c:tx>
                <c:strRef>
                  <c:f>'Esc-Return_Regression'!$G$33</c:f>
                  <c:strCache>
                    <c:ptCount val="1"/>
                    <c:pt idx="0">
                      <c:v>2.43</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{126E54BB-629E-AA4C-ADB3-E321B7C0D5A5}</c15:txfldGUID>
                      <c15:f>'Esc-Return_Regression'!$G$33</c15:f>
                      <c15:dlblFieldTableCache>
                        <c:ptCount val="1"/>
                        <c:pt idx="0">
                          <c:v>2.43</c:v>
                        </c:pt>
                      </c15:dlblFieldTableCache>
                    </c15:dlblFTEntry>
                  </c15:dlblFieldTable>
                  <c15:showDataLabelsRange val="0"/>
                </c:ext>
                <c:ext xmlns:c16="http://schemas.microsoft.com/office/drawing/2014/chart" uri="{C3380CC4-5D6E-409C-BE32-E72D297353CC}">
                  <c16:uniqueId val="{00000016-55A6-724F-A88C-400914604B1F}"/>
                </c:ext>
              </c:extLst>
            </c:dLbl>
            <c:dLbl>
              <c:idx val="23"/>
              <c:layout>
                <c:manualLayout>
                  <c:x val="-2.0669464080236476E-2"/>
                  <c:y val="2.8516219328433672E-2"/>
                </c:manualLayout>
              </c:layout>
              <c:tx>
                <c:strRef>
                  <c:f>'Esc-Return_Regression'!$G$34</c:f>
                  <c:strCache>
                    <c:ptCount val="1"/>
                    <c:pt idx="0">
                      <c:v>1.87</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{6CD70903-51C7-564E-BCB9-0EAA0EFB41A3}</c15:txfldGUID>
                      <c15:f>'Esc-Return_Regression'!$G$34</c15:f>
                      <c15:dlblFieldTableCache>
                        <c:ptCount val="1"/>
                        <c:pt idx="0">
                          <c:v>1.87</c:v>
                        </c:pt>
                      </c15:dlblFieldTableCache>
                    </c15:dlblFTEntry>
                  </c15:dlblFieldTable>
                  <c15:showDataLabelsRange val="0"/>
                </c:ext>
                <c:ext xmlns:c16="http://schemas.microsoft.com/office/drawing/2014/chart" uri="{C3380CC4-5D6E-409C-BE32-E72D297353CC}">
                  <c16:uniqueId val="{00000017-55A6-724F-A88C-400914604B1F}"/>
                </c:ext>
              </c:extLst>
            </c:dLbl>
            <c:dLbl>
              <c:idx val="24"/>
              <c:tx>
                <c:strRef>
                  <c:f>'Esc-Return_Regression'!$G$35</c:f>
                  <c:strCache>
                    <c:ptCount val="1"/>
                    <c:pt idx="0">
                      <c:v>5.27</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{16D70A2D-79AA-AC41-B0A6-38572CC41201}</c15:txfldGUID>
                      <c15:f>'Esc-Return_Regression'!$G$35</c15:f>
                      <c15:dlblFieldTableCache>
                        <c:ptCount val="1"/>
                        <c:pt idx="0">
                          <c:v>5.27</c:v>
                        </c:pt>
                      </c15:dlblFieldTableCache>
                    </c15:dlblFTEntry>
                  </c15:dlblFieldTable>
                  <c15:showDataLabelsRange val="0"/>
                </c:ext>
                <c:ext xmlns:c16="http://schemas.microsoft.com/office/drawing/2014/chart" uri="{C3380CC4-5D6E-409C-BE32-E72D297353CC}">
                  <c16:uniqueId val="{00000018-55A6-724F-A88C-400914604B1F}"/>
                </c:ext>
              </c:extLst>
            </c:dLbl>
            <c:dLbl>
              <c:idx val="25"/>
              <c:layout>
                <c:manualLayout>
                  <c:x val="-2.6650466157104126E-2"/>
                  <c:y val="-4.5198250536833642E-2"/>
                </c:manualLayout>
              </c:layout>
              <c:tx>
                <c:strRef>
                  <c:f>'Esc-Return_Regression'!$G$36</c:f>
                  <c:strCache>
                    <c:ptCount val="1"/>
                    <c:pt idx="0">
                      <c:v>5.59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{799C966C-B2C9-0241-BA60-60612EC94182}</c15:txfldGUID>
                      <c15:f>'Esc-Return_Regression'!$G$36</c15:f>
                      <c15:dlblFieldTableCache>
                        <c:ptCount val="1"/>
                        <c:pt idx="0">
                          <c:v>5.59</c:v>
                        </c:pt>
                      </c15:dlblFieldTableCache>
                    </c15:dlblFTEntry>
                  </c15:dlblFieldTable>
                  <c15:showDataLabelsRange val="0"/>
                </c:ext>
                <c:ext xmlns:c16="http://schemas.microsoft.com/office/drawing/2014/chart" uri="{C3380CC4-5D6E-409C-BE32-E72D297353CC}">
                  <c16:uniqueId val="{00000019-55A6-724F-A88C-400914604B1F}"/>
                </c:ext>
              </c:extLst>
            </c:dLbl>
            <c:dLbl>
              <c:idx val="26"/>
              <c:layout>
                <c:manualLayout>
                  <c:x val="-2.4656798798148243E-2"/>
                  <c:y val="4.1336127131088855E-2"/>
                </c:manualLayout>
              </c:layout>
              <c:tx>
                <c:strRef>
                  <c:f>'Esc-Return_Regression'!$G$37</c:f>
                  <c:strCache>
                    <c:ptCount val="1"/>
                    <c:pt idx="0">
                      <c:v>6.76</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{FD411758-D8C9-684B-9785-0BF699832F0F}</c15:txfldGUID>
                      <c15:f>'Esc-Return_Regression'!$G$37</c15:f>
                      <c15:dlblFieldTableCache>
                        <c:ptCount val="1"/>
                        <c:pt idx="0">
                          <c:v>6.76</c:v>
                        </c:pt>
                      </c15:dlblFieldTableCache>
                    </c15:dlblFTEntry>
                  </c15:dlblFieldTable>
                  <c15:showDataLabelsRange val="0"/>
                </c:ext>
                <c:ext xmlns:c16="http://schemas.microsoft.com/office/drawing/2014/chart" uri="{C3380CC4-5D6E-409C-BE32-E72D297353CC}">
                  <c16:uniqueId val="{0000001A-55A6-724F-A88C-400914604B1F}"/>
                </c:ext>
              </c:extLst>
            </c:dLbl>
            <c:dLbl>
              <c:idx val="27"/>
              <c:tx>
                <c:strRef>
                  <c:f>'Esc-Return_Regression'!$G$38</c:f>
                  <c:strCache>
                    <c:ptCount val="1"/>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{C67A3508-AF1B-AC4B-BF0C-35E8458F29A1}</c15:txfldGUID>
                      <c15:f>'Esc-Return_Regression'!$G$38</c15:f>
                      <c15:dlblFieldTableCache>
                        <c:ptCount val="1"/>
                      </c15:dlblFieldTableCache>
                    </c15:dlblFTEntry>
                  </c15:dlblFieldTable>
                  <c15:showDataLabelsRange val="0"/>
                </c:ext>
                <c:ext xmlns:c16="http://schemas.microsoft.com/office/drawing/2014/chart" uri="{C3380CC4-5D6E-409C-BE32-E72D297353CC}">
                  <c16:uniqueId val="{0000001B-55A6-724F-A88C-400914604B1F}"/>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'Esc-Return_Regression'!$A$11:$A$38</c:f>
              <c:numCache>
                <c:formatCode>General</c:formatCode>
                <c:ptCount val="28"/>
                <c:pt idx="0" formatCode="0">
                  <c:v>1961</c:v>
                </c:pt>
                <c:pt idx="1">
                  <c:v>1963</c:v>
                </c:pt>
                <c:pt idx="2">
                  <c:v>1965</c:v>
                </c:pt>
                <c:pt idx="3">
                  <c:v>1967</c:v>
                </c:pt>
                <c:pt idx="4">
                  <c:v>1969</c:v>
                </c:pt>
                <c:pt idx="5">
                  <c:v>1971</c:v>
                </c:pt>
                <c:pt idx="6">
                  <c:v>1973</c:v>
                </c:pt>
                <c:pt idx="7">
                  <c:v>1975</c:v>
                </c:pt>
                <c:pt idx="8">
                  <c:v>1977</c:v>
                </c:pt>
                <c:pt idx="9">
                  <c:v>1979</c:v>
                </c:pt>
                <c:pt idx="10">
                  <c:v>1981</c:v>
                </c:pt>
                <c:pt idx="11">
                  <c:v>1983</c:v>
                </c:pt>
                <c:pt idx="12">
                  <c:v>1985</c:v>
                </c:pt>
                <c:pt idx="13">
                  <c:v>1987</c:v>
                </c:pt>
                <c:pt idx="14">
                  <c:v>1989</c:v>
                </c:pt>
                <c:pt idx="15">
                  <c:v>1991</c:v>
                </c:pt>
                <c:pt idx="16">
                  <c:v>1993</c:v>
                </c:pt>
                <c:pt idx="17">
                  <c:v>1995</c:v>
                </c:pt>
                <c:pt idx="18">
                  <c:v>1997</c:v>
                </c:pt>
                <c:pt idx="19">
                  <c:v>1999</c:v>
                </c:pt>
                <c:pt idx="20">
                  <c:v>2001</c:v>
                </c:pt>
                <c:pt idx="21">
                  <c:v>2003</c:v>
                </c:pt>
                <c:pt idx="22">
                  <c:v>2005</c:v>
                </c:pt>
                <c:pt idx="23">
                  <c:v>2007</c:v>
                </c:pt>
                <c:pt idx="24">
                  <c:v>2009</c:v>
                </c:pt>
                <c:pt idx="25">
                  <c:v>2011</c:v>
                </c:pt>
                <c:pt idx="26">
                  <c:v>2013</c:v>
                </c:pt>
                <c:pt idx="27">
                  <c:v>2015</c:v>
                </c:pt>
              </c:numCache>
            </c:numRef>
          </c:cat>
          <c:val>
            <c:numRef>
              <c:f>'Esc-Return_Regression'!$G$11:$G$38</c:f>
              <c:numCache>
                <c:formatCode>0.00</c:formatCode>
                <c:ptCount val="28"/>
                <c:pt idx="0">
                  <c:v>3.0246377866101555</c:v>
                </c:pt>
                <c:pt idx="1">
                  <c:v>2.5347242096567189</c:v>
                </c:pt>
                <c:pt idx="2">
                  <c:v>3.5540536663538109</c:v>
                </c:pt>
                <c:pt idx="3">
                  <c:v>6.2132227578182508</c:v>
                </c:pt>
                <c:pt idx="4">
                  <c:v>20.820906147267468</c:v>
                </c:pt>
                <c:pt idx="5">
                  <c:v>7.6724407891780144</c:v>
                </c:pt>
                <c:pt idx="6">
                  <c:v>2.7121721455335059</c:v>
                </c:pt>
                <c:pt idx="7">
                  <c:v>4.5959109011030694</c:v>
                </c:pt>
                <c:pt idx="8">
                  <c:v>11.422468169894977</c:v>
                </c:pt>
                <c:pt idx="9">
                  <c:v>6.7432877655474179</c:v>
                </c:pt>
                <c:pt idx="10">
                  <c:v>5.3396328056948219</c:v>
                </c:pt>
                <c:pt idx="11">
                  <c:v>9.9535945676364612</c:v>
                </c:pt>
                <c:pt idx="12">
                  <c:v>5.5651451002705707</c:v>
                </c:pt>
                <c:pt idx="13">
                  <c:v>3.4569969618507859</c:v>
                </c:pt>
                <c:pt idx="14">
                  <c:v>6.1156867767549992</c:v>
                </c:pt>
                <c:pt idx="15">
                  <c:v>0.89404864549146135</c:v>
                </c:pt>
                <c:pt idx="16">
                  <c:v>3.6918734281746182</c:v>
                </c:pt>
                <c:pt idx="17">
                  <c:v>2.1750267185578029</c:v>
                </c:pt>
                <c:pt idx="18">
                  <c:v>6.6108647855327378</c:v>
                </c:pt>
                <c:pt idx="19">
                  <c:v>3.5952793866664861</c:v>
                </c:pt>
                <c:pt idx="20">
                  <c:v>3.671547361268928</c:v>
                </c:pt>
                <c:pt idx="21">
                  <c:v>5.9831721726249789</c:v>
                </c:pt>
                <c:pt idx="22">
                  <c:v>2.4338483564794582</c:v>
                </c:pt>
                <c:pt idx="23">
                  <c:v>1.8714919773349741</c:v>
                </c:pt>
                <c:pt idx="24">
                  <c:v>5.2705399199315783</c:v>
                </c:pt>
                <c:pt idx="25">
                  <c:v>5.5928468543845211</c:v>
                </c:pt>
                <c:pt idx="26">
                  <c:v>6.7638900849756407</c:v>
                </c:pt>
              </c:numCache>
            </c:numRef>
          </c:val>
          <c:smooth val="0"/>
          <c:extLst>
            <c:ext xmlns:c16="http://schemas.microsoft.com/office/drawing/2014/chart" uri="{C3380CC4-5D6E-409C-BE32-E72D297353CC}">
              <c16:uniqueId val="{0000001C-55A6-724F-A88C-400914604B1F}"/>
            </c:ext>
          </c:extLst>
        </c:ser>
        <c:dLbls>
          <c:showLegendKey val="0"/>
          <c:showVal val="0"/>
          <c:showCatName val="0"/>
          <c:showSerName val="0"/>
          <c:showPercent val="0"/>
          <c:showBubbleSize val="0"/>
        </c:dLbls>
        <c:marker val="1"/>
        <c:smooth val="0"/>
        <c:axId val="185240576"/>
        <c:axId val="185246848"/>
      </c:lineChart>
      <c:catAx>
        <c:axId val="185240576"/>
        <c:scaling>
          <c:orientation val="minMax"/>
        </c:scaling>
        <c:delete val="0"/>
        <c:axPos val="b"/>
        <c:title>
          <c:tx>
            <c:rich>
              <a:bodyPr/>
              <a:lstStyle/>
              <a:p>
                <a:pPr>
                  <a:defRPr sz="1600"/>
                </a:pPr>
                <a:r>
                  <a:rPr lang="en-US" sz="1600"/>
                  <a:t>Brood Year </a:t>
                </a:r>
              </a:p>
            </c:rich>
          </c:tx>
          <c:overlay val="0"/>
        </c:title>
        <c:numFmt formatCode="0" sourceLinked="1"/>
        <c:majorTickMark val="out"/>
        <c:minorTickMark val="none"/>
        <c:tickLblPos val="nextTo"/>
        <c:txPr>
          <a:bodyPr rot="-2700000"/>
          <a:lstStyle/>
          <a:p>
            <a:pPr>
              <a:defRPr sz="1000"/>
            </a:pPr>
            <a:endParaRPr lang="en-US"/>
          </a:p>
        </c:txPr>
        <c:crossAx val="185246848"/>
        <c:crosses val="autoZero"/>
        <c:auto val="1"/>
        <c:lblAlgn val="ctr"/>
        <c:lblOffset val="100"/>
        <c:tickLblSkip val="1"/>
        <c:noMultiLvlLbl val="0"/>
      </c:catAx>
      <c:valAx>
        <c:axId val="185246848"/>
        <c:scaling>
          <c:orientation val="minMax"/>
        </c:scaling>
        <c:delete val="0"/>
        <c:axPos val="l"/>
        <c:title>
          <c:tx>
            <c:rich>
              <a:bodyPr rot="-5400000" vert="horz"/>
              <a:lstStyle/>
              <a:p>
                <a:pPr>
                  <a:defRPr sz="1400"/>
                </a:pPr>
                <a:r>
                  <a:rPr lang="en-US" sz="1400"/>
                  <a:t>Brood Year </a:t>
                </a:r>
              </a:p>
              <a:p>
                <a:pPr>
                  <a:defRPr sz="1400"/>
                </a:pPr>
                <a:r>
                  <a:rPr lang="en-US" sz="1400"/>
                  <a:t>Return/Spawner Index</a:t>
                </a:r>
              </a:p>
            </c:rich>
          </c:tx>
          <c:layout>
            <c:manualLayout>
              <c:xMode val="edge"/>
              <c:yMode val="edge"/>
              <c:x val="1.6068258702950786E-2"/>
              <c:y val="0.11487229039168986"/>
            </c:manualLayout>
          </c:layout>
          <c:overlay val="0"/>
        </c:title>
        <c:numFmt formatCode="0.00" sourceLinked="1"/>
        <c:majorTickMark val="out"/>
        <c:minorTickMark val="none"/>
        <c:tickLblPos val="nextTo"/>
        <c:txPr>
          <a:bodyPr/>
          <a:lstStyle/>
          <a:p>
            <a:pPr>
              <a:defRPr sz="1000"/>
            </a:pPr>
            <a:endParaRPr lang="en-US"/>
          </a:p>
        </c:txPr>
        <c:crossAx val="18524057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316416476496606E-2"/>
          <c:y val="2.6863479826765402E-2"/>
          <c:w val="0.8572379287171803"/>
          <c:h val="0.91252193819734506"/>
        </c:manualLayout>
      </c:layout>
      <c:scatterChart>
        <c:scatterStyle val="lineMarker"/>
        <c:varyColors val="0"/>
        <c:ser>
          <c:idx val="0"/>
          <c:order val="0"/>
          <c:tx>
            <c:v>Predicted Y</c:v>
          </c:tx>
          <c:spPr>
            <a:ln w="28575">
              <a:solidFill>
                <a:schemeClr val="tx1"/>
              </a:solidFill>
            </a:ln>
          </c:spPr>
          <c:marker>
            <c:symbol val="none"/>
          </c:marker>
          <c:xVal>
            <c:numRef>
              <c:f>Regression_Jackknife!$Y$9:$Y$37</c:f>
              <c:numCache>
                <c:formatCode>0.00_)</c:formatCode>
                <c:ptCount val="29"/>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pt idx="28">
                  <c:v>15.631706047547526</c:v>
                </c:pt>
              </c:numCache>
            </c:numRef>
          </c:xVal>
          <c:yVal>
            <c:numRef>
              <c:f>Regression_Jackknife!$Z$9:$Z$37</c:f>
              <c:numCache>
                <c:formatCode>0.00_)</c:formatCode>
                <c:ptCount val="29"/>
                <c:pt idx="0">
                  <c:v>16.05900920081779</c:v>
                </c:pt>
                <c:pt idx="1">
                  <c:v>15.680561039734739</c:v>
                </c:pt>
                <c:pt idx="2">
                  <c:v>15.423368249736992</c:v>
                </c:pt>
                <c:pt idx="3">
                  <c:v>15.308085021020981</c:v>
                </c:pt>
                <c:pt idx="4">
                  <c:v>14.734313505450798</c:v>
                </c:pt>
                <c:pt idx="5">
                  <c:v>15.525868495933054</c:v>
                </c:pt>
                <c:pt idx="6">
                  <c:v>15.601217817278879</c:v>
                </c:pt>
                <c:pt idx="7">
                  <c:v>15.626700145964822</c:v>
                </c:pt>
                <c:pt idx="8">
                  <c:v>15.768846893437921</c:v>
                </c:pt>
                <c:pt idx="9">
                  <c:v>16.276070759099994</c:v>
                </c:pt>
                <c:pt idx="10">
                  <c:v>16.047299866290661</c:v>
                </c:pt>
                <c:pt idx="11">
                  <c:v>15.986007105055393</c:v>
                </c:pt>
                <c:pt idx="12">
                  <c:v>16.110316274364219</c:v>
                </c:pt>
                <c:pt idx="13">
                  <c:v>15.690013710474995</c:v>
                </c:pt>
                <c:pt idx="14">
                  <c:v>15.606733839952653</c:v>
                </c:pt>
                <c:pt idx="15">
                  <c:v>15.869406044661236</c:v>
                </c:pt>
                <c:pt idx="16">
                  <c:v>15.492159527864111</c:v>
                </c:pt>
                <c:pt idx="17">
                  <c:v>15.578649961117678</c:v>
                </c:pt>
                <c:pt idx="18">
                  <c:v>15.718277520235159</c:v>
                </c:pt>
                <c:pt idx="19">
                  <c:v>16.147689128268262</c:v>
                </c:pt>
                <c:pt idx="20">
                  <c:v>15.984943847117433</c:v>
                </c:pt>
                <c:pt idx="21">
                  <c:v>16.261030869428172</c:v>
                </c:pt>
                <c:pt idx="22">
                  <c:v>16.65935388160446</c:v>
                </c:pt>
                <c:pt idx="23">
                  <c:v>15.764434539123229</c:v>
                </c:pt>
                <c:pt idx="24">
                  <c:v>15.915121945803543</c:v>
                </c:pt>
                <c:pt idx="25">
                  <c:v>16.512844505287873</c:v>
                </c:pt>
                <c:pt idx="26">
                  <c:v>16.650735625160877</c:v>
                </c:pt>
              </c:numCache>
            </c:numRef>
          </c:yVal>
          <c:smooth val="0"/>
          <c:extLst>
            <c:ext xmlns:c16="http://schemas.microsoft.com/office/drawing/2014/chart" uri="{C3380CC4-5D6E-409C-BE32-E72D297353CC}">
              <c16:uniqueId val="{00000000-C60D-AA4B-8003-D7ABF201C6D3}"/>
            </c:ext>
          </c:extLst>
        </c:ser>
        <c:ser>
          <c:idx val="1"/>
          <c:order val="1"/>
          <c:tx>
            <c:v>Actual</c:v>
          </c:tx>
          <c:spPr>
            <a:ln>
              <a:noFill/>
            </a:ln>
          </c:spPr>
          <c:dLbls>
            <c:dLbl>
              <c:idx val="0"/>
              <c:tx>
                <c:strRef>
                  <c:f>Regression_Jackknife!$AE$9</c:f>
                  <c:strCache>
                    <c:ptCount val="1"/>
                    <c:pt idx="0">
                      <c:v>1963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{CCD6E0FD-0E20-AF4C-8073-2D091CA43F2C}</c15:txfldGUID>
                      <c15:f>Regression_Jackknife!$AE$9</c15:f>
                      <c15:dlblFieldTableCache>
                        <c:ptCount val="1"/>
                        <c:pt idx="0">
                          <c:v>1963 </c:v>
                        </c:pt>
                      </c15:dlblFieldTableCache>
                    </c15:dlblFTEntry>
                  </c15:dlblFieldTable>
                  <c15:showDataLabelsRange val="0"/>
                </c:ext>
                <c:ext xmlns:c16="http://schemas.microsoft.com/office/drawing/2014/chart" uri="{C3380CC4-5D6E-409C-BE32-E72D297353CC}">
                  <c16:uniqueId val="{00000001-C60D-AA4B-8003-D7ABF201C6D3}"/>
                </c:ext>
              </c:extLst>
            </c:dLbl>
            <c:dLbl>
              <c:idx val="1"/>
              <c:tx>
                <c:strRef>
                  <c:f>Regression_Jackknife!$AE$10</c:f>
                  <c:strCache>
                    <c:ptCount val="1"/>
                    <c:pt idx="0">
                      <c:v>1965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{2B7CBB96-D597-3546-854F-0426EB22AE03}</c15:txfldGUID>
                      <c15:f>Regression_Jackknife!$AE$10</c15:f>
                      <c15:dlblFieldTableCache>
                        <c:ptCount val="1"/>
                        <c:pt idx="0">
                          <c:v>1965 </c:v>
                        </c:pt>
                      </c15:dlblFieldTableCache>
                    </c15:dlblFTEntry>
                  </c15:dlblFieldTable>
                  <c15:showDataLabelsRange val="0"/>
                </c:ext>
                <c:ext xmlns:c16="http://schemas.microsoft.com/office/drawing/2014/chart" uri="{C3380CC4-5D6E-409C-BE32-E72D297353CC}">
                  <c16:uniqueId val="{00000002-C60D-AA4B-8003-D7ABF201C6D3}"/>
                </c:ext>
              </c:extLst>
            </c:dLbl>
            <c:dLbl>
              <c:idx val="2"/>
              <c:tx>
                <c:strRef>
                  <c:f>Regression_Jackknife!$AE$11</c:f>
                  <c:strCache>
                    <c:ptCount val="1"/>
                    <c:pt idx="0">
                      <c:v>1967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{ABA28B50-03A8-E94F-8F0D-5DE20133D958}</c15:txfldGUID>
                      <c15:f>Regression_Jackknife!$AE$11</c15:f>
                      <c15:dlblFieldTableCache>
                        <c:ptCount val="1"/>
                        <c:pt idx="0">
                          <c:v>1967 </c:v>
                        </c:pt>
                      </c15:dlblFieldTableCache>
                    </c15:dlblFTEntry>
                  </c15:dlblFieldTable>
                  <c15:showDataLabelsRange val="0"/>
                </c:ext>
                <c:ext xmlns:c16="http://schemas.microsoft.com/office/drawing/2014/chart" uri="{C3380CC4-5D6E-409C-BE32-E72D297353CC}">
                  <c16:uniqueId val="{00000003-C60D-AA4B-8003-D7ABF201C6D3}"/>
                </c:ext>
              </c:extLst>
            </c:dLbl>
            <c:dLbl>
              <c:idx val="3"/>
              <c:tx>
                <c:strRef>
                  <c:f>Regression_Jackknife!$AE$12</c:f>
                  <c:strCache>
                    <c:ptCount val="1"/>
                    <c:pt idx="0">
                      <c:v>1969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{A0A23E3F-3F93-B546-841D-E992934DE9D1}</c15:txfldGUID>
                      <c15:f>Regression_Jackknife!$AE$12</c15:f>
                      <c15:dlblFieldTableCache>
                        <c:ptCount val="1"/>
                        <c:pt idx="0">
                          <c:v>1969 </c:v>
                        </c:pt>
                      </c15:dlblFieldTableCache>
                    </c15:dlblFTEntry>
                  </c15:dlblFieldTable>
                  <c15:showDataLabelsRange val="0"/>
                </c:ext>
                <c:ext xmlns:c16="http://schemas.microsoft.com/office/drawing/2014/chart" uri="{C3380CC4-5D6E-409C-BE32-E72D297353CC}">
                  <c16:uniqueId val="{00000004-C60D-AA4B-8003-D7ABF201C6D3}"/>
                </c:ext>
              </c:extLst>
            </c:dLbl>
            <c:dLbl>
              <c:idx val="4"/>
              <c:tx>
                <c:strRef>
                  <c:f>Regression_Jackknife!$AE$13</c:f>
                  <c:strCache>
                    <c:ptCount val="1"/>
                    <c:pt idx="0">
                      <c:v>1971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{8447AFCD-8680-074F-9733-FF3EB2E0D681}</c15:txfldGUID>
                      <c15:f>Regression_Jackknife!$AE$13</c15:f>
                      <c15:dlblFieldTableCache>
                        <c:ptCount val="1"/>
                        <c:pt idx="0">
                          <c:v>1971 </c:v>
                        </c:pt>
                      </c15:dlblFieldTableCache>
                    </c15:dlblFTEntry>
                  </c15:dlblFieldTable>
                  <c15:showDataLabelsRange val="0"/>
                </c:ext>
                <c:ext xmlns:c16="http://schemas.microsoft.com/office/drawing/2014/chart" uri="{C3380CC4-5D6E-409C-BE32-E72D297353CC}">
                  <c16:uniqueId val="{00000005-C60D-AA4B-8003-D7ABF201C6D3}"/>
                </c:ext>
              </c:extLst>
            </c:dLbl>
            <c:dLbl>
              <c:idx val="5"/>
              <c:tx>
                <c:strRef>
                  <c:f>Regression_Jackknife!$AE$14</c:f>
                  <c:strCache>
                    <c:ptCount val="1"/>
                    <c:pt idx="0">
                      <c:v>1973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{73BF0272-4FBA-4442-907D-2540B32ECB9A}</c15:txfldGUID>
                      <c15:f>Regression_Jackknife!$AE$14</c15:f>
                      <c15:dlblFieldTableCache>
                        <c:ptCount val="1"/>
                        <c:pt idx="0">
                          <c:v>1973 </c:v>
                        </c:pt>
                      </c15:dlblFieldTableCache>
                    </c15:dlblFTEntry>
                  </c15:dlblFieldTable>
                  <c15:showDataLabelsRange val="0"/>
                </c:ext>
                <c:ext xmlns:c16="http://schemas.microsoft.com/office/drawing/2014/chart" uri="{C3380CC4-5D6E-409C-BE32-E72D297353CC}">
                  <c16:uniqueId val="{00000006-C60D-AA4B-8003-D7ABF201C6D3}"/>
                </c:ext>
              </c:extLst>
            </c:dLbl>
            <c:dLbl>
              <c:idx val="6"/>
              <c:tx>
                <c:strRef>
                  <c:f>Regression_Jackknife!$AE$15</c:f>
                  <c:strCache>
                    <c:ptCount val="1"/>
                    <c:pt idx="0">
                      <c:v>1975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{8DAED4A2-3A9A-C540-9D6C-51FC51B380D0}</c15:txfldGUID>
                      <c15:f>Regression_Jackknife!$AE$15</c15:f>
                      <c15:dlblFieldTableCache>
                        <c:ptCount val="1"/>
                        <c:pt idx="0">
                          <c:v>1975 </c:v>
                        </c:pt>
                      </c15:dlblFieldTableCache>
                    </c15:dlblFTEntry>
                  </c15:dlblFieldTable>
                  <c15:showDataLabelsRange val="0"/>
                </c:ext>
                <c:ext xmlns:c16="http://schemas.microsoft.com/office/drawing/2014/chart" uri="{C3380CC4-5D6E-409C-BE32-E72D297353CC}">
                  <c16:uniqueId val="{00000007-C60D-AA4B-8003-D7ABF201C6D3}"/>
                </c:ext>
              </c:extLst>
            </c:dLbl>
            <c:dLbl>
              <c:idx val="7"/>
              <c:tx>
                <c:strRef>
                  <c:f>Regression_Jackknife!$AE$16</c:f>
                  <c:strCache>
                    <c:ptCount val="1"/>
                    <c:pt idx="0">
                      <c:v>1977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{75D33FB3-02C6-0D43-9C02-A198FA48E4FD}</c15:txfldGUID>
                      <c15:f>Regression_Jackknife!$AE$16</c15:f>
                      <c15:dlblFieldTableCache>
                        <c:ptCount val="1"/>
                        <c:pt idx="0">
                          <c:v>1977 </c:v>
                        </c:pt>
                      </c15:dlblFieldTableCache>
                    </c15:dlblFTEntry>
                  </c15:dlblFieldTable>
                  <c15:showDataLabelsRange val="0"/>
                </c:ext>
                <c:ext xmlns:c16="http://schemas.microsoft.com/office/drawing/2014/chart" uri="{C3380CC4-5D6E-409C-BE32-E72D297353CC}">
                  <c16:uniqueId val="{00000008-C60D-AA4B-8003-D7ABF201C6D3}"/>
                </c:ext>
              </c:extLst>
            </c:dLbl>
            <c:dLbl>
              <c:idx val="8"/>
              <c:tx>
                <c:strRef>
                  <c:f>Regression_Jackknife!$AE$17</c:f>
                  <c:strCache>
                    <c:ptCount val="1"/>
                    <c:pt idx="0">
                      <c:v>1979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{D54114AE-9AD7-7844-9C62-A32069EC7BAF}</c15:txfldGUID>
                      <c15:f>Regression_Jackknife!$AE$17</c15:f>
                      <c15:dlblFieldTableCache>
                        <c:ptCount val="1"/>
                        <c:pt idx="0">
                          <c:v>1979 </c:v>
                        </c:pt>
                      </c15:dlblFieldTableCache>
                    </c15:dlblFTEntry>
                  </c15:dlblFieldTable>
                  <c15:showDataLabelsRange val="0"/>
                </c:ext>
                <c:ext xmlns:c16="http://schemas.microsoft.com/office/drawing/2014/chart" uri="{C3380CC4-5D6E-409C-BE32-E72D297353CC}">
                  <c16:uniqueId val="{00000009-C60D-AA4B-8003-D7ABF201C6D3}"/>
                </c:ext>
              </c:extLst>
            </c:dLbl>
            <c:dLbl>
              <c:idx val="9"/>
              <c:tx>
                <c:strRef>
                  <c:f>Regression_Jackknife!$AE$18</c:f>
                  <c:strCache>
                    <c:ptCount val="1"/>
                    <c:pt idx="0">
                      <c:v>1981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{CF6A508F-1D48-464D-A931-50BED56BE289}</c15:txfldGUID>
                      <c15:f>Regression_Jackknife!$AE$18</c15:f>
                      <c15:dlblFieldTableCache>
                        <c:ptCount val="1"/>
                        <c:pt idx="0">
                          <c:v>1981 </c:v>
                        </c:pt>
                      </c15:dlblFieldTableCache>
                    </c15:dlblFTEntry>
                  </c15:dlblFieldTable>
                  <c15:showDataLabelsRange val="0"/>
                </c:ext>
                <c:ext xmlns:c16="http://schemas.microsoft.com/office/drawing/2014/chart" uri="{C3380CC4-5D6E-409C-BE32-E72D297353CC}">
                  <c16:uniqueId val="{0000000A-C60D-AA4B-8003-D7ABF201C6D3}"/>
                </c:ext>
              </c:extLst>
            </c:dLbl>
            <c:dLbl>
              <c:idx val="10"/>
              <c:tx>
                <c:strRef>
                  <c:f>Regression_Jackknife!$AE$19</c:f>
                  <c:strCache>
                    <c:ptCount val="1"/>
                    <c:pt idx="0">
                      <c:v>1983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{7484E378-EC3A-D248-8C87-6CCBFE5A754A}</c15:txfldGUID>
                      <c15:f>Regression_Jackknife!$AE$19</c15:f>
                      <c15:dlblFieldTableCache>
                        <c:ptCount val="1"/>
                        <c:pt idx="0">
                          <c:v>1983 </c:v>
                        </c:pt>
                      </c15:dlblFieldTableCache>
                    </c15:dlblFTEntry>
                  </c15:dlblFieldTable>
                  <c15:showDataLabelsRange val="0"/>
                </c:ext>
                <c:ext xmlns:c16="http://schemas.microsoft.com/office/drawing/2014/chart" uri="{C3380CC4-5D6E-409C-BE32-E72D297353CC}">
                  <c16:uniqueId val="{0000000B-C60D-AA4B-8003-D7ABF201C6D3}"/>
                </c:ext>
              </c:extLst>
            </c:dLbl>
            <c:dLbl>
              <c:idx val="11"/>
              <c:tx>
                <c:strRef>
                  <c:f>Regression_Jackknife!$AE$20</c:f>
                  <c:strCache>
                    <c:ptCount val="1"/>
                    <c:pt idx="0">
                      <c:v>1985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{F8E12E5C-BA4E-6645-8179-CF89411E0BB2}</c15:txfldGUID>
                      <c15:f>Regression_Jackknife!$AE$20</c15:f>
                      <c15:dlblFieldTableCache>
                        <c:ptCount val="1"/>
                        <c:pt idx="0">
                          <c:v>1985 </c:v>
                        </c:pt>
                      </c15:dlblFieldTableCache>
                    </c15:dlblFTEntry>
                  </c15:dlblFieldTable>
                  <c15:showDataLabelsRange val="0"/>
                </c:ext>
                <c:ext xmlns:c16="http://schemas.microsoft.com/office/drawing/2014/chart" uri="{C3380CC4-5D6E-409C-BE32-E72D297353CC}">
                  <c16:uniqueId val="{0000000C-C60D-AA4B-8003-D7ABF201C6D3}"/>
                </c:ext>
              </c:extLst>
            </c:dLbl>
            <c:dLbl>
              <c:idx val="12"/>
              <c:tx>
                <c:strRef>
                  <c:f>Regression_Jackknife!$AE$21</c:f>
                  <c:strCache>
                    <c:ptCount val="1"/>
                    <c:pt idx="0">
                      <c:v>1987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{1E7D32CC-0A1C-7D44-8C5A-77514A4C3B17}</c15:txfldGUID>
                      <c15:f>Regression_Jackknife!$AE$21</c15:f>
                      <c15:dlblFieldTableCache>
                        <c:ptCount val="1"/>
                        <c:pt idx="0">
                          <c:v>1987 </c:v>
                        </c:pt>
                      </c15:dlblFieldTableCache>
                    </c15:dlblFTEntry>
                  </c15:dlblFieldTable>
                  <c15:showDataLabelsRange val="0"/>
                </c:ext>
                <c:ext xmlns:c16="http://schemas.microsoft.com/office/drawing/2014/chart" uri="{C3380CC4-5D6E-409C-BE32-E72D297353CC}">
                  <c16:uniqueId val="{0000000D-C60D-AA4B-8003-D7ABF201C6D3}"/>
                </c:ext>
              </c:extLst>
            </c:dLbl>
            <c:dLbl>
              <c:idx val="13"/>
              <c:tx>
                <c:strRef>
                  <c:f>Regression_Jackknife!$AE$22</c:f>
                  <c:strCache>
                    <c:ptCount val="1"/>
                    <c:pt idx="0">
                      <c:v>1989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{6914DC39-A2BC-A846-8EBB-B0DF79625228}</c15:txfldGUID>
                      <c15:f>Regression_Jackknife!$AE$22</c15:f>
                      <c15:dlblFieldTableCache>
                        <c:ptCount val="1"/>
                        <c:pt idx="0">
                          <c:v>1989 </c:v>
                        </c:pt>
                      </c15:dlblFieldTableCache>
                    </c15:dlblFTEntry>
                  </c15:dlblFieldTable>
                  <c15:showDataLabelsRange val="0"/>
                </c:ext>
                <c:ext xmlns:c16="http://schemas.microsoft.com/office/drawing/2014/chart" uri="{C3380CC4-5D6E-409C-BE32-E72D297353CC}">
                  <c16:uniqueId val="{0000000E-C60D-AA4B-8003-D7ABF201C6D3}"/>
                </c:ext>
              </c:extLst>
            </c:dLbl>
            <c:dLbl>
              <c:idx val="14"/>
              <c:tx>
                <c:strRef>
                  <c:f>Regression_Jackknife!$AE$23</c:f>
                  <c:strCache>
                    <c:ptCount val="1"/>
                    <c:pt idx="0">
                      <c:v>1991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{55B34AC1-9764-5F4C-8F07-ACEB1D5A8E52}</c15:txfldGUID>
                      <c15:f>Regression_Jackknife!$AE$23</c15:f>
                      <c15:dlblFieldTableCache>
                        <c:ptCount val="1"/>
                        <c:pt idx="0">
                          <c:v>1991 </c:v>
                        </c:pt>
                      </c15:dlblFieldTableCache>
                    </c15:dlblFTEntry>
                  </c15:dlblFieldTable>
                  <c15:showDataLabelsRange val="0"/>
                </c:ext>
                <c:ext xmlns:c16="http://schemas.microsoft.com/office/drawing/2014/chart" uri="{C3380CC4-5D6E-409C-BE32-E72D297353CC}">
                  <c16:uniqueId val="{0000000F-C60D-AA4B-8003-D7ABF201C6D3}"/>
                </c:ext>
              </c:extLst>
            </c:dLbl>
            <c:dLbl>
              <c:idx val="15"/>
              <c:tx>
                <c:strRef>
                  <c:f>Regression_Jackknife!$AE$24</c:f>
                  <c:strCache>
                    <c:ptCount val="1"/>
                    <c:pt idx="0">
                      <c:v>1993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{29223F0C-A882-E642-871F-A5C83E70D3BA}</c15:txfldGUID>
                      <c15:f>Regression_Jackknife!$AE$24</c15:f>
                      <c15:dlblFieldTableCache>
                        <c:ptCount val="1"/>
                        <c:pt idx="0">
                          <c:v>1993 </c:v>
                        </c:pt>
                      </c15:dlblFieldTableCache>
                    </c15:dlblFTEntry>
                  </c15:dlblFieldTable>
                  <c15:showDataLabelsRange val="0"/>
                </c:ext>
                <c:ext xmlns:c16="http://schemas.microsoft.com/office/drawing/2014/chart" uri="{C3380CC4-5D6E-409C-BE32-E72D297353CC}">
                  <c16:uniqueId val="{00000010-C60D-AA4B-8003-D7ABF201C6D3}"/>
                </c:ext>
              </c:extLst>
            </c:dLbl>
            <c:dLbl>
              <c:idx val="16"/>
              <c:tx>
                <c:strRef>
                  <c:f>Regression_Jackknife!$AE$25</c:f>
                  <c:strCache>
                    <c:ptCount val="1"/>
                    <c:pt idx="0">
                      <c:v>1995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{66D524B3-793E-D843-8ACB-5C070DD99FBB}</c15:txfldGUID>
                      <c15:f>Regression_Jackknife!$AE$25</c15:f>
                      <c15:dlblFieldTableCache>
                        <c:ptCount val="1"/>
                        <c:pt idx="0">
                          <c:v>1995 </c:v>
                        </c:pt>
                      </c15:dlblFieldTableCache>
                    </c15:dlblFTEntry>
                  </c15:dlblFieldTable>
                  <c15:showDataLabelsRange val="0"/>
                </c:ext>
                <c:ext xmlns:c16="http://schemas.microsoft.com/office/drawing/2014/chart" uri="{C3380CC4-5D6E-409C-BE32-E72D297353CC}">
                  <c16:uniqueId val="{00000011-C60D-AA4B-8003-D7ABF201C6D3}"/>
                </c:ext>
              </c:extLst>
            </c:dLbl>
            <c:dLbl>
              <c:idx val="17"/>
              <c:tx>
                <c:strRef>
                  <c:f>Regression_Jackknife!$AE$26</c:f>
                  <c:strCache>
                    <c:ptCount val="1"/>
                    <c:pt idx="0">
                      <c:v>1997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{8A24C215-1FB5-A743-9D4E-D0A0D06E28D3}</c15:txfldGUID>
                      <c15:f>Regression_Jackknife!$AE$26</c15:f>
                      <c15:dlblFieldTableCache>
                        <c:ptCount val="1"/>
                        <c:pt idx="0">
                          <c:v>1997 </c:v>
                        </c:pt>
                      </c15:dlblFieldTableCache>
                    </c15:dlblFTEntry>
                  </c15:dlblFieldTable>
                  <c15:showDataLabelsRange val="0"/>
                </c:ext>
                <c:ext xmlns:c16="http://schemas.microsoft.com/office/drawing/2014/chart" uri="{C3380CC4-5D6E-409C-BE32-E72D297353CC}">
                  <c16:uniqueId val="{00000012-C60D-AA4B-8003-D7ABF201C6D3}"/>
                </c:ext>
              </c:extLst>
            </c:dLbl>
            <c:dLbl>
              <c:idx val="18"/>
              <c:tx>
                <c:strRef>
                  <c:f>Regression_Jackknife!$AE$27</c:f>
                  <c:strCache>
                    <c:ptCount val="1"/>
                    <c:pt idx="0">
                      <c:v>1999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{DBDFEB48-D8D1-9E46-A0FD-4BBD27EB9D5A}</c15:txfldGUID>
                      <c15:f>Regression_Jackknife!$AE$27</c15:f>
                      <c15:dlblFieldTableCache>
                        <c:ptCount val="1"/>
                        <c:pt idx="0">
                          <c:v>1999 </c:v>
                        </c:pt>
                      </c15:dlblFieldTableCache>
                    </c15:dlblFTEntry>
                  </c15:dlblFieldTable>
                  <c15:showDataLabelsRange val="0"/>
                </c:ext>
                <c:ext xmlns:c16="http://schemas.microsoft.com/office/drawing/2014/chart" uri="{C3380CC4-5D6E-409C-BE32-E72D297353CC}">
                  <c16:uniqueId val="{00000013-C60D-AA4B-8003-D7ABF201C6D3}"/>
                </c:ext>
              </c:extLst>
            </c:dLbl>
            <c:dLbl>
              <c:idx val="19"/>
              <c:tx>
                <c:strRef>
                  <c:f>Regression_Jackknife!$AE$28</c:f>
                  <c:strCache>
                    <c:ptCount val="1"/>
                    <c:pt idx="0">
                      <c:v>2001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{F63154E0-E2E4-DC47-B15F-AEE8D266B207}</c15:txfldGUID>
                      <c15:f>Regression_Jackknife!$AE$28</c15:f>
                      <c15:dlblFieldTableCache>
                        <c:ptCount val="1"/>
                        <c:pt idx="0">
                          <c:v>2001 </c:v>
                        </c:pt>
                      </c15:dlblFieldTableCache>
                    </c15:dlblFTEntry>
                  </c15:dlblFieldTable>
                  <c15:showDataLabelsRange val="0"/>
                </c:ext>
                <c:ext xmlns:c16="http://schemas.microsoft.com/office/drawing/2014/chart" uri="{C3380CC4-5D6E-409C-BE32-E72D297353CC}">
                  <c16:uniqueId val="{00000014-C60D-AA4B-8003-D7ABF201C6D3}"/>
                </c:ext>
              </c:extLst>
            </c:dLbl>
            <c:dLbl>
              <c:idx val="20"/>
              <c:tx>
                <c:strRef>
                  <c:f>Regression_Jackknife!$AE$29</c:f>
                  <c:strCache>
                    <c:ptCount val="1"/>
                    <c:pt idx="0">
                      <c:v>2003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{FAAEEBDB-64C0-2C40-9FBD-F3EAB7B5CA98}</c15:txfldGUID>
                      <c15:f>Regression_Jackknife!$AE$29</c15:f>
                      <c15:dlblFieldTableCache>
                        <c:ptCount val="1"/>
                        <c:pt idx="0">
                          <c:v>2003 </c:v>
                        </c:pt>
                      </c15:dlblFieldTableCache>
                    </c15:dlblFTEntry>
                  </c15:dlblFieldTable>
                  <c15:showDataLabelsRange val="0"/>
                </c:ext>
                <c:ext xmlns:c16="http://schemas.microsoft.com/office/drawing/2014/chart" uri="{C3380CC4-5D6E-409C-BE32-E72D297353CC}">
                  <c16:uniqueId val="{00000015-C60D-AA4B-8003-D7ABF201C6D3}"/>
                </c:ext>
              </c:extLst>
            </c:dLbl>
            <c:dLbl>
              <c:idx val="21"/>
              <c:tx>
                <c:strRef>
                  <c:f>Regression_Jackknife!$AE$30</c:f>
                  <c:strCache>
                    <c:ptCount val="1"/>
                    <c:pt idx="0">
                      <c:v>2005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{B2DAB6B2-C984-5549-B39C-1C3893EE3723}</c15:txfldGUID>
                      <c15:f>Regression_Jackknife!$AE$30</c15:f>
                      <c15:dlblFieldTableCache>
                        <c:ptCount val="1"/>
                        <c:pt idx="0">
                          <c:v>2005 </c:v>
                        </c:pt>
                      </c15:dlblFieldTableCache>
                    </c15:dlblFTEntry>
                  </c15:dlblFieldTable>
                  <c15:showDataLabelsRange val="0"/>
                </c:ext>
                <c:ext xmlns:c16="http://schemas.microsoft.com/office/drawing/2014/chart" uri="{C3380CC4-5D6E-409C-BE32-E72D297353CC}">
                  <c16:uniqueId val="{00000016-C60D-AA4B-8003-D7ABF201C6D3}"/>
                </c:ext>
              </c:extLst>
            </c:dLbl>
            <c:dLbl>
              <c:idx val="22"/>
              <c:tx>
                <c:strRef>
                  <c:f>Regression_Jackknife!$AE$31</c:f>
                  <c:strCache>
                    <c:ptCount val="1"/>
                    <c:pt idx="0">
                      <c:v>2007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{2F81AF04-2BCF-3D49-BD99-787519A10BFD}</c15:txfldGUID>
                      <c15:f>Regression_Jackknife!$AE$31</c15:f>
                      <c15:dlblFieldTableCache>
                        <c:ptCount val="1"/>
                        <c:pt idx="0">
                          <c:v>2007 </c:v>
                        </c:pt>
                      </c15:dlblFieldTableCache>
                    </c15:dlblFTEntry>
                  </c15:dlblFieldTable>
                  <c15:showDataLabelsRange val="0"/>
                </c:ext>
                <c:ext xmlns:c16="http://schemas.microsoft.com/office/drawing/2014/chart" uri="{C3380CC4-5D6E-409C-BE32-E72D297353CC}">
                  <c16:uniqueId val="{00000017-C60D-AA4B-8003-D7ABF201C6D3}"/>
                </c:ext>
              </c:extLst>
            </c:dLbl>
            <c:dLbl>
              <c:idx val="23"/>
              <c:tx>
                <c:strRef>
                  <c:f>Regression_Jackknife!$AE$32</c:f>
                  <c:strCache>
                    <c:ptCount val="1"/>
                    <c:pt idx="0">
                      <c:v>2009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{B568995B-72C2-6C47-9B4B-C00B98665D5F}</c15:txfldGUID>
                      <c15:f>Regression_Jackknife!$AE$32</c15:f>
                      <c15:dlblFieldTableCache>
                        <c:ptCount val="1"/>
                        <c:pt idx="0">
                          <c:v>2009 </c:v>
                        </c:pt>
                      </c15:dlblFieldTableCache>
                    </c15:dlblFTEntry>
                  </c15:dlblFieldTable>
                  <c15:showDataLabelsRange val="0"/>
                </c:ext>
                <c:ext xmlns:c16="http://schemas.microsoft.com/office/drawing/2014/chart" uri="{C3380CC4-5D6E-409C-BE32-E72D297353CC}">
                  <c16:uniqueId val="{00000018-C60D-AA4B-8003-D7ABF201C6D3}"/>
                </c:ext>
              </c:extLst>
            </c:dLbl>
            <c:dLbl>
              <c:idx val="24"/>
              <c:tx>
                <c:strRef>
                  <c:f>Regression_Jackknife!$AE$33</c:f>
                  <c:strCache>
                    <c:ptCount val="1"/>
                    <c:pt idx="0">
                      <c:v>2011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{63E14B63-CD8D-4740-9B40-2B1E98FCA34A}</c15:txfldGUID>
                      <c15:f>Regression_Jackknife!$AE$33</c15:f>
                      <c15:dlblFieldTableCache>
                        <c:ptCount val="1"/>
                        <c:pt idx="0">
                          <c:v>2011 </c:v>
                        </c:pt>
                      </c15:dlblFieldTableCache>
                    </c15:dlblFTEntry>
                  </c15:dlblFieldTable>
                  <c15:showDataLabelsRange val="0"/>
                </c:ext>
                <c:ext xmlns:c16="http://schemas.microsoft.com/office/drawing/2014/chart" uri="{C3380CC4-5D6E-409C-BE32-E72D297353CC}">
                  <c16:uniqueId val="{00000019-C60D-AA4B-8003-D7ABF201C6D3}"/>
                </c:ext>
              </c:extLst>
            </c:dLbl>
            <c:dLbl>
              <c:idx val="25"/>
              <c:tx>
                <c:strRef>
                  <c:f>Regression_Jackknife!$AE$34</c:f>
                  <c:strCache>
                    <c:ptCount val="1"/>
                    <c:pt idx="0">
                      <c:v>2013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{E82B99B6-9F08-974A-BE8E-4D8D5141E496}</c15:txfldGUID>
                      <c15:f>Regression_Jackknife!$AE$34</c15:f>
                      <c15:dlblFieldTableCache>
                        <c:ptCount val="1"/>
                        <c:pt idx="0">
                          <c:v>2013 </c:v>
                        </c:pt>
                      </c15:dlblFieldTableCache>
                    </c15:dlblFTEntry>
                  </c15:dlblFieldTable>
                  <c15:showDataLabelsRange val="0"/>
                </c:ext>
                <c:ext xmlns:c16="http://schemas.microsoft.com/office/drawing/2014/chart" uri="{C3380CC4-5D6E-409C-BE32-E72D297353CC}">
                  <c16:uniqueId val="{0000001A-C60D-AA4B-8003-D7ABF201C6D3}"/>
                </c:ext>
              </c:extLst>
            </c:dLbl>
            <c:dLbl>
              <c:idx val="26"/>
              <c:tx>
                <c:strRef>
                  <c:f>Regression_Jackknife!$AE$35</c:f>
                  <c:strCache>
                    <c:ptCount val="1"/>
                    <c:pt idx="0">
                      <c:v>2015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{E199B80C-FA70-4E49-A26A-45D11CDB0811}</c15:txfldGUID>
                      <c15:f>Regression_Jackknife!$AE$35</c15:f>
                      <c15:dlblFieldTableCache>
                        <c:ptCount val="1"/>
                        <c:pt idx="0">
                          <c:v>2015 </c:v>
                        </c:pt>
                      </c15:dlblFieldTableCache>
                    </c15:dlblFTEntry>
                  </c15:dlblFieldTable>
                  <c15:showDataLabelsRange val="0"/>
                </c:ext>
                <c:ext xmlns:c16="http://schemas.microsoft.com/office/drawing/2014/chart" uri="{C3380CC4-5D6E-409C-BE32-E72D297353CC}">
                  <c16:uniqueId val="{0000001B-C60D-AA4B-8003-D7ABF201C6D3}"/>
                </c:ext>
              </c:extLst>
            </c:dLbl>
            <c:dLbl>
              <c:idx val="27"/>
              <c:tx>
                <c:strRef>
                  <c:f>Regression_Jackknife!$AE$36</c:f>
                  <c:strCache>
                    <c:ptCount val="1"/>
                  </c:strCache>
                </c:strRef>
              </c:tx>
              <c:spPr/>
              <c:txPr>
                <a:bodyPr/>
                <a:lstStyle/>
                <a:p>
                  <a:pPr>
                    <a:defRPr sz="1200" b="0" i="0" u="none" strike="noStrike">
                      <a:latin typeface="Times New Roman"/>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dlblFTEntry>
                      <c15:txfldGUID>{3973CEBB-9C5A-9D42-A70E-18A681195D89}</c15:txfldGUID>
                      <c15:f>Regression_Jackknife!$AE$36</c15:f>
                      <c15:dlblFieldTableCache>
                        <c:ptCount val="1"/>
                      </c15:dlblFieldTableCache>
                    </c15:dlblFTEntry>
                  </c15:dlblFieldTable>
                  <c15:showDataLabelsRange val="0"/>
                </c:ext>
                <c:ext xmlns:c16="http://schemas.microsoft.com/office/drawing/2014/chart" uri="{C3380CC4-5D6E-409C-BE32-E72D297353CC}">
                  <c16:uniqueId val="{0000001C-C60D-AA4B-8003-D7ABF201C6D3}"/>
                </c:ext>
              </c:extLst>
            </c:dLbl>
            <c:dLbl>
              <c:idx val="28"/>
              <c:tx>
                <c:strRef>
                  <c:f>Regression_Jackknife!$AE$37</c:f>
                  <c:strCache>
                    <c:ptCount val="1"/>
                    <c:pt idx="0">
                      <c:v>2017 </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{CD02464A-A2D1-5B48-AE0F-7DE8A022519E}</c15:txfldGUID>
                      <c15:f>Regression_Jackknife!$AE$37</c15:f>
                      <c15:dlblFieldTableCache>
                        <c:ptCount val="1"/>
                        <c:pt idx="0">
                          <c:v>2017 </c:v>
                        </c:pt>
                      </c15:dlblFieldTableCache>
                    </c15:dlblFTEntry>
                  </c15:dlblFieldTable>
                  <c15:showDataLabelsRange val="0"/>
                </c:ext>
                <c:ext xmlns:c16="http://schemas.microsoft.com/office/drawing/2014/chart" uri="{C3380CC4-5D6E-409C-BE32-E72D297353CC}">
                  <c16:uniqueId val="{0000001D-C60D-AA4B-8003-D7ABF201C6D3}"/>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Regression_Jackknife!$Y$9:$Y$37</c:f>
              <c:numCache>
                <c:formatCode>0.00_)</c:formatCode>
                <c:ptCount val="29"/>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pt idx="28">
                  <c:v>15.631706047547526</c:v>
                </c:pt>
              </c:numCache>
            </c:numRef>
          </c:xVal>
          <c:yVal>
            <c:numRef>
              <c:f>Regression_Jackknife!$AA$9:$AA$37</c:f>
              <c:numCache>
                <c:formatCode>0.00_)</c:formatCode>
                <c:ptCount val="29"/>
                <c:pt idx="0">
                  <c:v>15.710295518802155</c:v>
                </c:pt>
                <c:pt idx="1">
                  <c:v>15.049942826774886</c:v>
                </c:pt>
                <c:pt idx="2">
                  <c:v>15.059261612298622</c:v>
                </c:pt>
                <c:pt idx="3">
                  <c:v>15.470523758100148</c:v>
                </c:pt>
                <c:pt idx="4">
                  <c:v>15.94653763882399</c:v>
                </c:pt>
                <c:pt idx="5">
                  <c:v>15.959800026035939</c:v>
                </c:pt>
                <c:pt idx="6">
                  <c:v>15.016209408748322</c:v>
                </c:pt>
                <c:pt idx="7">
                  <c:v>15.576192243549105</c:v>
                </c:pt>
                <c:pt idx="8">
                  <c:v>16.668267153121018</c:v>
                </c:pt>
                <c:pt idx="9">
                  <c:v>16.789450391857873</c:v>
                </c:pt>
                <c:pt idx="10">
                  <c:v>16.263696859413287</c:v>
                </c:pt>
                <c:pt idx="11">
                  <c:v>16.808143282876529</c:v>
                </c:pt>
                <c:pt idx="12">
                  <c:v>16.385596240357142</c:v>
                </c:pt>
                <c:pt idx="13">
                  <c:v>15.372338520126076</c:v>
                </c:pt>
                <c:pt idx="14">
                  <c:v>15.836365961207919</c:v>
                </c:pt>
                <c:pt idx="15">
                  <c:v>14.249201541526689</c:v>
                </c:pt>
                <c:pt idx="16">
                  <c:v>15.185220148927955</c:v>
                </c:pt>
                <c:pt idx="17">
                  <c:v>14.766659423843313</c:v>
                </c:pt>
                <c:pt idx="18">
                  <c:v>16.056773073127243</c:v>
                </c:pt>
                <c:pt idx="19">
                  <c:v>15.996456349799002</c:v>
                </c:pt>
                <c:pt idx="20">
                  <c:v>15.809463917433993</c:v>
                </c:pt>
                <c:pt idx="21">
                  <c:v>16.650633118619044</c:v>
                </c:pt>
                <c:pt idx="22">
                  <c:v>16.260201608764461</c:v>
                </c:pt>
                <c:pt idx="23">
                  <c:v>14.853781941234109</c:v>
                </c:pt>
                <c:pt idx="24">
                  <c:v>16.081753087954393</c:v>
                </c:pt>
                <c:pt idx="25">
                  <c:v>16.904981458898906</c:v>
                </c:pt>
                <c:pt idx="26">
                  <c:v>17.271312208063883</c:v>
                </c:pt>
              </c:numCache>
            </c:numRef>
          </c:yVal>
          <c:smooth val="0"/>
          <c:extLst>
            <c:ext xmlns:c16="http://schemas.microsoft.com/office/drawing/2014/chart" uri="{C3380CC4-5D6E-409C-BE32-E72D297353CC}">
              <c16:uniqueId val="{0000001E-C60D-AA4B-8003-D7ABF201C6D3}"/>
            </c:ext>
          </c:extLst>
        </c:ser>
        <c:ser>
          <c:idx val="2"/>
          <c:order val="2"/>
          <c:tx>
            <c:v>Lower PI</c:v>
          </c:tx>
          <c:marker>
            <c:symbol val="none"/>
          </c:marker>
          <c:xVal>
            <c:numRef>
              <c:f>Regression_Jackknife!$Y$9:$Y$37</c:f>
              <c:numCache>
                <c:formatCode>0.00_)</c:formatCode>
                <c:ptCount val="29"/>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pt idx="28">
                  <c:v>15.631706047547526</c:v>
                </c:pt>
              </c:numCache>
            </c:numRef>
          </c:xVal>
          <c:yVal>
            <c:numRef>
              <c:f>Regression_Jackknife!$AB$9:$AB$37</c:f>
              <c:numCache>
                <c:formatCode>0.00_)</c:formatCode>
                <c:ptCount val="29"/>
                <c:pt idx="0">
                  <c:v>15.162863483662049</c:v>
                </c:pt>
                <c:pt idx="1">
                  <c:v>14.784415322578997</c:v>
                </c:pt>
                <c:pt idx="2">
                  <c:v>14.52722253258125</c:v>
                </c:pt>
                <c:pt idx="3">
                  <c:v>14.411939303865239</c:v>
                </c:pt>
                <c:pt idx="4">
                  <c:v>13.838167788295056</c:v>
                </c:pt>
                <c:pt idx="5">
                  <c:v>14.629722778777312</c:v>
                </c:pt>
                <c:pt idx="6">
                  <c:v>14.705072100123138</c:v>
                </c:pt>
                <c:pt idx="7">
                  <c:v>14.73055442880908</c:v>
                </c:pt>
                <c:pt idx="8">
                  <c:v>14.872701176282179</c:v>
                </c:pt>
                <c:pt idx="9">
                  <c:v>15.379925041944253</c:v>
                </c:pt>
                <c:pt idx="10">
                  <c:v>15.15115414913492</c:v>
                </c:pt>
                <c:pt idx="11">
                  <c:v>15.089861387899651</c:v>
                </c:pt>
                <c:pt idx="12">
                  <c:v>15.214170557208478</c:v>
                </c:pt>
                <c:pt idx="13">
                  <c:v>14.793867993319253</c:v>
                </c:pt>
                <c:pt idx="14">
                  <c:v>14.710588122796912</c:v>
                </c:pt>
                <c:pt idx="15">
                  <c:v>14.973260327505495</c:v>
                </c:pt>
                <c:pt idx="16">
                  <c:v>14.596013810708369</c:v>
                </c:pt>
                <c:pt idx="17">
                  <c:v>14.682504243961937</c:v>
                </c:pt>
                <c:pt idx="18">
                  <c:v>14.822131803079417</c:v>
                </c:pt>
                <c:pt idx="19">
                  <c:v>15.25154341111252</c:v>
                </c:pt>
                <c:pt idx="20">
                  <c:v>15.088798129961692</c:v>
                </c:pt>
                <c:pt idx="21">
                  <c:v>15.36488515227243</c:v>
                </c:pt>
                <c:pt idx="22">
                  <c:v>15.763208164448718</c:v>
                </c:pt>
                <c:pt idx="23">
                  <c:v>14.868288821967488</c:v>
                </c:pt>
                <c:pt idx="24">
                  <c:v>15.018976228647801</c:v>
                </c:pt>
                <c:pt idx="25">
                  <c:v>15.616698788132132</c:v>
                </c:pt>
                <c:pt idx="26">
                  <c:v>15.754589908005135</c:v>
                </c:pt>
              </c:numCache>
            </c:numRef>
          </c:yVal>
          <c:smooth val="0"/>
          <c:extLst>
            <c:ext xmlns:c16="http://schemas.microsoft.com/office/drawing/2014/chart" uri="{C3380CC4-5D6E-409C-BE32-E72D297353CC}">
              <c16:uniqueId val="{0000001F-C60D-AA4B-8003-D7ABF201C6D3}"/>
            </c:ext>
          </c:extLst>
        </c:ser>
        <c:ser>
          <c:idx val="3"/>
          <c:order val="3"/>
          <c:tx>
            <c:v>Upper PI</c:v>
          </c:tx>
          <c:marker>
            <c:symbol val="none"/>
          </c:marker>
          <c:xVal>
            <c:numRef>
              <c:f>Regression_Jackknife!$Y$9:$Y$37</c:f>
              <c:numCache>
                <c:formatCode>0.00_)</c:formatCode>
                <c:ptCount val="29"/>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pt idx="28">
                  <c:v>15.631706047547526</c:v>
                </c:pt>
              </c:numCache>
            </c:numRef>
          </c:xVal>
          <c:yVal>
            <c:numRef>
              <c:f>Regression_Jackknife!$AC$9:$AC$37</c:f>
              <c:numCache>
                <c:formatCode>0.00_)</c:formatCode>
                <c:ptCount val="29"/>
                <c:pt idx="0">
                  <c:v>16.95515491797353</c:v>
                </c:pt>
                <c:pt idx="1">
                  <c:v>16.576706756890481</c:v>
                </c:pt>
                <c:pt idx="2">
                  <c:v>16.319513966892732</c:v>
                </c:pt>
                <c:pt idx="3">
                  <c:v>16.204230738176722</c:v>
                </c:pt>
                <c:pt idx="4">
                  <c:v>15.63045922260654</c:v>
                </c:pt>
                <c:pt idx="5">
                  <c:v>16.422014213088794</c:v>
                </c:pt>
                <c:pt idx="6">
                  <c:v>16.497363534434619</c:v>
                </c:pt>
                <c:pt idx="7">
                  <c:v>16.522845863120562</c:v>
                </c:pt>
                <c:pt idx="8">
                  <c:v>16.664992610593661</c:v>
                </c:pt>
                <c:pt idx="9">
                  <c:v>17.172216476255734</c:v>
                </c:pt>
                <c:pt idx="10">
                  <c:v>16.943445583446401</c:v>
                </c:pt>
                <c:pt idx="11">
                  <c:v>16.882152822211133</c:v>
                </c:pt>
                <c:pt idx="12">
                  <c:v>17.006461991519959</c:v>
                </c:pt>
                <c:pt idx="13">
                  <c:v>16.586159427630736</c:v>
                </c:pt>
                <c:pt idx="14">
                  <c:v>16.502879557108393</c:v>
                </c:pt>
                <c:pt idx="15">
                  <c:v>16.765551761816976</c:v>
                </c:pt>
                <c:pt idx="16">
                  <c:v>16.388305245019851</c:v>
                </c:pt>
                <c:pt idx="17">
                  <c:v>16.47479567827342</c:v>
                </c:pt>
                <c:pt idx="18">
                  <c:v>16.614423237390898</c:v>
                </c:pt>
                <c:pt idx="19">
                  <c:v>17.043834845424001</c:v>
                </c:pt>
                <c:pt idx="20">
                  <c:v>16.881089564273175</c:v>
                </c:pt>
                <c:pt idx="21">
                  <c:v>17.157176586583912</c:v>
                </c:pt>
                <c:pt idx="22">
                  <c:v>17.5554995987602</c:v>
                </c:pt>
                <c:pt idx="23">
                  <c:v>16.660580256278969</c:v>
                </c:pt>
                <c:pt idx="24">
                  <c:v>16.811267662959285</c:v>
                </c:pt>
                <c:pt idx="25">
                  <c:v>17.408990222443613</c:v>
                </c:pt>
                <c:pt idx="26">
                  <c:v>17.546881342316617</c:v>
                </c:pt>
              </c:numCache>
            </c:numRef>
          </c:yVal>
          <c:smooth val="0"/>
          <c:extLst>
            <c:ext xmlns:c16="http://schemas.microsoft.com/office/drawing/2014/chart" uri="{C3380CC4-5D6E-409C-BE32-E72D297353CC}">
              <c16:uniqueId val="{00000020-C60D-AA4B-8003-D7ABF201C6D3}"/>
            </c:ext>
          </c:extLst>
        </c:ser>
        <c:ser>
          <c:idx val="4"/>
          <c:order val="4"/>
          <c:tx>
            <c:v>2017 Forecast</c:v>
          </c:tx>
          <c:spPr>
            <a:ln>
              <a:noFill/>
            </a:ln>
          </c:spPr>
          <c:marker>
            <c:symbol val="star"/>
            <c:size val="12"/>
            <c:spPr>
              <a:solidFill>
                <a:srgbClr val="92D050"/>
              </a:solidFill>
            </c:spPr>
          </c:marker>
          <c:xVal>
            <c:numRef>
              <c:f>Regression_Jackknife!$Y$9:$Y$37</c:f>
              <c:numCache>
                <c:formatCode>0.00_)</c:formatCode>
                <c:ptCount val="29"/>
                <c:pt idx="0">
                  <c:v>14.603504174452336</c:v>
                </c:pt>
                <c:pt idx="1">
                  <c:v>14.119857988684956</c:v>
                </c:pt>
                <c:pt idx="2">
                  <c:v>13.791172782411794</c:v>
                </c:pt>
                <c:pt idx="3">
                  <c:v>13.643844034157651</c:v>
                </c:pt>
                <c:pt idx="4">
                  <c:v>12.910580053660754</c:v>
                </c:pt>
                <c:pt idx="5">
                  <c:v>13.922165235832814</c:v>
                </c:pt>
                <c:pt idx="6">
                  <c:v>14.018459565192952</c:v>
                </c:pt>
                <c:pt idx="7">
                  <c:v>14.051025269933481</c:v>
                </c:pt>
                <c:pt idx="8">
                  <c:v>14.23268484528419</c:v>
                </c:pt>
                <c:pt idx="9">
                  <c:v>14.88090278682629</c:v>
                </c:pt>
                <c:pt idx="10">
                  <c:v>14.588539971783964</c:v>
                </c:pt>
                <c:pt idx="11">
                  <c:v>14.51020953386678</c:v>
                </c:pt>
                <c:pt idx="12">
                  <c:v>14.669073182246173</c:v>
                </c:pt>
                <c:pt idx="13">
                  <c:v>14.131938238026784</c:v>
                </c:pt>
                <c:pt idx="14">
                  <c:v>14.025508888194397</c:v>
                </c:pt>
                <c:pt idx="15">
                  <c:v>14.361196633514252</c:v>
                </c:pt>
                <c:pt idx="16">
                  <c:v>13.879086115601284</c:v>
                </c:pt>
                <c:pt idx="17">
                  <c:v>13.989618474983725</c:v>
                </c:pt>
                <c:pt idx="18">
                  <c:v>14.168058597937208</c:v>
                </c:pt>
                <c:pt idx="19">
                  <c:v>14.716834646300336</c:v>
                </c:pt>
                <c:pt idx="20">
                  <c:v>14.508850719902116</c:v>
                </c:pt>
                <c:pt idx="21">
                  <c:v>14.861682227652949</c:v>
                </c:pt>
                <c:pt idx="22">
                  <c:v>15.370727918325914</c:v>
                </c:pt>
                <c:pt idx="23">
                  <c:v>14.227045979637577</c:v>
                </c:pt>
                <c:pt idx="24">
                  <c:v>14.419620279049006</c:v>
                </c:pt>
                <c:pt idx="25">
                  <c:v>15.183493025092748</c:v>
                </c:pt>
                <c:pt idx="26">
                  <c:v>15.359714027163184</c:v>
                </c:pt>
                <c:pt idx="28">
                  <c:v>15.631706047547526</c:v>
                </c:pt>
              </c:numCache>
            </c:numRef>
          </c:xVal>
          <c:yVal>
            <c:numRef>
              <c:f>Regression_Jackknife!$AD$9:$AD$37</c:f>
              <c:numCache>
                <c:formatCode>0.00_)</c:formatCode>
                <c:ptCount val="29"/>
                <c:pt idx="28">
                  <c:v>16.863566580873666</c:v>
                </c:pt>
              </c:numCache>
            </c:numRef>
          </c:yVal>
          <c:smooth val="0"/>
          <c:extLst>
            <c:ext xmlns:c16="http://schemas.microsoft.com/office/drawing/2014/chart" uri="{C3380CC4-5D6E-409C-BE32-E72D297353CC}">
              <c16:uniqueId val="{00000021-C60D-AA4B-8003-D7ABF201C6D3}"/>
            </c:ext>
          </c:extLst>
        </c:ser>
        <c:dLbls>
          <c:showLegendKey val="0"/>
          <c:showVal val="0"/>
          <c:showCatName val="0"/>
          <c:showSerName val="0"/>
          <c:showPercent val="0"/>
          <c:showBubbleSize val="0"/>
        </c:dLbls>
        <c:axId val="190888960"/>
        <c:axId val="190739200"/>
      </c:scatterChart>
      <c:valAx>
        <c:axId val="190888960"/>
        <c:scaling>
          <c:orientation val="minMax"/>
          <c:min val="12.5"/>
        </c:scaling>
        <c:delete val="0"/>
        <c:axPos val="b"/>
        <c:numFmt formatCode="0.00_)" sourceLinked="1"/>
        <c:majorTickMark val="out"/>
        <c:minorTickMark val="none"/>
        <c:tickLblPos val="nextTo"/>
        <c:crossAx val="190739200"/>
        <c:crosses val="autoZero"/>
        <c:crossBetween val="midCat"/>
      </c:valAx>
      <c:valAx>
        <c:axId val="190739200"/>
        <c:scaling>
          <c:orientation val="minMax"/>
          <c:min val="13"/>
        </c:scaling>
        <c:delete val="0"/>
        <c:axPos val="l"/>
        <c:majorGridlines>
          <c:spPr>
            <a:ln>
              <a:solidFill>
                <a:schemeClr val="bg1">
                  <a:lumMod val="75000"/>
                </a:schemeClr>
              </a:solidFill>
              <a:prstDash val="dash"/>
            </a:ln>
          </c:spPr>
        </c:majorGridlines>
        <c:numFmt formatCode="0.00_)" sourceLinked="1"/>
        <c:majorTickMark val="out"/>
        <c:minorTickMark val="none"/>
        <c:tickLblPos val="nextTo"/>
        <c:crossAx val="190888960"/>
        <c:crosses val="autoZero"/>
        <c:crossBetween val="midCat"/>
      </c:valAx>
    </c:plotArea>
    <c:legend>
      <c:legendPos val="r"/>
      <c:layout>
        <c:manualLayout>
          <c:xMode val="edge"/>
          <c:yMode val="edge"/>
          <c:x val="0.71767981128710479"/>
          <c:y val="0.50917670127243453"/>
          <c:w val="0.16649561446265115"/>
          <c:h val="0.24805023437577398"/>
        </c:manualLayout>
      </c:layout>
      <c:overlay val="0"/>
      <c:txPr>
        <a:bodyPr/>
        <a:lstStyle/>
        <a:p>
          <a:pPr>
            <a:defRPr sz="1200"/>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264"/>
          <c:y val="3.8668176511380895E-2"/>
          <c:w val="0.90598887446313081"/>
          <c:h val="0.78317698116659351"/>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'Lag1_Exp_smooth_Total Run Even'!$A$10:$A$35</c:f>
              <c:numCache>
                <c:formatCode>General</c:formatCode>
                <c:ptCount val="26"/>
                <c:pt idx="0">
                  <c:v>1964</c:v>
                </c:pt>
                <c:pt idx="1">
                  <c:v>1966</c:v>
                </c:pt>
                <c:pt idx="2">
                  <c:v>1968</c:v>
                </c:pt>
                <c:pt idx="3">
                  <c:v>1970</c:v>
                </c:pt>
                <c:pt idx="4">
                  <c:v>1972</c:v>
                </c:pt>
                <c:pt idx="5">
                  <c:v>1974</c:v>
                </c:pt>
                <c:pt idx="6">
                  <c:v>1976</c:v>
                </c:pt>
                <c:pt idx="7">
                  <c:v>1978</c:v>
                </c:pt>
                <c:pt idx="8">
                  <c:v>1980</c:v>
                </c:pt>
                <c:pt idx="9">
                  <c:v>1982</c:v>
                </c:pt>
                <c:pt idx="10">
                  <c:v>1984</c:v>
                </c:pt>
                <c:pt idx="11">
                  <c:v>1986</c:v>
                </c:pt>
                <c:pt idx="12">
                  <c:v>1988</c:v>
                </c:pt>
                <c:pt idx="13">
                  <c:v>1990</c:v>
                </c:pt>
                <c:pt idx="14">
                  <c:v>1992</c:v>
                </c:pt>
                <c:pt idx="15">
                  <c:v>1994</c:v>
                </c:pt>
                <c:pt idx="16">
                  <c:v>1996</c:v>
                </c:pt>
                <c:pt idx="17">
                  <c:v>1998</c:v>
                </c:pt>
                <c:pt idx="18">
                  <c:v>2000</c:v>
                </c:pt>
                <c:pt idx="19">
                  <c:v>2002</c:v>
                </c:pt>
                <c:pt idx="20">
                  <c:v>2004</c:v>
                </c:pt>
                <c:pt idx="21">
                  <c:v>2006</c:v>
                </c:pt>
                <c:pt idx="22">
                  <c:v>2008</c:v>
                </c:pt>
                <c:pt idx="23">
                  <c:v>2010</c:v>
                </c:pt>
                <c:pt idx="24">
                  <c:v>2012</c:v>
                </c:pt>
                <c:pt idx="25">
                  <c:v>2014</c:v>
                </c:pt>
              </c:numCache>
            </c:numRef>
          </c:cat>
          <c:val>
            <c:numRef>
              <c:f>'Lag1_Exp_smooth_Total Run Even'!$B$10:$B$35</c:f>
              <c:numCache>
                <c:formatCode>#,##0</c:formatCode>
                <c:ptCount val="26"/>
                <c:pt idx="0">
                  <c:v>6048576</c:v>
                </c:pt>
                <c:pt idx="1">
                  <c:v>4122588</c:v>
                </c:pt>
                <c:pt idx="2">
                  <c:v>3608678</c:v>
                </c:pt>
                <c:pt idx="3">
                  <c:v>3789216</c:v>
                </c:pt>
                <c:pt idx="4">
                  <c:v>695963</c:v>
                </c:pt>
                <c:pt idx="5">
                  <c:v>1012903</c:v>
                </c:pt>
                <c:pt idx="6">
                  <c:v>1161051</c:v>
                </c:pt>
                <c:pt idx="7">
                  <c:v>3925083</c:v>
                </c:pt>
                <c:pt idx="8">
                  <c:v>14013916</c:v>
                </c:pt>
                <c:pt idx="9">
                  <c:v>16794317</c:v>
                </c:pt>
                <c:pt idx="10">
                  <c:v>21201513</c:v>
                </c:pt>
                <c:pt idx="11">
                  <c:v>5563957</c:v>
                </c:pt>
                <c:pt idx="12">
                  <c:v>1766936</c:v>
                </c:pt>
                <c:pt idx="13">
                  <c:v>12923662</c:v>
                </c:pt>
                <c:pt idx="14">
                  <c:v>1405383</c:v>
                </c:pt>
                <c:pt idx="15">
                  <c:v>4666639</c:v>
                </c:pt>
                <c:pt idx="16">
                  <c:v>4500085</c:v>
                </c:pt>
                <c:pt idx="17">
                  <c:v>5274275.5</c:v>
                </c:pt>
                <c:pt idx="18">
                  <c:v>7389941</c:v>
                </c:pt>
                <c:pt idx="19">
                  <c:v>1264645.3102025923</c:v>
                </c:pt>
                <c:pt idx="20">
                  <c:v>4939431.0563474381</c:v>
                </c:pt>
                <c:pt idx="21">
                  <c:v>3314702.7753436686</c:v>
                </c:pt>
                <c:pt idx="22">
                  <c:v>2290691.6775990888</c:v>
                </c:pt>
                <c:pt idx="23">
                  <c:v>4399390.7272172375</c:v>
                </c:pt>
                <c:pt idx="24">
                  <c:v>4428267.5450134957</c:v>
                </c:pt>
                <c:pt idx="25">
                  <c:v>2702397</c:v>
                </c:pt>
              </c:numCache>
            </c:numRef>
          </c:val>
          <c:extLst>
            <c:ext xmlns:c16="http://schemas.microsoft.com/office/drawing/2014/chart" uri="{C3380CC4-5D6E-409C-BE32-E72D297353CC}">
              <c16:uniqueId val="{00000000-115B-9644-8D87-3E4358E8522F}"/>
            </c:ext>
          </c:extLst>
        </c:ser>
        <c:dLbls>
          <c:showLegendKey val="0"/>
          <c:showVal val="0"/>
          <c:showCatName val="0"/>
          <c:showSerName val="0"/>
          <c:showPercent val="0"/>
          <c:showBubbleSize val="0"/>
        </c:dLbls>
        <c:gapWidth val="150"/>
        <c:axId val="195925504"/>
        <c:axId val="195927424"/>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'Lag1_Exp_smooth_Total Run Even'!$C$10:$C$35</c:f>
              <c:numCache>
                <c:formatCode>#,##0</c:formatCode>
                <c:ptCount val="26"/>
                <c:pt idx="0">
                  <c:v>7234382.1398147829</c:v>
                </c:pt>
                <c:pt idx="1">
                  <c:v>6373570.3420919888</c:v>
                </c:pt>
                <c:pt idx="2">
                  <c:v>4739515.5910842689</c:v>
                </c:pt>
                <c:pt idx="3">
                  <c:v>3918607.0909260474</c:v>
                </c:pt>
                <c:pt idx="4">
                  <c:v>3824678.265758418</c:v>
                </c:pt>
                <c:pt idx="5">
                  <c:v>1553451.1890450825</c:v>
                </c:pt>
                <c:pt idx="6">
                  <c:v>1161051.2488319399</c:v>
                </c:pt>
                <c:pt idx="7">
                  <c:v>1161051.0681974648</c:v>
                </c:pt>
                <c:pt idx="8">
                  <c:v>3167543.7117165695</c:v>
                </c:pt>
                <c:pt idx="9">
                  <c:v>11041246.600205833</c:v>
                </c:pt>
                <c:pt idx="10">
                  <c:v>15217570.796036139</c:v>
                </c:pt>
                <c:pt idx="11">
                  <c:v>19561491.672401309</c:v>
                </c:pt>
                <c:pt idx="12">
                  <c:v>9400266.6791499257</c:v>
                </c:pt>
                <c:pt idx="13">
                  <c:v>3859005.857580944</c:v>
                </c:pt>
                <c:pt idx="14">
                  <c:v>10439308.225481909</c:v>
                </c:pt>
                <c:pt idx="15">
                  <c:v>3881314.3403641991</c:v>
                </c:pt>
                <c:pt idx="16">
                  <c:v>4451404.7702912409</c:v>
                </c:pt>
                <c:pt idx="17">
                  <c:v>4486743.190832478</c:v>
                </c:pt>
                <c:pt idx="18">
                  <c:v>5058436.2189400615</c:v>
                </c:pt>
                <c:pt idx="19">
                  <c:v>6750944.5932827489</c:v>
                </c:pt>
                <c:pt idx="20">
                  <c:v>2768277.452217713</c:v>
                </c:pt>
                <c:pt idx="21">
                  <c:v>4344382.1579963099</c:v>
                </c:pt>
                <c:pt idx="22">
                  <c:v>3596907.3974104333</c:v>
                </c:pt>
                <c:pt idx="23">
                  <c:v>2648686.7193152737</c:v>
                </c:pt>
                <c:pt idx="24">
                  <c:v>3919574.6104489635</c:v>
                </c:pt>
                <c:pt idx="25">
                  <c:v>4288849.8779558213</c:v>
                </c:pt>
              </c:numCache>
            </c:numRef>
          </c:val>
          <c:smooth val="0"/>
          <c:extLst>
            <c:ext xmlns:c16="http://schemas.microsoft.com/office/drawing/2014/chart" uri="{C3380CC4-5D6E-409C-BE32-E72D297353CC}">
              <c16:uniqueId val="{00000001-115B-9644-8D87-3E4358E8522F}"/>
            </c:ext>
          </c:extLst>
        </c:ser>
        <c:dLbls>
          <c:showLegendKey val="0"/>
          <c:showVal val="0"/>
          <c:showCatName val="0"/>
          <c:showSerName val="0"/>
          <c:showPercent val="0"/>
          <c:showBubbleSize val="0"/>
        </c:dLbls>
        <c:marker val="1"/>
        <c:smooth val="0"/>
        <c:axId val="195933312"/>
        <c:axId val="195934848"/>
      </c:lineChart>
      <c:catAx>
        <c:axId val="19592550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5927424"/>
        <c:crosses val="autoZero"/>
        <c:auto val="0"/>
        <c:lblAlgn val="ctr"/>
        <c:lblOffset val="100"/>
        <c:tickLblSkip val="5"/>
        <c:tickMarkSkip val="1"/>
        <c:noMultiLvlLbl val="0"/>
      </c:catAx>
      <c:valAx>
        <c:axId val="195927424"/>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95925504"/>
        <c:crosses val="autoZero"/>
        <c:crossBetween val="between"/>
      </c:valAx>
      <c:catAx>
        <c:axId val="195933312"/>
        <c:scaling>
          <c:orientation val="minMax"/>
        </c:scaling>
        <c:delete val="1"/>
        <c:axPos val="b"/>
        <c:majorTickMark val="out"/>
        <c:minorTickMark val="none"/>
        <c:tickLblPos val="nextTo"/>
        <c:crossAx val="195934848"/>
        <c:crosses val="autoZero"/>
        <c:auto val="0"/>
        <c:lblAlgn val="ctr"/>
        <c:lblOffset val="100"/>
        <c:noMultiLvlLbl val="0"/>
      </c:catAx>
      <c:valAx>
        <c:axId val="195934848"/>
        <c:scaling>
          <c:orientation val="minMax"/>
        </c:scaling>
        <c:delete val="1"/>
        <c:axPos val="l"/>
        <c:numFmt formatCode="#,##0" sourceLinked="1"/>
        <c:majorTickMark val="out"/>
        <c:minorTickMark val="none"/>
        <c:tickLblPos val="nextTo"/>
        <c:crossAx val="195933312"/>
        <c:crosses val="autoZero"/>
        <c:crossBetween val="between"/>
      </c:valAx>
      <c:spPr>
        <a:solidFill>
          <a:srgbClr val="FFFFFF"/>
        </a:solidFill>
        <a:ln w="25400">
          <a:noFill/>
        </a:ln>
      </c:spPr>
    </c:plotArea>
    <c:legend>
      <c:legendPos val="r"/>
      <c:layout>
        <c:manualLayout>
          <c:xMode val="edge"/>
          <c:yMode val="edge"/>
          <c:x val="0.65973813618125321"/>
          <c:y val="4.7061670482679029E-2"/>
          <c:w val="0.25860608803209939"/>
          <c:h val="0.23237219461042544"/>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299"/>
          <c:y val="4.2701998788612971E-2"/>
          <c:w val="0.84709229022752563"/>
          <c:h val="0.9145960024227745"/>
        </c:manualLayout>
      </c:layout>
      <c:barChart>
        <c:barDir val="col"/>
        <c:grouping val="clustered"/>
        <c:varyColors val="0"/>
        <c:ser>
          <c:idx val="0"/>
          <c:order val="0"/>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F902-7042-8DB3-5ACEC747AAB0}"/>
                </c:ext>
              </c:extLst>
            </c:dLbl>
            <c:dLbl>
              <c:idx val="3"/>
              <c:delete val="1"/>
              <c:extLst>
                <c:ext xmlns:c15="http://schemas.microsoft.com/office/drawing/2012/chart" uri="{CE6537A1-D6FC-4f65-9D91-7224C49458BB}"/>
                <c:ext xmlns:c16="http://schemas.microsoft.com/office/drawing/2014/chart" uri="{C3380CC4-5D6E-409C-BE32-E72D297353CC}">
                  <c16:uniqueId val="{00000001-F902-7042-8DB3-5ACEC747AAB0}"/>
                </c:ext>
              </c:extLst>
            </c:dLbl>
            <c:dLbl>
              <c:idx val="17"/>
              <c:delete val="1"/>
              <c:extLst>
                <c:ext xmlns:c15="http://schemas.microsoft.com/office/drawing/2012/chart" uri="{CE6537A1-D6FC-4f65-9D91-7224C49458BB}"/>
                <c:ext xmlns:c16="http://schemas.microsoft.com/office/drawing/2014/chart" uri="{C3380CC4-5D6E-409C-BE32-E72D297353CC}">
                  <c16:uniqueId val="{00000002-F902-7042-8DB3-5ACEC747AAB0}"/>
                </c:ext>
              </c:extLst>
            </c:dLbl>
            <c:dLbl>
              <c:idx val="21"/>
              <c:delete val="1"/>
              <c:extLst>
                <c:ext xmlns:c15="http://schemas.microsoft.com/office/drawing/2012/chart" uri="{CE6537A1-D6FC-4f65-9D91-7224C49458BB}"/>
                <c:ext xmlns:c16="http://schemas.microsoft.com/office/drawing/2014/chart" uri="{C3380CC4-5D6E-409C-BE32-E72D297353CC}">
                  <c16:uniqueId val="{00000003-F902-7042-8DB3-5ACEC747AAB0}"/>
                </c:ext>
              </c:extLst>
            </c:dLbl>
            <c:dLbl>
              <c:idx val="34"/>
              <c:delete val="1"/>
              <c:extLst>
                <c:ext xmlns:c15="http://schemas.microsoft.com/office/drawing/2012/chart" uri="{CE6537A1-D6FC-4f65-9D91-7224C49458BB}"/>
                <c:ext xmlns:c16="http://schemas.microsoft.com/office/drawing/2014/chart" uri="{C3380CC4-5D6E-409C-BE32-E72D297353CC}">
                  <c16:uniqueId val="{00000004-F902-7042-8DB3-5ACEC747AAB0}"/>
                </c:ext>
              </c:extLst>
            </c:dLbl>
            <c:dLbl>
              <c:idx val="36"/>
              <c:delete val="1"/>
              <c:extLst>
                <c:ext xmlns:c15="http://schemas.microsoft.com/office/drawing/2012/chart" uri="{CE6537A1-D6FC-4f65-9D91-7224C49458BB}"/>
                <c:ext xmlns:c16="http://schemas.microsoft.com/office/drawing/2014/chart" uri="{C3380CC4-5D6E-409C-BE32-E72D297353CC}">
                  <c16:uniqueId val="{00000005-F902-7042-8DB3-5ACEC747AAB0}"/>
                </c:ext>
              </c:extLst>
            </c:dLbl>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'Lag1_Exp_smooth_Total Run Even'!$A$10:$A$35</c:f>
              <c:numCache>
                <c:formatCode>General</c:formatCode>
                <c:ptCount val="26"/>
                <c:pt idx="0">
                  <c:v>1964</c:v>
                </c:pt>
                <c:pt idx="1">
                  <c:v>1966</c:v>
                </c:pt>
                <c:pt idx="2">
                  <c:v>1968</c:v>
                </c:pt>
                <c:pt idx="3">
                  <c:v>1970</c:v>
                </c:pt>
                <c:pt idx="4">
                  <c:v>1972</c:v>
                </c:pt>
                <c:pt idx="5">
                  <c:v>1974</c:v>
                </c:pt>
                <c:pt idx="6">
                  <c:v>1976</c:v>
                </c:pt>
                <c:pt idx="7">
                  <c:v>1978</c:v>
                </c:pt>
                <c:pt idx="8">
                  <c:v>1980</c:v>
                </c:pt>
                <c:pt idx="9">
                  <c:v>1982</c:v>
                </c:pt>
                <c:pt idx="10">
                  <c:v>1984</c:v>
                </c:pt>
                <c:pt idx="11">
                  <c:v>1986</c:v>
                </c:pt>
                <c:pt idx="12">
                  <c:v>1988</c:v>
                </c:pt>
                <c:pt idx="13">
                  <c:v>1990</c:v>
                </c:pt>
                <c:pt idx="14">
                  <c:v>1992</c:v>
                </c:pt>
                <c:pt idx="15">
                  <c:v>1994</c:v>
                </c:pt>
                <c:pt idx="16">
                  <c:v>1996</c:v>
                </c:pt>
                <c:pt idx="17">
                  <c:v>1998</c:v>
                </c:pt>
                <c:pt idx="18">
                  <c:v>2000</c:v>
                </c:pt>
                <c:pt idx="19">
                  <c:v>2002</c:v>
                </c:pt>
                <c:pt idx="20">
                  <c:v>2004</c:v>
                </c:pt>
                <c:pt idx="21">
                  <c:v>2006</c:v>
                </c:pt>
                <c:pt idx="22">
                  <c:v>2008</c:v>
                </c:pt>
                <c:pt idx="23">
                  <c:v>2010</c:v>
                </c:pt>
                <c:pt idx="24">
                  <c:v>2012</c:v>
                </c:pt>
                <c:pt idx="25">
                  <c:v>2014</c:v>
                </c:pt>
              </c:numCache>
            </c:numRef>
          </c:cat>
          <c:val>
            <c:numRef>
              <c:f>'Lag1_Exp_smooth_Total Run Even'!$H$10:$H$35</c:f>
              <c:numCache>
                <c:formatCode>0%</c:formatCode>
                <c:ptCount val="26"/>
                <c:pt idx="0">
                  <c:v>0.19604715883784596</c:v>
                </c:pt>
                <c:pt idx="1">
                  <c:v>0.54601195707453398</c:v>
                </c:pt>
                <c:pt idx="2">
                  <c:v>0.31336616652532279</c:v>
                </c:pt>
                <c:pt idx="3">
                  <c:v>3.4147193225735194E-2</c:v>
                </c:pt>
                <c:pt idx="4">
                  <c:v>4.4955195402031691</c:v>
                </c:pt>
                <c:pt idx="5">
                  <c:v>0.53366234382273781</c:v>
                </c:pt>
                <c:pt idx="6">
                  <c:v>2.1431611521244988E-7</c:v>
                </c:pt>
                <c:pt idx="7">
                  <c:v>-0.70419706584613251</c:v>
                </c:pt>
                <c:pt idx="8">
                  <c:v>-0.77397155001381701</c:v>
                </c:pt>
                <c:pt idx="9">
                  <c:v>-0.34256054591527402</c:v>
                </c:pt>
                <c:pt idx="10">
                  <c:v>-0.28224128174078239</c:v>
                </c:pt>
                <c:pt idx="11">
                  <c:v>2.5157517702601422</c:v>
                </c:pt>
                <c:pt idx="12">
                  <c:v>4.3200946039641082</c:v>
                </c:pt>
                <c:pt idx="13">
                  <c:v>-0.70139997025758294</c:v>
                </c:pt>
                <c:pt idx="14">
                  <c:v>6.4280877351454437</c:v>
                </c:pt>
                <c:pt idx="15">
                  <c:v>-0.16828485332501633</c:v>
                </c:pt>
                <c:pt idx="16">
                  <c:v>-1.0817624491261635E-2</c:v>
                </c:pt>
                <c:pt idx="17">
                  <c:v>-0.14931573240107043</c:v>
                </c:pt>
                <c:pt idx="18">
                  <c:v>-0.31549707650709774</c:v>
                </c:pt>
                <c:pt idx="19">
                  <c:v>4.338211859735809</c:v>
                </c:pt>
                <c:pt idx="20">
                  <c:v>-0.43955540210236854</c:v>
                </c:pt>
                <c:pt idx="21">
                  <c:v>0.31064003394569339</c:v>
                </c:pt>
                <c:pt idx="22">
                  <c:v>0.57022764459528241</c:v>
                </c:pt>
                <c:pt idx="23">
                  <c:v>-0.39794237803682031</c:v>
                </c:pt>
                <c:pt idx="24">
                  <c:v>-0.11487402904039799</c:v>
                </c:pt>
                <c:pt idx="25">
                  <c:v>0.58705396651780672</c:v>
                </c:pt>
              </c:numCache>
            </c:numRef>
          </c:val>
          <c:extLst>
            <c:ext xmlns:c16="http://schemas.microsoft.com/office/drawing/2014/chart" uri="{C3380CC4-5D6E-409C-BE32-E72D297353CC}">
              <c16:uniqueId val="{00000006-F902-7042-8DB3-5ACEC747AAB0}"/>
            </c:ext>
          </c:extLst>
        </c:ser>
        <c:dLbls>
          <c:showLegendKey val="0"/>
          <c:showVal val="0"/>
          <c:showCatName val="0"/>
          <c:showSerName val="0"/>
          <c:showPercent val="0"/>
          <c:showBubbleSize val="0"/>
        </c:dLbls>
        <c:gapWidth val="150"/>
        <c:axId val="195763200"/>
        <c:axId val="195773184"/>
      </c:barChart>
      <c:catAx>
        <c:axId val="195763200"/>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195773184"/>
        <c:crosses val="autoZero"/>
        <c:auto val="1"/>
        <c:lblAlgn val="ctr"/>
        <c:lblOffset val="100"/>
        <c:tickLblSkip val="5"/>
        <c:noMultiLvlLbl val="0"/>
      </c:catAx>
      <c:valAx>
        <c:axId val="195773184"/>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19576320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Prince William Sound Wild Pink salmon</a:t>
            </a:r>
          </a:p>
        </c:rich>
      </c:tx>
      <c:layout>
        <c:manualLayout>
          <c:xMode val="edge"/>
          <c:yMode val="edge"/>
          <c:x val="0.32808507604078602"/>
          <c:y val="2.9663762846764776E-2"/>
        </c:manualLayout>
      </c:layout>
      <c:overlay val="0"/>
      <c:spPr>
        <a:noFill/>
        <a:ln w="25400">
          <a:noFill/>
        </a:ln>
      </c:spPr>
    </c:title>
    <c:autoTitleDeleted val="0"/>
    <c:plotArea>
      <c:layout>
        <c:manualLayout>
          <c:layoutTarget val="inner"/>
          <c:xMode val="edge"/>
          <c:yMode val="edge"/>
          <c:x val="0.14396199186441902"/>
          <c:y val="0.11865539337430138"/>
          <c:w val="0.82386385980103005"/>
          <c:h val="0.70006682090837813"/>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'Exp_smoothing_w_damping_Total R'!$A$12:$A$64</c:f>
              <c:numCache>
                <c:formatCode>General</c:formatCode>
                <c:ptCount val="53"/>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pt idx="49">
                  <c:v>2011</c:v>
                </c:pt>
                <c:pt idx="50">
                  <c:v>2012</c:v>
                </c:pt>
                <c:pt idx="51">
                  <c:v>2013</c:v>
                </c:pt>
                <c:pt idx="52">
                  <c:v>2014</c:v>
                </c:pt>
              </c:numCache>
            </c:numRef>
          </c:cat>
          <c:val>
            <c:numRef>
              <c:f>'Exp_smoothing_w_damping_Total R'!$I$12:$I$64</c:f>
              <c:numCache>
                <c:formatCode>#,##0</c:formatCode>
                <c:ptCount val="53"/>
                <c:pt idx="0">
                  <c:v>8760326</c:v>
                </c:pt>
                <c:pt idx="1">
                  <c:v>6651118</c:v>
                </c:pt>
                <c:pt idx="2">
                  <c:v>6048576</c:v>
                </c:pt>
                <c:pt idx="3">
                  <c:v>3436427</c:v>
                </c:pt>
                <c:pt idx="4">
                  <c:v>4122588</c:v>
                </c:pt>
                <c:pt idx="5">
                  <c:v>3468600</c:v>
                </c:pt>
                <c:pt idx="6">
                  <c:v>3608678</c:v>
                </c:pt>
                <c:pt idx="7">
                  <c:v>5233149</c:v>
                </c:pt>
                <c:pt idx="8">
                  <c:v>3789216</c:v>
                </c:pt>
                <c:pt idx="9">
                  <c:v>8423514</c:v>
                </c:pt>
                <c:pt idx="10">
                  <c:v>695963</c:v>
                </c:pt>
                <c:pt idx="11">
                  <c:v>8535974</c:v>
                </c:pt>
                <c:pt idx="12">
                  <c:v>1012903</c:v>
                </c:pt>
                <c:pt idx="13">
                  <c:v>3322438</c:v>
                </c:pt>
                <c:pt idx="14">
                  <c:v>1161051</c:v>
                </c:pt>
                <c:pt idx="15">
                  <c:v>5816401</c:v>
                </c:pt>
                <c:pt idx="16">
                  <c:v>3925083</c:v>
                </c:pt>
                <c:pt idx="17">
                  <c:v>17335503</c:v>
                </c:pt>
                <c:pt idx="18">
                  <c:v>14013916</c:v>
                </c:pt>
                <c:pt idx="19">
                  <c:v>19568866</c:v>
                </c:pt>
                <c:pt idx="20">
                  <c:v>16794317</c:v>
                </c:pt>
                <c:pt idx="21">
                  <c:v>11567348</c:v>
                </c:pt>
                <c:pt idx="22">
                  <c:v>21201513</c:v>
                </c:pt>
                <c:pt idx="23">
                  <c:v>19938105</c:v>
                </c:pt>
                <c:pt idx="24">
                  <c:v>5563957</c:v>
                </c:pt>
                <c:pt idx="25">
                  <c:v>13066944</c:v>
                </c:pt>
                <c:pt idx="26">
                  <c:v>1766936</c:v>
                </c:pt>
                <c:pt idx="27">
                  <c:v>4743750</c:v>
                </c:pt>
                <c:pt idx="28">
                  <c:v>12923662</c:v>
                </c:pt>
                <c:pt idx="29">
                  <c:v>7544776</c:v>
                </c:pt>
                <c:pt idx="30">
                  <c:v>1405383</c:v>
                </c:pt>
                <c:pt idx="31">
                  <c:v>1542942</c:v>
                </c:pt>
                <c:pt idx="32">
                  <c:v>4666639</c:v>
                </c:pt>
                <c:pt idx="33">
                  <c:v>3934208</c:v>
                </c:pt>
                <c:pt idx="34">
                  <c:v>4500085</c:v>
                </c:pt>
                <c:pt idx="35">
                  <c:v>2588682</c:v>
                </c:pt>
                <c:pt idx="36">
                  <c:v>5274275.5</c:v>
                </c:pt>
                <c:pt idx="37">
                  <c:v>9405198</c:v>
                </c:pt>
                <c:pt idx="38">
                  <c:v>7389941</c:v>
                </c:pt>
                <c:pt idx="39">
                  <c:v>8854676.9808041956</c:v>
                </c:pt>
                <c:pt idx="40">
                  <c:v>1264645.3102025923</c:v>
                </c:pt>
                <c:pt idx="41">
                  <c:v>7344511.9398193061</c:v>
                </c:pt>
                <c:pt idx="42">
                  <c:v>4939431.0563474381</c:v>
                </c:pt>
                <c:pt idx="43">
                  <c:v>17032487.685321052</c:v>
                </c:pt>
                <c:pt idx="44">
                  <c:v>3314702.7753436686</c:v>
                </c:pt>
                <c:pt idx="45">
                  <c:v>11526987.795003444</c:v>
                </c:pt>
                <c:pt idx="46">
                  <c:v>2290691.6775990888</c:v>
                </c:pt>
                <c:pt idx="47">
                  <c:v>2824330.6070667375</c:v>
                </c:pt>
                <c:pt idx="48">
                  <c:v>4399390.7272172375</c:v>
                </c:pt>
                <c:pt idx="49">
                  <c:v>9643099</c:v>
                </c:pt>
                <c:pt idx="50">
                  <c:v>4428267.5450134957</c:v>
                </c:pt>
                <c:pt idx="51">
                  <c:v>21965453</c:v>
                </c:pt>
                <c:pt idx="52">
                  <c:v>2702397</c:v>
                </c:pt>
              </c:numCache>
            </c:numRef>
          </c:val>
          <c:extLst>
            <c:ext xmlns:c16="http://schemas.microsoft.com/office/drawing/2014/chart" uri="{C3380CC4-5D6E-409C-BE32-E72D297353CC}">
              <c16:uniqueId val="{00000000-2DBD-C94D-990D-22EB1BCDDBD0}"/>
            </c:ext>
          </c:extLst>
        </c:ser>
        <c:dLbls>
          <c:showLegendKey val="0"/>
          <c:showVal val="0"/>
          <c:showCatName val="0"/>
          <c:showSerName val="0"/>
          <c:showPercent val="0"/>
          <c:showBubbleSize val="0"/>
        </c:dLbls>
        <c:gapWidth val="50"/>
        <c:axId val="196075520"/>
        <c:axId val="196077824"/>
      </c:barChart>
      <c:lineChart>
        <c:grouping val="standard"/>
        <c:varyColors val="0"/>
        <c:ser>
          <c:idx val="0"/>
          <c:order val="1"/>
          <c:spPr>
            <a:ln w="12700">
              <a:solidFill>
                <a:srgbClr val="000080"/>
              </a:solidFill>
              <a:prstDash val="solid"/>
            </a:ln>
          </c:spPr>
          <c:marker>
            <c:symbol val="circle"/>
            <c:size val="6"/>
            <c:spPr>
              <a:solidFill>
                <a:srgbClr val="000080"/>
              </a:solidFill>
              <a:ln>
                <a:solidFill>
                  <a:srgbClr val="000080"/>
                </a:solidFill>
                <a:prstDash val="solid"/>
              </a:ln>
            </c:spPr>
          </c:marker>
          <c:cat>
            <c:numRef>
              <c:f>'Exp_smoothing_w_damping_Total R'!$A$12:$A$64</c:f>
              <c:numCache>
                <c:formatCode>General</c:formatCode>
                <c:ptCount val="53"/>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pt idx="49">
                  <c:v>2011</c:v>
                </c:pt>
                <c:pt idx="50">
                  <c:v>2012</c:v>
                </c:pt>
                <c:pt idx="51">
                  <c:v>2013</c:v>
                </c:pt>
                <c:pt idx="52">
                  <c:v>2014</c:v>
                </c:pt>
              </c:numCache>
            </c:numRef>
          </c:cat>
          <c:val>
            <c:numRef>
              <c:f>'Exp_smoothing_w_damping_Total R'!$J$12:$J$64</c:f>
              <c:numCache>
                <c:formatCode>#,##0</c:formatCode>
                <c:ptCount val="53"/>
                <c:pt idx="0">
                  <c:v>#N/A</c:v>
                </c:pt>
                <c:pt idx="1">
                  <c:v>#N/A</c:v>
                </c:pt>
                <c:pt idx="2">
                  <c:v>#N/A</c:v>
                </c:pt>
                <c:pt idx="3">
                  <c:v>#N/A</c:v>
                </c:pt>
                <c:pt idx="4">
                  <c:v>#N/A</c:v>
                </c:pt>
                <c:pt idx="5">
                  <c:v>5139034.4901709026</c:v>
                </c:pt>
                <c:pt idx="6">
                  <c:v>4566198.6763084996</c:v>
                </c:pt>
                <c:pt idx="7">
                  <c:v>4237839.7139362963</c:v>
                </c:pt>
                <c:pt idx="8">
                  <c:v>4579157.3820531564</c:v>
                </c:pt>
                <c:pt idx="9">
                  <c:v>4308265.7564583598</c:v>
                </c:pt>
                <c:pt idx="10">
                  <c:v>5719492.3509199116</c:v>
                </c:pt>
                <c:pt idx="11">
                  <c:v>3996792.3341706987</c:v>
                </c:pt>
                <c:pt idx="12">
                  <c:v>5553396.8218741342</c:v>
                </c:pt>
                <c:pt idx="13">
                  <c:v>3996342.361435893</c:v>
                </c:pt>
                <c:pt idx="14">
                  <c:v>3765242.8746735854</c:v>
                </c:pt>
                <c:pt idx="15">
                  <c:v>2872197.1546765822</c:v>
                </c:pt>
                <c:pt idx="16">
                  <c:v>3881841.9003020786</c:v>
                </c:pt>
                <c:pt idx="17">
                  <c:v>3896670.4079050496</c:v>
                </c:pt>
                <c:pt idx="18">
                  <c:v>8505198.6983294711</c:v>
                </c:pt>
                <c:pt idx="19">
                  <c:v>10394282.393265326</c:v>
                </c:pt>
                <c:pt idx="20">
                  <c:v>13540487.82552674</c:v>
                </c:pt>
                <c:pt idx="21">
                  <c:v>14656311.220156197</c:v>
                </c:pt>
                <c:pt idx="22">
                  <c:v>13597024.686849421</c:v>
                </c:pt>
                <c:pt idx="23">
                  <c:v>16204803.248357132</c:v>
                </c:pt>
                <c:pt idx="24">
                  <c:v>17485050.369618066</c:v>
                </c:pt>
                <c:pt idx="25">
                  <c:v>13396994.679498661</c:v>
                </c:pt>
                <c:pt idx="26">
                  <c:v>13283811.64196026</c:v>
                </c:pt>
                <c:pt idx="27">
                  <c:v>9334372.8161135651</c:v>
                </c:pt>
                <c:pt idx="28">
                  <c:v>7760127.8083164087</c:v>
                </c:pt>
                <c:pt idx="29">
                  <c:v>9530839.1582699157</c:v>
                </c:pt>
                <c:pt idx="30">
                  <c:v>8849765.9929683041</c:v>
                </c:pt>
                <c:pt idx="31">
                  <c:v>6296891.7464337163</c:v>
                </c:pt>
                <c:pt idx="32">
                  <c:v>4666637.6490217857</c:v>
                </c:pt>
                <c:pt idx="33">
                  <c:v>4666638.1123076612</c:v>
                </c:pt>
                <c:pt idx="34">
                  <c:v>4415468.6100315414</c:v>
                </c:pt>
                <c:pt idx="35">
                  <c:v>4444485.7902315985</c:v>
                </c:pt>
                <c:pt idx="36">
                  <c:v>3808081.9798448244</c:v>
                </c:pt>
                <c:pt idx="37">
                  <c:v>4310878.2064193506</c:v>
                </c:pt>
                <c:pt idx="38">
                  <c:v>6057854.1232854817</c:v>
                </c:pt>
                <c:pt idx="39">
                  <c:v>6514661.663268758</c:v>
                </c:pt>
                <c:pt idx="40">
                  <c:v>7317114.3106238544</c:v>
                </c:pt>
                <c:pt idx="41">
                  <c:v>5241563.8917753054</c:v>
                </c:pt>
                <c:pt idx="42">
                  <c:v>5962719.952488821</c:v>
                </c:pt>
                <c:pt idx="43">
                  <c:v>5611807.3419754105</c:v>
                </c:pt>
                <c:pt idx="44">
                  <c:v>9528258.2760515008</c:v>
                </c:pt>
                <c:pt idx="45">
                  <c:v>7397467.0698288465</c:v>
                </c:pt>
                <c:pt idx="46">
                  <c:v>8813588.0727093816</c:v>
                </c:pt>
                <c:pt idx="47">
                  <c:v>6576715.7576203579</c:v>
                </c:pt>
                <c:pt idx="48">
                  <c:v>5289924.4381818669</c:v>
                </c:pt>
                <c:pt idx="49">
                  <c:v>4984537.0637628082</c:v>
                </c:pt>
                <c:pt idx="50">
                  <c:v>6582080.1783687696</c:v>
                </c:pt>
                <c:pt idx="51">
                  <c:v>5843481.3168181041</c:v>
                </c:pt>
                <c:pt idx="52">
                  <c:v>11372128.39908546</c:v>
                </c:pt>
              </c:numCache>
            </c:numRef>
          </c:val>
          <c:smooth val="0"/>
          <c:extLst>
            <c:ext xmlns:c16="http://schemas.microsoft.com/office/drawing/2014/chart" uri="{C3380CC4-5D6E-409C-BE32-E72D297353CC}">
              <c16:uniqueId val="{00000001-2DBD-C94D-990D-22EB1BCDDBD0}"/>
            </c:ext>
          </c:extLst>
        </c:ser>
        <c:dLbls>
          <c:showLegendKey val="0"/>
          <c:showVal val="0"/>
          <c:showCatName val="0"/>
          <c:showSerName val="0"/>
          <c:showPercent val="0"/>
          <c:showBubbleSize val="0"/>
        </c:dLbls>
        <c:marker val="1"/>
        <c:smooth val="0"/>
        <c:axId val="196080000"/>
        <c:axId val="196081536"/>
      </c:lineChart>
      <c:catAx>
        <c:axId val="196075520"/>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032928257835817"/>
              <c:y val="0.9057363549400682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96077824"/>
        <c:crosses val="autoZero"/>
        <c:auto val="0"/>
        <c:lblAlgn val="ctr"/>
        <c:lblOffset val="100"/>
        <c:tickLblSkip val="5"/>
        <c:tickMarkSkip val="1"/>
        <c:noMultiLvlLbl val="0"/>
      </c:catAx>
      <c:valAx>
        <c:axId val="196077824"/>
        <c:scaling>
          <c:orientation val="minMax"/>
        </c:scaling>
        <c:delete val="0"/>
        <c:axPos val="l"/>
        <c:title>
          <c:tx>
            <c:rich>
              <a:bodyPr/>
              <a:lstStyle/>
              <a:p>
                <a:pPr>
                  <a:defRPr sz="1600" b="1" i="0" u="none" strike="noStrike" baseline="0">
                    <a:solidFill>
                      <a:srgbClr val="000000"/>
                    </a:solidFill>
                    <a:latin typeface="Arial"/>
                    <a:ea typeface="Arial"/>
                    <a:cs typeface="Arial"/>
                  </a:defRPr>
                </a:pPr>
                <a:r>
                  <a:rPr lang="en-US"/>
                  <a:t>Pink salmon (millions)</a:t>
                </a:r>
              </a:p>
            </c:rich>
          </c:tx>
          <c:layout>
            <c:manualLayout>
              <c:xMode val="edge"/>
              <c:yMode val="edge"/>
              <c:x val="1.4600713720616746E-2"/>
              <c:y val="0.2986159025841614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96075520"/>
        <c:crosses val="autoZero"/>
        <c:crossBetween val="between"/>
      </c:valAx>
      <c:catAx>
        <c:axId val="196080000"/>
        <c:scaling>
          <c:orientation val="minMax"/>
        </c:scaling>
        <c:delete val="1"/>
        <c:axPos val="b"/>
        <c:numFmt formatCode="General" sourceLinked="1"/>
        <c:majorTickMark val="out"/>
        <c:minorTickMark val="none"/>
        <c:tickLblPos val="nextTo"/>
        <c:crossAx val="196081536"/>
        <c:crosses val="autoZero"/>
        <c:auto val="0"/>
        <c:lblAlgn val="ctr"/>
        <c:lblOffset val="100"/>
        <c:noMultiLvlLbl val="0"/>
      </c:catAx>
      <c:valAx>
        <c:axId val="196081536"/>
        <c:scaling>
          <c:orientation val="minMax"/>
        </c:scaling>
        <c:delete val="1"/>
        <c:axPos val="l"/>
        <c:numFmt formatCode="#,##0" sourceLinked="1"/>
        <c:majorTickMark val="out"/>
        <c:minorTickMark val="none"/>
        <c:tickLblPos val="nextTo"/>
        <c:crossAx val="196080000"/>
        <c:crosses val="autoZero"/>
        <c:crossBetween val="between"/>
      </c:valAx>
      <c:spPr>
        <a:solidFill>
          <a:srgbClr val="FFFFFF"/>
        </a:solidFill>
        <a:ln w="25400">
          <a:noFill/>
        </a:ln>
      </c:spPr>
    </c:plotArea>
    <c:legend>
      <c:legendPos val="r"/>
      <c:layout>
        <c:manualLayout>
          <c:xMode val="edge"/>
          <c:yMode val="edge"/>
          <c:x val="0.17046969064183926"/>
          <c:y val="0.19399654809685754"/>
          <c:w val="0.21230818333995444"/>
          <c:h val="0.13881729764324205"/>
        </c:manualLayout>
      </c:layout>
      <c:overlay val="1"/>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4015748031496"/>
          <c:y val="0.11360494710888414"/>
          <c:w val="0.83990051501294294"/>
          <c:h val="0.70006682090837813"/>
        </c:manualLayout>
      </c:layout>
      <c:barChart>
        <c:barDir val="col"/>
        <c:grouping val="clustered"/>
        <c:varyColors val="0"/>
        <c:ser>
          <c:idx val="1"/>
          <c:order val="0"/>
          <c:spPr>
            <a:solidFill>
              <a:srgbClr val="0070C0"/>
            </a:solidFill>
            <a:ln w="12700">
              <a:solidFill>
                <a:srgbClr val="0070C0"/>
              </a:solidFill>
              <a:prstDash val="solid"/>
            </a:ln>
          </c:spPr>
          <c:invertIfNegative val="0"/>
          <c:dLbls>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'Exp_smoothing_w_damping_Total R'!$A$12:$A$63</c:f>
              <c:numCache>
                <c:formatCode>General</c:formatCode>
                <c:ptCount val="52"/>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pt idx="49">
                  <c:v>2011</c:v>
                </c:pt>
                <c:pt idx="50">
                  <c:v>2012</c:v>
                </c:pt>
                <c:pt idx="51">
                  <c:v>2013</c:v>
                </c:pt>
              </c:numCache>
            </c:numRef>
          </c:cat>
          <c:val>
            <c:numRef>
              <c:f>'Exp_smoothing_w_damping_Total R'!$F$13:$F$63</c:f>
              <c:numCache>
                <c:formatCode>0%</c:formatCode>
                <c:ptCount val="51"/>
                <c:pt idx="0">
                  <c:v>0.31712082089056304</c:v>
                </c:pt>
                <c:pt idx="1">
                  <c:v>0.13448831592758373</c:v>
                </c:pt>
                <c:pt idx="2">
                  <c:v>0.9889742572736161</c:v>
                </c:pt>
                <c:pt idx="3">
                  <c:v>0.37523251104421973</c:v>
                </c:pt>
                <c:pt idx="4">
                  <c:v>0.48158752527558746</c:v>
                </c:pt>
                <c:pt idx="5">
                  <c:v>0.26533835280080398</c:v>
                </c:pt>
                <c:pt idx="6">
                  <c:v>-0.19019318694417142</c:v>
                </c:pt>
                <c:pt idx="7">
                  <c:v>0.20847092962057492</c:v>
                </c:pt>
                <c:pt idx="8">
                  <c:v>-0.48854293392776937</c:v>
                </c:pt>
                <c:pt idx="9">
                  <c:v>7.2180983053982919</c:v>
                </c:pt>
                <c:pt idx="10">
                  <c:v>-0.5317707933305913</c:v>
                </c:pt>
                <c:pt idx="11">
                  <c:v>4.4826541355629654</c:v>
                </c:pt>
                <c:pt idx="12">
                  <c:v>0.20283429259955882</c:v>
                </c:pt>
                <c:pt idx="13">
                  <c:v>2.2429607955839885</c:v>
                </c:pt>
                <c:pt idx="14">
                  <c:v>-0.50618996959174889</c:v>
                </c:pt>
                <c:pt idx="15">
                  <c:v>-1.101660772470835E-2</c:v>
                </c:pt>
                <c:pt idx="16">
                  <c:v>-0.77522022822729464</c:v>
                </c:pt>
                <c:pt idx="17">
                  <c:v>-0.39308907671992105</c:v>
                </c:pt>
                <c:pt idx="18">
                  <c:v>-0.46883573155106045</c:v>
                </c:pt>
                <c:pt idx="19">
                  <c:v>-0.19374584715015558</c:v>
                </c:pt>
                <c:pt idx="20">
                  <c:v>0.26704160885936834</c:v>
                </c:pt>
                <c:pt idx="21">
                  <c:v>-0.35867668091190374</c:v>
                </c:pt>
                <c:pt idx="22">
                  <c:v>-0.18724456269253612</c:v>
                </c:pt>
                <c:pt idx="23">
                  <c:v>2.1425567037304685</c:v>
                </c:pt>
                <c:pt idx="24">
                  <c:v>2.5258444476280093E-2</c:v>
                </c:pt>
                <c:pt idx="25">
                  <c:v>6.5179925260225948</c:v>
                </c:pt>
                <c:pt idx="26">
                  <c:v>0.96772022474067254</c:v>
                </c:pt>
                <c:pt idx="27">
                  <c:v>-0.39954110465621828</c:v>
                </c:pt>
                <c:pt idx="28">
                  <c:v>0.26323686193863355</c:v>
                </c:pt>
                <c:pt idx="29">
                  <c:v>5.2970492691090643</c:v>
                </c:pt>
                <c:pt idx="30">
                  <c:v>3.0810942643558321</c:v>
                </c:pt>
                <c:pt idx="31">
                  <c:v>-2.8949704793829527E-7</c:v>
                </c:pt>
                <c:pt idx="32">
                  <c:v>0.18616964642125206</c:v>
                </c:pt>
                <c:pt idx="33">
                  <c:v>-1.8803287042013332E-2</c:v>
                </c:pt>
                <c:pt idx="34">
                  <c:v>0.71689137183771456</c:v>
                </c:pt>
                <c:pt idx="35">
                  <c:v>-0.27798955897453131</c:v>
                </c:pt>
                <c:pt idx="36">
                  <c:v>-0.54164939362049047</c:v>
                </c:pt>
                <c:pt idx="37">
                  <c:v>-0.18025676750525049</c:v>
                </c:pt>
                <c:pt idx="38">
                  <c:v>-0.26426885165978281</c:v>
                </c:pt>
                <c:pt idx="39">
                  <c:v>4.7859023803691452</c:v>
                </c:pt>
                <c:pt idx="40">
                  <c:v>-0.28632917548170517</c:v>
                </c:pt>
                <c:pt idx="41">
                  <c:v>0.20716736086971005</c:v>
                </c:pt>
                <c:pt idx="42">
                  <c:v>-0.67052332896669109</c:v>
                </c:pt>
                <c:pt idx="43">
                  <c:v>1.8745437892432484</c:v>
                </c:pt>
                <c:pt idx="44">
                  <c:v>-0.35824803483912804</c:v>
                </c:pt>
                <c:pt idx="45">
                  <c:v>2.8475662870295344</c:v>
                </c:pt>
                <c:pt idx="46">
                  <c:v>1.3285927437690206</c:v>
                </c:pt>
                <c:pt idx="47">
                  <c:v>0.2024220548211961</c:v>
                </c:pt>
                <c:pt idx="48">
                  <c:v>-0.48309800990710472</c:v>
                </c:pt>
                <c:pt idx="49">
                  <c:v>0.4863781628959164</c:v>
                </c:pt>
                <c:pt idx="50">
                  <c:v>-0.73396946027846077</c:v>
                </c:pt>
              </c:numCache>
            </c:numRef>
          </c:val>
          <c:extLst>
            <c:ext xmlns:c16="http://schemas.microsoft.com/office/drawing/2014/chart" uri="{C3380CC4-5D6E-409C-BE32-E72D297353CC}">
              <c16:uniqueId val="{00000000-8479-BD47-A297-0C68B7D0574A}"/>
            </c:ext>
          </c:extLst>
        </c:ser>
        <c:dLbls>
          <c:showLegendKey val="0"/>
          <c:showVal val="0"/>
          <c:showCatName val="0"/>
          <c:showSerName val="0"/>
          <c:showPercent val="0"/>
          <c:showBubbleSize val="0"/>
        </c:dLbls>
        <c:gapWidth val="50"/>
        <c:axId val="191383808"/>
        <c:axId val="191398272"/>
      </c:barChart>
      <c:catAx>
        <c:axId val="191383808"/>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0329283581820317"/>
              <c:y val="0.90573621360157208"/>
            </c:manualLayout>
          </c:layout>
          <c:overlay val="0"/>
          <c:spPr>
            <a:noFill/>
            <a:ln w="25400">
              <a:noFill/>
            </a:ln>
          </c:spPr>
        </c:title>
        <c:numFmt formatCode="General" sourceLinked="1"/>
        <c:majorTickMark val="cross"/>
        <c:minorTickMark val="none"/>
        <c:tickLblPos val="low"/>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91398272"/>
        <c:crosses val="autoZero"/>
        <c:auto val="0"/>
        <c:lblAlgn val="ctr"/>
        <c:lblOffset val="100"/>
        <c:tickLblSkip val="5"/>
        <c:tickMarkSkip val="1"/>
        <c:noMultiLvlLbl val="0"/>
      </c:catAx>
      <c:valAx>
        <c:axId val="191398272"/>
        <c:scaling>
          <c:orientation val="minMax"/>
        </c:scaling>
        <c:delete val="0"/>
        <c:axPos val="l"/>
        <c:title>
          <c:tx>
            <c:rich>
              <a:bodyPr/>
              <a:lstStyle/>
              <a:p>
                <a:pPr>
                  <a:defRPr sz="1200" b="0" i="0" u="none" strike="noStrike" baseline="0">
                    <a:solidFill>
                      <a:srgbClr val="000000"/>
                    </a:solidFill>
                    <a:latin typeface="Times New Roman"/>
                    <a:ea typeface="Times New Roman"/>
                    <a:cs typeface="Times New Roman"/>
                  </a:defRPr>
                </a:pPr>
                <a:r>
                  <a:rPr lang="en-US" sz="1400" b="1" i="0" u="none" strike="noStrike" baseline="0">
                    <a:solidFill>
                      <a:srgbClr val="000000"/>
                    </a:solidFill>
                    <a:latin typeface="Arial"/>
                    <a:cs typeface="Arial"/>
                  </a:rPr>
                  <a:t>Forecast</a:t>
                </a:r>
                <a:r>
                  <a:rPr lang="en-US" sz="1200" b="1" i="0" u="none" strike="noStrike" baseline="0">
                    <a:solidFill>
                      <a:srgbClr val="000000"/>
                    </a:solidFill>
                    <a:latin typeface="Arial"/>
                    <a:cs typeface="Arial"/>
                  </a:rPr>
                  <a:t> Error</a:t>
                </a:r>
                <a:endParaRPr lang="en-US"/>
              </a:p>
            </c:rich>
          </c:tx>
          <c:overlay val="0"/>
        </c:title>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9138380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22" r="0.75000000000000022"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Prince William Sound Wild Pink salmon</a:t>
            </a: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Odd Years</a:t>
            </a:r>
            <a:endParaRPr lang="en-US"/>
          </a:p>
        </c:rich>
      </c:tx>
      <c:layout>
        <c:manualLayout>
          <c:xMode val="edge"/>
          <c:yMode val="edge"/>
          <c:x val="0.34354465510542298"/>
          <c:y val="2.9585615230931953E-2"/>
        </c:manualLayout>
      </c:layout>
      <c:overlay val="0"/>
      <c:spPr>
        <a:noFill/>
        <a:ln w="25400">
          <a:noFill/>
        </a:ln>
      </c:spPr>
    </c:title>
    <c:autoTitleDeleted val="0"/>
    <c:plotArea>
      <c:layout>
        <c:manualLayout>
          <c:layoutTarget val="inner"/>
          <c:xMode val="edge"/>
          <c:yMode val="edge"/>
          <c:x val="0.20552461209628717"/>
          <c:y val="4.7300870285951112E-2"/>
          <c:w val="0.77055492824398075"/>
          <c:h val="0.7936226174493165"/>
        </c:manualLayout>
      </c:layout>
      <c:barChart>
        <c:barDir val="col"/>
        <c:grouping val="clustered"/>
        <c:varyColors val="0"/>
        <c:ser>
          <c:idx val="1"/>
          <c:order val="0"/>
          <c:tx>
            <c:v>Total Run</c:v>
          </c:tx>
          <c:spPr>
            <a:solidFill>
              <a:srgbClr val="FFFFFF"/>
            </a:solidFill>
            <a:ln w="12700">
              <a:solidFill>
                <a:srgbClr val="000000"/>
              </a:solidFill>
              <a:prstDash val="solid"/>
            </a:ln>
          </c:spPr>
          <c:invertIfNegative val="0"/>
          <c:cat>
            <c:numRef>
              <c:f>'Exp_smoothing damp_Tot odd'!$A$11:$A$36</c:f>
              <c:numCache>
                <c:formatCode>General</c:formatCode>
                <c:ptCount val="26"/>
                <c:pt idx="0">
                  <c:v>1961</c:v>
                </c:pt>
                <c:pt idx="1">
                  <c:v>1963</c:v>
                </c:pt>
                <c:pt idx="2">
                  <c:v>1965</c:v>
                </c:pt>
                <c:pt idx="3">
                  <c:v>1967</c:v>
                </c:pt>
                <c:pt idx="4">
                  <c:v>1969</c:v>
                </c:pt>
                <c:pt idx="5">
                  <c:v>1971</c:v>
                </c:pt>
                <c:pt idx="6">
                  <c:v>1973</c:v>
                </c:pt>
                <c:pt idx="7">
                  <c:v>1975</c:v>
                </c:pt>
                <c:pt idx="8">
                  <c:v>1977</c:v>
                </c:pt>
                <c:pt idx="9">
                  <c:v>1979</c:v>
                </c:pt>
                <c:pt idx="10">
                  <c:v>1981</c:v>
                </c:pt>
                <c:pt idx="11">
                  <c:v>1983</c:v>
                </c:pt>
                <c:pt idx="12">
                  <c:v>1985</c:v>
                </c:pt>
                <c:pt idx="13">
                  <c:v>1987</c:v>
                </c:pt>
                <c:pt idx="14">
                  <c:v>1989</c:v>
                </c:pt>
                <c:pt idx="15">
                  <c:v>1991</c:v>
                </c:pt>
                <c:pt idx="16">
                  <c:v>1993</c:v>
                </c:pt>
                <c:pt idx="17">
                  <c:v>1995</c:v>
                </c:pt>
                <c:pt idx="18">
                  <c:v>1997</c:v>
                </c:pt>
                <c:pt idx="19">
                  <c:v>1999</c:v>
                </c:pt>
                <c:pt idx="20">
                  <c:v>2001</c:v>
                </c:pt>
                <c:pt idx="21">
                  <c:v>2003</c:v>
                </c:pt>
                <c:pt idx="22">
                  <c:v>2005</c:v>
                </c:pt>
                <c:pt idx="23">
                  <c:v>2007</c:v>
                </c:pt>
                <c:pt idx="24">
                  <c:v>2009</c:v>
                </c:pt>
                <c:pt idx="25">
                  <c:v>2011</c:v>
                </c:pt>
              </c:numCache>
            </c:numRef>
          </c:cat>
          <c:val>
            <c:numRef>
              <c:f>'Exp_smoothing damp_Tot odd'!$I$11:$I$36</c:f>
              <c:numCache>
                <c:formatCode>#,##0</c:formatCode>
                <c:ptCount val="26"/>
                <c:pt idx="0">
                  <c:v>4497198</c:v>
                </c:pt>
                <c:pt idx="1">
                  <c:v>6651118</c:v>
                </c:pt>
                <c:pt idx="2">
                  <c:v>3436427</c:v>
                </c:pt>
                <c:pt idx="3">
                  <c:v>3468600</c:v>
                </c:pt>
                <c:pt idx="4">
                  <c:v>5233149</c:v>
                </c:pt>
                <c:pt idx="5">
                  <c:v>8423514</c:v>
                </c:pt>
                <c:pt idx="6">
                  <c:v>8535974</c:v>
                </c:pt>
                <c:pt idx="7">
                  <c:v>3322438</c:v>
                </c:pt>
                <c:pt idx="8">
                  <c:v>5816401</c:v>
                </c:pt>
                <c:pt idx="9">
                  <c:v>17335503</c:v>
                </c:pt>
                <c:pt idx="10">
                  <c:v>19568866</c:v>
                </c:pt>
                <c:pt idx="11">
                  <c:v>11567348</c:v>
                </c:pt>
                <c:pt idx="12">
                  <c:v>19938105</c:v>
                </c:pt>
                <c:pt idx="13">
                  <c:v>13066944</c:v>
                </c:pt>
                <c:pt idx="14">
                  <c:v>4743750</c:v>
                </c:pt>
                <c:pt idx="15">
                  <c:v>7544776</c:v>
                </c:pt>
                <c:pt idx="16">
                  <c:v>1542942</c:v>
                </c:pt>
                <c:pt idx="17">
                  <c:v>3934208</c:v>
                </c:pt>
                <c:pt idx="18">
                  <c:v>2588682</c:v>
                </c:pt>
                <c:pt idx="19">
                  <c:v>9405198</c:v>
                </c:pt>
                <c:pt idx="20">
                  <c:v>8854676.9808041956</c:v>
                </c:pt>
                <c:pt idx="21">
                  <c:v>7344511.9398193061</c:v>
                </c:pt>
                <c:pt idx="22">
                  <c:v>17032487.685321052</c:v>
                </c:pt>
                <c:pt idx="23">
                  <c:v>11526987.795003444</c:v>
                </c:pt>
                <c:pt idx="24">
                  <c:v>2824330.6070667375</c:v>
                </c:pt>
                <c:pt idx="25">
                  <c:v>9643099</c:v>
                </c:pt>
              </c:numCache>
            </c:numRef>
          </c:val>
          <c:extLst>
            <c:ext xmlns:c16="http://schemas.microsoft.com/office/drawing/2014/chart" uri="{C3380CC4-5D6E-409C-BE32-E72D297353CC}">
              <c16:uniqueId val="{00000000-7E07-184C-9743-E1D90B72AF71}"/>
            </c:ext>
          </c:extLst>
        </c:ser>
        <c:dLbls>
          <c:showLegendKey val="0"/>
          <c:showVal val="0"/>
          <c:showCatName val="0"/>
          <c:showSerName val="0"/>
          <c:showPercent val="0"/>
          <c:showBubbleSize val="0"/>
        </c:dLbls>
        <c:gapWidth val="50"/>
        <c:axId val="196549632"/>
        <c:axId val="196552192"/>
      </c:barChart>
      <c:lineChart>
        <c:grouping val="standard"/>
        <c:varyColors val="0"/>
        <c:ser>
          <c:idx val="0"/>
          <c:order val="1"/>
          <c:tx>
            <c:v>Exponential smoothing forecast</c:v>
          </c:tx>
          <c:spPr>
            <a:ln w="12700">
              <a:solidFill>
                <a:srgbClr val="000080"/>
              </a:solidFill>
              <a:prstDash val="solid"/>
            </a:ln>
          </c:spPr>
          <c:marker>
            <c:symbol val="circle"/>
            <c:size val="6"/>
            <c:spPr>
              <a:solidFill>
                <a:srgbClr val="000080"/>
              </a:solidFill>
              <a:ln>
                <a:solidFill>
                  <a:srgbClr val="000080"/>
                </a:solidFill>
                <a:prstDash val="solid"/>
              </a:ln>
            </c:spPr>
          </c:marker>
          <c:val>
            <c:numRef>
              <c:f>'Exp_smoothing damp_Tot odd'!$J$11:$J$36</c:f>
              <c:numCache>
                <c:formatCode>#,##0</c:formatCode>
                <c:ptCount val="26"/>
                <c:pt idx="0">
                  <c:v>#N/A</c:v>
                </c:pt>
                <c:pt idx="1">
                  <c:v>#N/A</c:v>
                </c:pt>
                <c:pt idx="2">
                  <c:v>#N/A</c:v>
                </c:pt>
                <c:pt idx="3">
                  <c:v>4548370.9000000004</c:v>
                </c:pt>
                <c:pt idx="4">
                  <c:v>3874355.6271615811</c:v>
                </c:pt>
                <c:pt idx="5">
                  <c:v>4722542.4841371877</c:v>
                </c:pt>
                <c:pt idx="6">
                  <c:v>7032765.2601274382</c:v>
                </c:pt>
                <c:pt idx="7">
                  <c:v>7971099.1686799843</c:v>
                </c:pt>
                <c:pt idx="8">
                  <c:v>5069308.9593483526</c:v>
                </c:pt>
                <c:pt idx="9">
                  <c:v>5535659.2245900175</c:v>
                </c:pt>
                <c:pt idx="10">
                  <c:v>12901365.155110722</c:v>
                </c:pt>
                <c:pt idx="11">
                  <c:v>17063356.741583772</c:v>
                </c:pt>
                <c:pt idx="12">
                  <c:v>13632634.695378486</c:v>
                </c:pt>
                <c:pt idx="13">
                  <c:v>17568639.34946207</c:v>
                </c:pt>
                <c:pt idx="14">
                  <c:v>14758588.236579586</c:v>
                </c:pt>
                <c:pt idx="15">
                  <c:v>8507119.5903502591</c:v>
                </c:pt>
                <c:pt idx="16">
                  <c:v>7906404.8668712005</c:v>
                </c:pt>
                <c:pt idx="17">
                  <c:v>3934200.0589704313</c:v>
                </c:pt>
                <c:pt idx="18">
                  <c:v>3934205.0159249213</c:v>
                </c:pt>
                <c:pt idx="19">
                  <c:v>3094301.789519201</c:v>
                </c:pt>
                <c:pt idx="20">
                  <c:v>7033693.4059835449</c:v>
                </c:pt>
                <c:pt idx="21">
                  <c:v>8170388.9226130638</c:v>
                </c:pt>
                <c:pt idx="22">
                  <c:v>7654859.4710518997</c:v>
                </c:pt>
                <c:pt idx="23">
                  <c:v>13508568.474895101</c:v>
                </c:pt>
                <c:pt idx="24">
                  <c:v>12271624.931956023</c:v>
                </c:pt>
                <c:pt idx="25">
                  <c:v>6374428.9045625264</c:v>
                </c:pt>
              </c:numCache>
            </c:numRef>
          </c:val>
          <c:smooth val="0"/>
          <c:extLst>
            <c:ext xmlns:c16="http://schemas.microsoft.com/office/drawing/2014/chart" uri="{C3380CC4-5D6E-409C-BE32-E72D297353CC}">
              <c16:uniqueId val="{00000001-7E07-184C-9743-E1D90B72AF71}"/>
            </c:ext>
          </c:extLst>
        </c:ser>
        <c:dLbls>
          <c:showLegendKey val="0"/>
          <c:showVal val="0"/>
          <c:showCatName val="0"/>
          <c:showSerName val="0"/>
          <c:showPercent val="0"/>
          <c:showBubbleSize val="0"/>
        </c:dLbls>
        <c:marker val="1"/>
        <c:smooth val="0"/>
        <c:axId val="196554112"/>
        <c:axId val="196576384"/>
      </c:lineChart>
      <c:catAx>
        <c:axId val="19654963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layout>
            <c:manualLayout>
              <c:xMode val="edge"/>
              <c:yMode val="edge"/>
              <c:x val="0.51016374463766045"/>
              <c:y val="0.9230768989697183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6552192"/>
        <c:crosses val="autoZero"/>
        <c:auto val="0"/>
        <c:lblAlgn val="ctr"/>
        <c:lblOffset val="100"/>
        <c:tickLblSkip val="2"/>
        <c:tickMarkSkip val="1"/>
        <c:noMultiLvlLbl val="0"/>
      </c:catAx>
      <c:valAx>
        <c:axId val="196552192"/>
        <c:scaling>
          <c:orientation val="minMax"/>
        </c:scaling>
        <c:delete val="0"/>
        <c:axPos val="l"/>
        <c:title>
          <c:tx>
            <c:rich>
              <a:bodyPr/>
              <a:lstStyle/>
              <a:p>
                <a:pPr>
                  <a:defRPr sz="1100" b="1" i="0" u="none" strike="noStrike" baseline="0">
                    <a:solidFill>
                      <a:srgbClr val="000000"/>
                    </a:solidFill>
                    <a:latin typeface="Arial"/>
                    <a:ea typeface="Arial"/>
                    <a:cs typeface="Arial"/>
                  </a:defRPr>
                </a:pPr>
                <a:r>
                  <a:rPr lang="en-US"/>
                  <a:t>Pink salmon (millions)</a:t>
                </a:r>
              </a:p>
            </c:rich>
          </c:tx>
          <c:layout>
            <c:manualLayout>
              <c:xMode val="edge"/>
              <c:yMode val="edge"/>
              <c:x val="1.596989953295113E-2"/>
              <c:y val="0.1926365025267363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6549632"/>
        <c:crosses val="autoZero"/>
        <c:crossBetween val="between"/>
      </c:valAx>
      <c:catAx>
        <c:axId val="196554112"/>
        <c:scaling>
          <c:orientation val="minMax"/>
        </c:scaling>
        <c:delete val="1"/>
        <c:axPos val="b"/>
        <c:majorTickMark val="out"/>
        <c:minorTickMark val="none"/>
        <c:tickLblPos val="nextTo"/>
        <c:crossAx val="196576384"/>
        <c:crosses val="autoZero"/>
        <c:auto val="0"/>
        <c:lblAlgn val="ctr"/>
        <c:lblOffset val="100"/>
        <c:noMultiLvlLbl val="0"/>
      </c:catAx>
      <c:valAx>
        <c:axId val="196576384"/>
        <c:scaling>
          <c:orientation val="minMax"/>
        </c:scaling>
        <c:delete val="1"/>
        <c:axPos val="l"/>
        <c:numFmt formatCode="#,##0" sourceLinked="1"/>
        <c:majorTickMark val="out"/>
        <c:minorTickMark val="none"/>
        <c:tickLblPos val="nextTo"/>
        <c:crossAx val="196554112"/>
        <c:crosses val="autoZero"/>
        <c:crossBetween val="between"/>
      </c:valAx>
      <c:spPr>
        <a:solidFill>
          <a:srgbClr val="FFFFFF"/>
        </a:solidFill>
        <a:ln w="25400">
          <a:noFill/>
        </a:ln>
      </c:spPr>
    </c:plotArea>
    <c:legend>
      <c:legendPos val="l"/>
      <c:layout>
        <c:manualLayout>
          <c:xMode val="edge"/>
          <c:yMode val="edge"/>
          <c:x val="0.16265750013876665"/>
          <c:y val="0.16948454577506172"/>
          <c:w val="0.23217641601446345"/>
          <c:h val="0.10151886238100832"/>
        </c:manualLayout>
      </c:layout>
      <c:overlay val="1"/>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09865890051414"/>
          <c:y val="4.4818038654259124E-2"/>
          <c:w val="0.85534426347391512"/>
          <c:h val="0.7265514674302076"/>
        </c:manualLayout>
      </c:layout>
      <c:barChart>
        <c:barDir val="col"/>
        <c:grouping val="clustered"/>
        <c:varyColors val="0"/>
        <c:ser>
          <c:idx val="0"/>
          <c:order val="0"/>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6BAB-ED49-861F-F25CC715396D}"/>
                </c:ext>
              </c:extLst>
            </c:dLbl>
            <c:dLbl>
              <c:idx val="1"/>
              <c:delete val="1"/>
              <c:extLst>
                <c:ext xmlns:c15="http://schemas.microsoft.com/office/drawing/2012/chart" uri="{CE6537A1-D6FC-4f65-9D91-7224C49458BB}"/>
                <c:ext xmlns:c16="http://schemas.microsoft.com/office/drawing/2014/chart" uri="{C3380CC4-5D6E-409C-BE32-E72D297353CC}">
                  <c16:uniqueId val="{00000001-6BAB-ED49-861F-F25CC715396D}"/>
                </c:ext>
              </c:extLst>
            </c:dLbl>
            <c:dLbl>
              <c:idx val="2"/>
              <c:delete val="1"/>
              <c:extLst>
                <c:ext xmlns:c15="http://schemas.microsoft.com/office/drawing/2012/chart" uri="{CE6537A1-D6FC-4f65-9D91-7224C49458BB}"/>
                <c:ext xmlns:c16="http://schemas.microsoft.com/office/drawing/2014/chart" uri="{C3380CC4-5D6E-409C-BE32-E72D297353CC}">
                  <c16:uniqueId val="{00000002-6BAB-ED49-861F-F25CC715396D}"/>
                </c:ext>
              </c:extLst>
            </c:dLbl>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'Exp_smoothing damp_Tot odd'!$A$11:$A$36</c:f>
              <c:numCache>
                <c:formatCode>General</c:formatCode>
                <c:ptCount val="26"/>
                <c:pt idx="0">
                  <c:v>1961</c:v>
                </c:pt>
                <c:pt idx="1">
                  <c:v>1963</c:v>
                </c:pt>
                <c:pt idx="2">
                  <c:v>1965</c:v>
                </c:pt>
                <c:pt idx="3">
                  <c:v>1967</c:v>
                </c:pt>
                <c:pt idx="4">
                  <c:v>1969</c:v>
                </c:pt>
                <c:pt idx="5">
                  <c:v>1971</c:v>
                </c:pt>
                <c:pt idx="6">
                  <c:v>1973</c:v>
                </c:pt>
                <c:pt idx="7">
                  <c:v>1975</c:v>
                </c:pt>
                <c:pt idx="8">
                  <c:v>1977</c:v>
                </c:pt>
                <c:pt idx="9">
                  <c:v>1979</c:v>
                </c:pt>
                <c:pt idx="10">
                  <c:v>1981</c:v>
                </c:pt>
                <c:pt idx="11">
                  <c:v>1983</c:v>
                </c:pt>
                <c:pt idx="12">
                  <c:v>1985</c:v>
                </c:pt>
                <c:pt idx="13">
                  <c:v>1987</c:v>
                </c:pt>
                <c:pt idx="14">
                  <c:v>1989</c:v>
                </c:pt>
                <c:pt idx="15">
                  <c:v>1991</c:v>
                </c:pt>
                <c:pt idx="16">
                  <c:v>1993</c:v>
                </c:pt>
                <c:pt idx="17">
                  <c:v>1995</c:v>
                </c:pt>
                <c:pt idx="18">
                  <c:v>1997</c:v>
                </c:pt>
                <c:pt idx="19">
                  <c:v>1999</c:v>
                </c:pt>
                <c:pt idx="20">
                  <c:v>2001</c:v>
                </c:pt>
                <c:pt idx="21">
                  <c:v>2003</c:v>
                </c:pt>
                <c:pt idx="22">
                  <c:v>2005</c:v>
                </c:pt>
                <c:pt idx="23">
                  <c:v>2007</c:v>
                </c:pt>
                <c:pt idx="24">
                  <c:v>2009</c:v>
                </c:pt>
                <c:pt idx="25">
                  <c:v>2011</c:v>
                </c:pt>
              </c:numCache>
            </c:numRef>
          </c:cat>
          <c:val>
            <c:numRef>
              <c:f>'Exp_smoothing damp_Tot odd'!$F$11:$F$36</c:f>
              <c:numCache>
                <c:formatCode>0%</c:formatCode>
                <c:ptCount val="26"/>
                <c:pt idx="0">
                  <c:v>#N/A</c:v>
                </c:pt>
                <c:pt idx="1">
                  <c:v>-0.3238432997279555</c:v>
                </c:pt>
                <c:pt idx="2">
                  <c:v>0.87279578469148333</c:v>
                </c:pt>
                <c:pt idx="3">
                  <c:v>0.31129876607276724</c:v>
                </c:pt>
                <c:pt idx="4">
                  <c:v>-0.259651191441027</c:v>
                </c:pt>
                <c:pt idx="5">
                  <c:v>-0.43936194750347801</c:v>
                </c:pt>
                <c:pt idx="6">
                  <c:v>-0.17610277864864182</c:v>
                </c:pt>
                <c:pt idx="7">
                  <c:v>1.3991716831675969</c:v>
                </c:pt>
                <c:pt idx="8">
                  <c:v>-0.12844575892405757</c:v>
                </c:pt>
                <c:pt idx="9">
                  <c:v>-0.68067501562602373</c:v>
                </c:pt>
                <c:pt idx="10">
                  <c:v>-0.34071983756694318</c:v>
                </c:pt>
                <c:pt idx="11">
                  <c:v>0.47513126963793012</c:v>
                </c:pt>
                <c:pt idx="12">
                  <c:v>-0.31625223684103948</c:v>
                </c:pt>
                <c:pt idx="13">
                  <c:v>0.34451018918134718</c:v>
                </c:pt>
                <c:pt idx="14">
                  <c:v>2.1111648456557757</c:v>
                </c:pt>
                <c:pt idx="15">
                  <c:v>0.12755098234198856</c:v>
                </c:pt>
                <c:pt idx="16">
                  <c:v>4.1242398397808868</c:v>
                </c:pt>
                <c:pt idx="17">
                  <c:v>-2.018456972449971E-6</c:v>
                </c:pt>
                <c:pt idx="18">
                  <c:v>0.51977145741536479</c:v>
                </c:pt>
                <c:pt idx="19">
                  <c:v>-0.67100088807070291</c:v>
                </c:pt>
                <c:pt idx="20">
                  <c:v>-0.20565217441226932</c:v>
                </c:pt>
                <c:pt idx="21">
                  <c:v>0.1124481775727192</c:v>
                </c:pt>
                <c:pt idx="22">
                  <c:v>-0.55057302183467804</c:v>
                </c:pt>
                <c:pt idx="23">
                  <c:v>0.17190793597878232</c:v>
                </c:pt>
                <c:pt idx="24">
                  <c:v>3.344967583204062</c:v>
                </c:pt>
                <c:pt idx="25">
                  <c:v>-0.33896469334572565</c:v>
                </c:pt>
              </c:numCache>
            </c:numRef>
          </c:val>
          <c:extLst>
            <c:ext xmlns:c16="http://schemas.microsoft.com/office/drawing/2014/chart" uri="{C3380CC4-5D6E-409C-BE32-E72D297353CC}">
              <c16:uniqueId val="{00000003-6BAB-ED49-861F-F25CC715396D}"/>
            </c:ext>
          </c:extLst>
        </c:ser>
        <c:dLbls>
          <c:showLegendKey val="0"/>
          <c:showVal val="0"/>
          <c:showCatName val="0"/>
          <c:showSerName val="0"/>
          <c:showPercent val="0"/>
          <c:showBubbleSize val="0"/>
        </c:dLbls>
        <c:gapWidth val="50"/>
        <c:axId val="196597248"/>
        <c:axId val="196599168"/>
      </c:barChart>
      <c:catAx>
        <c:axId val="196597248"/>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Run Year</a:t>
                </a:r>
              </a:p>
            </c:rich>
          </c:tx>
          <c:overlay val="0"/>
        </c:title>
        <c:numFmt formatCode="General" sourceLinked="1"/>
        <c:majorTickMark val="out"/>
        <c:minorTickMark val="none"/>
        <c:tickLblPos val="low"/>
        <c:txPr>
          <a:bodyPr rot="0" vert="horz"/>
          <a:lstStyle/>
          <a:p>
            <a:pPr>
              <a:defRPr sz="1200" b="1" i="0" u="none" strike="noStrike" baseline="0">
                <a:solidFill>
                  <a:srgbClr val="000000"/>
                </a:solidFill>
                <a:latin typeface="Arial"/>
                <a:ea typeface="Arial"/>
                <a:cs typeface="Arial"/>
              </a:defRPr>
            </a:pPr>
            <a:endParaRPr lang="en-US"/>
          </a:p>
        </c:txPr>
        <c:crossAx val="196599168"/>
        <c:crosses val="autoZero"/>
        <c:auto val="1"/>
        <c:lblAlgn val="ctr"/>
        <c:lblOffset val="100"/>
        <c:tickLblSkip val="2"/>
        <c:noMultiLvlLbl val="0"/>
      </c:catAx>
      <c:valAx>
        <c:axId val="196599168"/>
        <c:scaling>
          <c:orientation val="minMax"/>
        </c:scaling>
        <c:delete val="0"/>
        <c:axPos val="l"/>
        <c:title>
          <c:tx>
            <c:rich>
              <a:bodyPr/>
              <a:lstStyle/>
              <a:p>
                <a:pPr>
                  <a:defRPr sz="1400" b="1" i="0" u="none" strike="noStrike" baseline="0">
                    <a:solidFill>
                      <a:srgbClr val="000000"/>
                    </a:solidFill>
                    <a:latin typeface="Arial"/>
                    <a:ea typeface="Arial"/>
                    <a:cs typeface="Arial"/>
                  </a:defRPr>
                </a:pPr>
                <a:r>
                  <a:rPr lang="en-US"/>
                  <a:t>Percentage Error</a:t>
                </a:r>
              </a:p>
            </c:rich>
          </c:tx>
          <c:layout>
            <c:manualLayout>
              <c:xMode val="edge"/>
              <c:yMode val="edge"/>
              <c:x val="3.8948063855031821E-2"/>
              <c:y val="0.21393010084265782"/>
            </c:manualLayout>
          </c:layout>
          <c:overlay val="0"/>
        </c:title>
        <c:numFmt formatCode="0%" sourceLinked="1"/>
        <c:majorTickMark val="out"/>
        <c:minorTickMark val="none"/>
        <c:tickLblPos val="nextTo"/>
        <c:txPr>
          <a:bodyPr rot="0" vert="horz"/>
          <a:lstStyle/>
          <a:p>
            <a:pPr>
              <a:defRPr sz="1400" b="0" i="0" u="none" strike="noStrike" baseline="0">
                <a:solidFill>
                  <a:srgbClr val="000000"/>
                </a:solidFill>
                <a:latin typeface="Arial"/>
                <a:ea typeface="Arial"/>
                <a:cs typeface="Arial"/>
              </a:defRPr>
            </a:pPr>
            <a:endParaRPr lang="en-US"/>
          </a:p>
        </c:txPr>
        <c:crossAx val="196597248"/>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Prince William Sound Wild Pink salmon</a:t>
            </a: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Even years</a:t>
            </a:r>
            <a:endParaRPr lang="en-US"/>
          </a:p>
        </c:rich>
      </c:tx>
      <c:layout>
        <c:manualLayout>
          <c:xMode val="edge"/>
          <c:yMode val="edge"/>
          <c:x val="0.34354459025955092"/>
          <c:y val="2.9585523445453222E-2"/>
        </c:manualLayout>
      </c:layout>
      <c:overlay val="0"/>
      <c:spPr>
        <a:noFill/>
        <a:ln w="25400">
          <a:noFill/>
        </a:ln>
      </c:spPr>
    </c:title>
    <c:autoTitleDeleted val="0"/>
    <c:plotArea>
      <c:layout>
        <c:manualLayout>
          <c:layoutTarget val="inner"/>
          <c:xMode val="edge"/>
          <c:yMode val="edge"/>
          <c:x val="0.21641481481481481"/>
          <c:y val="4.7300870285951105E-2"/>
          <c:w val="0.75997791387187708"/>
          <c:h val="0.74358974358974361"/>
        </c:manualLayout>
      </c:layout>
      <c:barChart>
        <c:barDir val="col"/>
        <c:grouping val="clustered"/>
        <c:varyColors val="0"/>
        <c:ser>
          <c:idx val="1"/>
          <c:order val="0"/>
          <c:tx>
            <c:v>Total Run</c:v>
          </c:tx>
          <c:spPr>
            <a:solidFill>
              <a:srgbClr val="FFFFFF"/>
            </a:solidFill>
            <a:ln w="12700">
              <a:solidFill>
                <a:srgbClr val="000000"/>
              </a:solidFill>
              <a:prstDash val="solid"/>
            </a:ln>
          </c:spPr>
          <c:invertIfNegative val="0"/>
          <c:cat>
            <c:numRef>
              <c:f>'Exp_smoothing damp_Tot_even'!$A$11:$A$36</c:f>
              <c:numCache>
                <c:formatCode>General</c:formatCode>
                <c:ptCount val="26"/>
                <c:pt idx="0">
                  <c:v>1962</c:v>
                </c:pt>
                <c:pt idx="1">
                  <c:v>1964</c:v>
                </c:pt>
                <c:pt idx="2">
                  <c:v>1966</c:v>
                </c:pt>
                <c:pt idx="3">
                  <c:v>1968</c:v>
                </c:pt>
                <c:pt idx="4">
                  <c:v>1970</c:v>
                </c:pt>
                <c:pt idx="5">
                  <c:v>1972</c:v>
                </c:pt>
                <c:pt idx="6">
                  <c:v>1974</c:v>
                </c:pt>
                <c:pt idx="7">
                  <c:v>1976</c:v>
                </c:pt>
                <c:pt idx="8">
                  <c:v>1978</c:v>
                </c:pt>
                <c:pt idx="9">
                  <c:v>1980</c:v>
                </c:pt>
                <c:pt idx="10">
                  <c:v>1982</c:v>
                </c:pt>
                <c:pt idx="11">
                  <c:v>1984</c:v>
                </c:pt>
                <c:pt idx="12">
                  <c:v>1986</c:v>
                </c:pt>
                <c:pt idx="13">
                  <c:v>1988</c:v>
                </c:pt>
                <c:pt idx="14">
                  <c:v>1990</c:v>
                </c:pt>
                <c:pt idx="15">
                  <c:v>1992</c:v>
                </c:pt>
                <c:pt idx="16">
                  <c:v>1994</c:v>
                </c:pt>
                <c:pt idx="17">
                  <c:v>1996</c:v>
                </c:pt>
                <c:pt idx="18">
                  <c:v>1998</c:v>
                </c:pt>
                <c:pt idx="19">
                  <c:v>2000</c:v>
                </c:pt>
                <c:pt idx="20">
                  <c:v>2002</c:v>
                </c:pt>
                <c:pt idx="21">
                  <c:v>2004</c:v>
                </c:pt>
                <c:pt idx="22">
                  <c:v>2006</c:v>
                </c:pt>
                <c:pt idx="23">
                  <c:v>2008</c:v>
                </c:pt>
                <c:pt idx="24">
                  <c:v>2010</c:v>
                </c:pt>
                <c:pt idx="25">
                  <c:v>2012</c:v>
                </c:pt>
              </c:numCache>
            </c:numRef>
          </c:cat>
          <c:val>
            <c:numRef>
              <c:f>'Exp_smoothing damp_Tot_even'!$I$11:$I$36</c:f>
              <c:numCache>
                <c:formatCode>#,##0</c:formatCode>
                <c:ptCount val="26"/>
                <c:pt idx="0">
                  <c:v>8760326</c:v>
                </c:pt>
                <c:pt idx="1">
                  <c:v>6048576</c:v>
                </c:pt>
                <c:pt idx="2">
                  <c:v>4122588</c:v>
                </c:pt>
                <c:pt idx="3">
                  <c:v>3608678</c:v>
                </c:pt>
                <c:pt idx="4">
                  <c:v>3789216</c:v>
                </c:pt>
                <c:pt idx="5">
                  <c:v>695963</c:v>
                </c:pt>
                <c:pt idx="6">
                  <c:v>1012903</c:v>
                </c:pt>
                <c:pt idx="7">
                  <c:v>1161051</c:v>
                </c:pt>
                <c:pt idx="8">
                  <c:v>3925083</c:v>
                </c:pt>
                <c:pt idx="9">
                  <c:v>14013916</c:v>
                </c:pt>
                <c:pt idx="10">
                  <c:v>16794317</c:v>
                </c:pt>
                <c:pt idx="11">
                  <c:v>21201513</c:v>
                </c:pt>
                <c:pt idx="12">
                  <c:v>5563957</c:v>
                </c:pt>
                <c:pt idx="13">
                  <c:v>1766936</c:v>
                </c:pt>
                <c:pt idx="14">
                  <c:v>12923662</c:v>
                </c:pt>
                <c:pt idx="15">
                  <c:v>1405383</c:v>
                </c:pt>
                <c:pt idx="16">
                  <c:v>4666639</c:v>
                </c:pt>
                <c:pt idx="17">
                  <c:v>4500085</c:v>
                </c:pt>
                <c:pt idx="18">
                  <c:v>5274275.5</c:v>
                </c:pt>
                <c:pt idx="19">
                  <c:v>7389941</c:v>
                </c:pt>
                <c:pt idx="20">
                  <c:v>1264645.3102025923</c:v>
                </c:pt>
                <c:pt idx="21">
                  <c:v>4939431.0563474381</c:v>
                </c:pt>
                <c:pt idx="22">
                  <c:v>3314702.7753436686</c:v>
                </c:pt>
                <c:pt idx="23">
                  <c:v>2290691.6775990888</c:v>
                </c:pt>
                <c:pt idx="24">
                  <c:v>4399390.7272172375</c:v>
                </c:pt>
                <c:pt idx="25">
                  <c:v>4428267.5450134957</c:v>
                </c:pt>
              </c:numCache>
            </c:numRef>
          </c:val>
          <c:extLst>
            <c:ext xmlns:c16="http://schemas.microsoft.com/office/drawing/2014/chart" uri="{C3380CC4-5D6E-409C-BE32-E72D297353CC}">
              <c16:uniqueId val="{00000000-5E47-8D44-9D8A-14A290348778}"/>
            </c:ext>
          </c:extLst>
        </c:ser>
        <c:dLbls>
          <c:showLegendKey val="0"/>
          <c:showVal val="0"/>
          <c:showCatName val="0"/>
          <c:showSerName val="0"/>
          <c:showPercent val="0"/>
          <c:showBubbleSize val="0"/>
        </c:dLbls>
        <c:gapWidth val="50"/>
        <c:axId val="196499712"/>
        <c:axId val="196506368"/>
      </c:barChart>
      <c:lineChart>
        <c:grouping val="standard"/>
        <c:varyColors val="0"/>
        <c:ser>
          <c:idx val="0"/>
          <c:order val="1"/>
          <c:tx>
            <c:v>Exponential Smoothing forecast</c:v>
          </c:tx>
          <c:spPr>
            <a:ln w="12700">
              <a:solidFill>
                <a:srgbClr val="000080"/>
              </a:solidFill>
              <a:prstDash val="solid"/>
            </a:ln>
          </c:spPr>
          <c:marker>
            <c:symbol val="circle"/>
            <c:size val="6"/>
            <c:spPr>
              <a:solidFill>
                <a:srgbClr val="000080"/>
              </a:solidFill>
              <a:ln>
                <a:solidFill>
                  <a:srgbClr val="000080"/>
                </a:solidFill>
                <a:prstDash val="solid"/>
              </a:ln>
            </c:spPr>
          </c:marker>
          <c:val>
            <c:numRef>
              <c:f>'Exp_smoothing damp_Tot_even'!$J$11:$J$36</c:f>
              <c:numCache>
                <c:formatCode>#,##0</c:formatCode>
                <c:ptCount val="26"/>
                <c:pt idx="0">
                  <c:v>#N/A</c:v>
                </c:pt>
                <c:pt idx="1">
                  <c:v>#N/A</c:v>
                </c:pt>
                <c:pt idx="2">
                  <c:v>#N/A</c:v>
                </c:pt>
                <c:pt idx="3">
                  <c:v>#N/A</c:v>
                </c:pt>
                <c:pt idx="4">
                  <c:v>3904206.8620603569</c:v>
                </c:pt>
                <c:pt idx="5">
                  <c:v>3805393.7651416562</c:v>
                </c:pt>
                <c:pt idx="6">
                  <c:v>1133420.7226519005</c:v>
                </c:pt>
                <c:pt idx="7">
                  <c:v>1029858.3247756882</c:v>
                </c:pt>
                <c:pt idx="8">
                  <c:v>1142593.8439264114</c:v>
                </c:pt>
                <c:pt idx="9">
                  <c:v>3533621.8415251919</c:v>
                </c:pt>
                <c:pt idx="10">
                  <c:v>12539470.687795229</c:v>
                </c:pt>
                <c:pt idx="11">
                  <c:v>16195713.744755581</c:v>
                </c:pt>
                <c:pt idx="12">
                  <c:v>20497260.129410021</c:v>
                </c:pt>
                <c:pt idx="13">
                  <c:v>7664884.556225745</c:v>
                </c:pt>
                <c:pt idx="14">
                  <c:v>2596703.0340979714</c:v>
                </c:pt>
                <c:pt idx="15">
                  <c:v>11470789.017012928</c:v>
                </c:pt>
                <c:pt idx="16">
                  <c:v>2821458.7792491373</c:v>
                </c:pt>
                <c:pt idx="17">
                  <c:v>4407045.3964694096</c:v>
                </c:pt>
                <c:pt idx="18">
                  <c:v>4486995.5002969652</c:v>
                </c:pt>
                <c:pt idx="19">
                  <c:v>5163515.1255866494</c:v>
                </c:pt>
                <c:pt idx="20">
                  <c:v>7076710.9375741649</c:v>
                </c:pt>
                <c:pt idx="21">
                  <c:v>2082329.6985338847</c:v>
                </c:pt>
                <c:pt idx="22">
                  <c:v>4537472.9013737477</c:v>
                </c:pt>
                <c:pt idx="23">
                  <c:v>3486731.1223506248</c:v>
                </c:pt>
                <c:pt idx="24">
                  <c:v>2458959.3546184273</c:v>
                </c:pt>
                <c:pt idx="25">
                  <c:v>4126396.4870059732</c:v>
                </c:pt>
              </c:numCache>
            </c:numRef>
          </c:val>
          <c:smooth val="0"/>
          <c:extLst>
            <c:ext xmlns:c16="http://schemas.microsoft.com/office/drawing/2014/chart" uri="{C3380CC4-5D6E-409C-BE32-E72D297353CC}">
              <c16:uniqueId val="{00000001-5E47-8D44-9D8A-14A290348778}"/>
            </c:ext>
          </c:extLst>
        </c:ser>
        <c:dLbls>
          <c:showLegendKey val="0"/>
          <c:showVal val="0"/>
          <c:showCatName val="0"/>
          <c:showSerName val="0"/>
          <c:showPercent val="0"/>
          <c:showBubbleSize val="0"/>
        </c:dLbls>
        <c:marker val="1"/>
        <c:smooth val="0"/>
        <c:axId val="196508288"/>
        <c:axId val="196526464"/>
      </c:lineChart>
      <c:catAx>
        <c:axId val="19649971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Run Year</a:t>
                </a:r>
              </a:p>
            </c:rich>
          </c:tx>
          <c:layout>
            <c:manualLayout>
              <c:xMode val="edge"/>
              <c:yMode val="edge"/>
              <c:x val="0.51016374064353065"/>
              <c:y val="0.9230767526090901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6506368"/>
        <c:crosses val="autoZero"/>
        <c:auto val="0"/>
        <c:lblAlgn val="ctr"/>
        <c:lblOffset val="100"/>
        <c:tickLblSkip val="2"/>
        <c:tickMarkSkip val="1"/>
        <c:noMultiLvlLbl val="0"/>
      </c:catAx>
      <c:valAx>
        <c:axId val="196506368"/>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Pink salmon (millions)</a:t>
                </a:r>
              </a:p>
            </c:rich>
          </c:tx>
          <c:layout>
            <c:manualLayout>
              <c:xMode val="edge"/>
              <c:yMode val="edge"/>
              <c:x val="1.4600641586468359E-2"/>
              <c:y val="0.1876528230804922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96499712"/>
        <c:crosses val="autoZero"/>
        <c:crossBetween val="between"/>
      </c:valAx>
      <c:catAx>
        <c:axId val="196508288"/>
        <c:scaling>
          <c:orientation val="minMax"/>
        </c:scaling>
        <c:delete val="1"/>
        <c:axPos val="b"/>
        <c:majorTickMark val="out"/>
        <c:minorTickMark val="none"/>
        <c:tickLblPos val="nextTo"/>
        <c:crossAx val="196526464"/>
        <c:crosses val="autoZero"/>
        <c:auto val="0"/>
        <c:lblAlgn val="ctr"/>
        <c:lblOffset val="100"/>
        <c:noMultiLvlLbl val="0"/>
      </c:catAx>
      <c:valAx>
        <c:axId val="196526464"/>
        <c:scaling>
          <c:orientation val="minMax"/>
        </c:scaling>
        <c:delete val="1"/>
        <c:axPos val="l"/>
        <c:numFmt formatCode="#,##0" sourceLinked="1"/>
        <c:majorTickMark val="out"/>
        <c:minorTickMark val="none"/>
        <c:tickLblPos val="nextTo"/>
        <c:crossAx val="196508288"/>
        <c:crosses val="autoZero"/>
        <c:crossBetween val="between"/>
      </c:valAx>
      <c:spPr>
        <a:solidFill>
          <a:srgbClr val="FFFFFF"/>
        </a:solidFill>
        <a:ln w="25400">
          <a:noFill/>
        </a:ln>
      </c:spPr>
    </c:plotArea>
    <c:legend>
      <c:legendPos val="r"/>
      <c:layout>
        <c:manualLayout>
          <c:xMode val="edge"/>
          <c:yMode val="edge"/>
          <c:x val="0.16359677262564401"/>
          <c:y val="0.20188671666701291"/>
          <c:w val="0.21230819480898219"/>
          <c:h val="9.6312855352183868E-2"/>
        </c:manualLayout>
      </c:layout>
      <c:overlay val="1"/>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12562541892066"/>
          <c:y val="2.9547623912280427E-2"/>
          <c:w val="0.85242564369909479"/>
          <c:h val="0.94090475217543912"/>
        </c:manualLayout>
      </c:layout>
      <c:barChart>
        <c:barDir val="col"/>
        <c:grouping val="clustered"/>
        <c:varyColors val="0"/>
        <c:ser>
          <c:idx val="0"/>
          <c:order val="0"/>
          <c:tx>
            <c:v>Error</c:v>
          </c:tx>
          <c:invertIfNegative val="0"/>
          <c:dLbls>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'Exp_smoothing damp_Tot_even'!$A$15:$A$36</c:f>
              <c:numCache>
                <c:formatCode>General</c:formatCode>
                <c:ptCount val="22"/>
                <c:pt idx="0">
                  <c:v>1970</c:v>
                </c:pt>
                <c:pt idx="1">
                  <c:v>1972</c:v>
                </c:pt>
                <c:pt idx="2">
                  <c:v>1974</c:v>
                </c:pt>
                <c:pt idx="3">
                  <c:v>1976</c:v>
                </c:pt>
                <c:pt idx="4">
                  <c:v>1978</c:v>
                </c:pt>
                <c:pt idx="5">
                  <c:v>1980</c:v>
                </c:pt>
                <c:pt idx="6">
                  <c:v>1982</c:v>
                </c:pt>
                <c:pt idx="7">
                  <c:v>1984</c:v>
                </c:pt>
                <c:pt idx="8">
                  <c:v>1986</c:v>
                </c:pt>
                <c:pt idx="9">
                  <c:v>1988</c:v>
                </c:pt>
                <c:pt idx="10">
                  <c:v>1990</c:v>
                </c:pt>
                <c:pt idx="11">
                  <c:v>1992</c:v>
                </c:pt>
                <c:pt idx="12">
                  <c:v>1994</c:v>
                </c:pt>
                <c:pt idx="13">
                  <c:v>1996</c:v>
                </c:pt>
                <c:pt idx="14">
                  <c:v>1998</c:v>
                </c:pt>
                <c:pt idx="15">
                  <c:v>2000</c:v>
                </c:pt>
                <c:pt idx="16">
                  <c:v>2002</c:v>
                </c:pt>
                <c:pt idx="17">
                  <c:v>2004</c:v>
                </c:pt>
                <c:pt idx="18">
                  <c:v>2006</c:v>
                </c:pt>
                <c:pt idx="19">
                  <c:v>2008</c:v>
                </c:pt>
                <c:pt idx="20">
                  <c:v>2010</c:v>
                </c:pt>
                <c:pt idx="21">
                  <c:v>2012</c:v>
                </c:pt>
              </c:numCache>
            </c:numRef>
          </c:cat>
          <c:val>
            <c:numRef>
              <c:f>'Exp_smoothing damp_Tot_even'!$F$15:$F$36</c:f>
              <c:numCache>
                <c:formatCode>0%</c:formatCode>
                <c:ptCount val="22"/>
                <c:pt idx="0">
                  <c:v>3.0346874408942875E-2</c:v>
                </c:pt>
                <c:pt idx="1">
                  <c:v>4.4678104513338441</c:v>
                </c:pt>
                <c:pt idx="2">
                  <c:v>0.11898249156325975</c:v>
                </c:pt>
                <c:pt idx="3">
                  <c:v>-0.11299475666814961</c:v>
                </c:pt>
                <c:pt idx="4">
                  <c:v>-0.70889944392859694</c:v>
                </c:pt>
                <c:pt idx="5">
                  <c:v>-0.74784907790761757</c:v>
                </c:pt>
                <c:pt idx="6">
                  <c:v>-0.25335036323327531</c:v>
                </c:pt>
                <c:pt idx="7">
                  <c:v>-0.23610575600167871</c:v>
                </c:pt>
                <c:pt idx="8">
                  <c:v>2.6839357546095379</c:v>
                </c:pt>
                <c:pt idx="9">
                  <c:v>3.3379525666044185</c:v>
                </c:pt>
                <c:pt idx="10">
                  <c:v>-0.79907374286808408</c:v>
                </c:pt>
                <c:pt idx="11">
                  <c:v>7.1620376915139348</c:v>
                </c:pt>
                <c:pt idx="12">
                  <c:v>-0.39539810573538314</c:v>
                </c:pt>
                <c:pt idx="13">
                  <c:v>-2.0675076922011568E-2</c:v>
                </c:pt>
                <c:pt idx="14">
                  <c:v>-0.14926789465264656</c:v>
                </c:pt>
                <c:pt idx="15">
                  <c:v>-0.30127789577932362</c:v>
                </c:pt>
                <c:pt idx="16">
                  <c:v>4.595806887893727</c:v>
                </c:pt>
                <c:pt idx="17">
                  <c:v>-0.57842721666132424</c:v>
                </c:pt>
                <c:pt idx="18">
                  <c:v>0.36889284165253766</c:v>
                </c:pt>
                <c:pt idx="19">
                  <c:v>0.52213026154839159</c:v>
                </c:pt>
                <c:pt idx="20">
                  <c:v>-0.44106820532992264</c:v>
                </c:pt>
                <c:pt idx="21">
                  <c:v>-6.816911014047651E-2</c:v>
                </c:pt>
              </c:numCache>
            </c:numRef>
          </c:val>
          <c:extLst>
            <c:ext xmlns:c16="http://schemas.microsoft.com/office/drawing/2014/chart" uri="{C3380CC4-5D6E-409C-BE32-E72D297353CC}">
              <c16:uniqueId val="{00000000-A6D2-9A42-9F78-570C40AC382C}"/>
            </c:ext>
          </c:extLst>
        </c:ser>
        <c:dLbls>
          <c:showLegendKey val="0"/>
          <c:showVal val="0"/>
          <c:showCatName val="0"/>
          <c:showSerName val="0"/>
          <c:showPercent val="0"/>
          <c:showBubbleSize val="0"/>
        </c:dLbls>
        <c:gapWidth val="50"/>
        <c:axId val="197142016"/>
        <c:axId val="197143552"/>
      </c:barChart>
      <c:catAx>
        <c:axId val="197142016"/>
        <c:scaling>
          <c:orientation val="minMax"/>
        </c:scaling>
        <c:delete val="0"/>
        <c:axPos val="b"/>
        <c:numFmt formatCode="General" sourceLinked="1"/>
        <c:majorTickMark val="out"/>
        <c:minorTickMark val="none"/>
        <c:tickLblPos val="low"/>
        <c:txPr>
          <a:bodyPr rot="0" vert="horz"/>
          <a:lstStyle/>
          <a:p>
            <a:pPr>
              <a:defRPr sz="1200" b="1" i="0" u="none" strike="noStrike" baseline="0">
                <a:solidFill>
                  <a:srgbClr val="000000"/>
                </a:solidFill>
                <a:latin typeface="Arial"/>
                <a:ea typeface="Arial"/>
                <a:cs typeface="Arial"/>
              </a:defRPr>
            </a:pPr>
            <a:endParaRPr lang="en-US"/>
          </a:p>
        </c:txPr>
        <c:crossAx val="197143552"/>
        <c:crosses val="autoZero"/>
        <c:auto val="1"/>
        <c:lblAlgn val="ctr"/>
        <c:lblOffset val="100"/>
        <c:tickLblSkip val="2"/>
        <c:noMultiLvlLbl val="0"/>
      </c:catAx>
      <c:valAx>
        <c:axId val="197143552"/>
        <c:scaling>
          <c:orientation val="minMax"/>
        </c:scaling>
        <c:delete val="0"/>
        <c:axPos val="l"/>
        <c:numFmt formatCode="0%" sourceLinked="1"/>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19714201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 CCP harvest</a:t>
            </a:r>
          </a:p>
        </c:rich>
      </c:tx>
      <c:overlay val="1"/>
    </c:title>
    <c:autoTitleDeleted val="0"/>
    <c:plotArea>
      <c:layout>
        <c:manualLayout>
          <c:layoutTarget val="inner"/>
          <c:xMode val="edge"/>
          <c:yMode val="edge"/>
          <c:x val="0.12488300585389264"/>
          <c:y val="3.8668176511380895E-2"/>
          <c:w val="0.90598887446313048"/>
          <c:h val="0.78317698116659362"/>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Lag1_Exp_smoothing_Harvest!$A$10:$A$59</c:f>
              <c:numCache>
                <c:formatCode>General</c:formatCode>
                <c:ptCount val="50"/>
                <c:pt idx="0">
                  <c:v>1964</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numCache>
            </c:numRef>
          </c:cat>
          <c:val>
            <c:numRef>
              <c:f>Lag1_Exp_smoothing_Harvest!$B$10:$B$59</c:f>
              <c:numCache>
                <c:formatCode>#,##0</c:formatCode>
                <c:ptCount val="50"/>
                <c:pt idx="0">
                  <c:v>4206896</c:v>
                </c:pt>
                <c:pt idx="1">
                  <c:v>2460471</c:v>
                </c:pt>
                <c:pt idx="2">
                  <c:v>2699418</c:v>
                </c:pt>
                <c:pt idx="3">
                  <c:v>2626340</c:v>
                </c:pt>
                <c:pt idx="4">
                  <c:v>2452168</c:v>
                </c:pt>
                <c:pt idx="5">
                  <c:v>4828579</c:v>
                </c:pt>
                <c:pt idx="6">
                  <c:v>2809996</c:v>
                </c:pt>
                <c:pt idx="7">
                  <c:v>7310964</c:v>
                </c:pt>
                <c:pt idx="8">
                  <c:v>54783</c:v>
                </c:pt>
                <c:pt idx="9">
                  <c:v>7310964</c:v>
                </c:pt>
                <c:pt idx="10">
                  <c:v>54783</c:v>
                </c:pt>
                <c:pt idx="11">
                  <c:v>2056878</c:v>
                </c:pt>
                <c:pt idx="12">
                  <c:v>448773</c:v>
                </c:pt>
                <c:pt idx="13">
                  <c:v>4298734</c:v>
                </c:pt>
                <c:pt idx="14">
                  <c:v>3169697</c:v>
                </c:pt>
                <c:pt idx="15">
                  <c:v>14433526</c:v>
                </c:pt>
                <c:pt idx="16">
                  <c:v>12918874</c:v>
                </c:pt>
                <c:pt idx="17">
                  <c:v>17402547</c:v>
                </c:pt>
                <c:pt idx="18">
                  <c:v>14945199</c:v>
                </c:pt>
                <c:pt idx="19">
                  <c:v>9564242</c:v>
                </c:pt>
                <c:pt idx="20">
                  <c:v>17631675</c:v>
                </c:pt>
                <c:pt idx="21">
                  <c:v>17590108</c:v>
                </c:pt>
                <c:pt idx="22">
                  <c:v>4578023</c:v>
                </c:pt>
                <c:pt idx="23">
                  <c:v>11694727</c:v>
                </c:pt>
                <c:pt idx="24">
                  <c:v>795772</c:v>
                </c:pt>
                <c:pt idx="25">
                  <c:v>3510074</c:v>
                </c:pt>
                <c:pt idx="26">
                  <c:v>11687757</c:v>
                </c:pt>
                <c:pt idx="27">
                  <c:v>5818984</c:v>
                </c:pt>
                <c:pt idx="28">
                  <c:v>862846</c:v>
                </c:pt>
                <c:pt idx="29">
                  <c:v>477302</c:v>
                </c:pt>
                <c:pt idx="30">
                  <c:v>3257358</c:v>
                </c:pt>
                <c:pt idx="31">
                  <c:v>2744024</c:v>
                </c:pt>
                <c:pt idx="32">
                  <c:v>3016749</c:v>
                </c:pt>
                <c:pt idx="33">
                  <c:v>1088828</c:v>
                </c:pt>
                <c:pt idx="34">
                  <c:v>3692143</c:v>
                </c:pt>
                <c:pt idx="35">
                  <c:v>6793207</c:v>
                </c:pt>
                <c:pt idx="36">
                  <c:v>5660513</c:v>
                </c:pt>
                <c:pt idx="37">
                  <c:v>6705936.700407384</c:v>
                </c:pt>
                <c:pt idx="38">
                  <c:v>236842.54556606748</c:v>
                </c:pt>
                <c:pt idx="39">
                  <c:v>4493948.7314859722</c:v>
                </c:pt>
                <c:pt idx="40">
                  <c:v>2870874.2919837157</c:v>
                </c:pt>
                <c:pt idx="41">
                  <c:v>12256106.828178193</c:v>
                </c:pt>
                <c:pt idx="42">
                  <c:v>1983120.7161293393</c:v>
                </c:pt>
                <c:pt idx="43">
                  <c:v>9967663.2895603608</c:v>
                </c:pt>
                <c:pt idx="44">
                  <c:v>1371156.4260196264</c:v>
                </c:pt>
                <c:pt idx="45">
                  <c:v>910000.69957974285</c:v>
                </c:pt>
                <c:pt idx="46">
                  <c:v>2325412.6096819355</c:v>
                </c:pt>
                <c:pt idx="47">
                  <c:v>5564873</c:v>
                </c:pt>
                <c:pt idx="48">
                  <c:v>3288580.30084719</c:v>
                </c:pt>
                <c:pt idx="49">
                  <c:v>17267227</c:v>
                </c:pt>
              </c:numCache>
            </c:numRef>
          </c:val>
          <c:extLst>
            <c:ext xmlns:c16="http://schemas.microsoft.com/office/drawing/2014/chart" uri="{C3380CC4-5D6E-409C-BE32-E72D297353CC}">
              <c16:uniqueId val="{00000000-5B6C-AE46-9D1B-7E9CCFA8BC10}"/>
            </c:ext>
          </c:extLst>
        </c:ser>
        <c:dLbls>
          <c:showLegendKey val="0"/>
          <c:showVal val="0"/>
          <c:showCatName val="0"/>
          <c:showSerName val="0"/>
          <c:showPercent val="0"/>
          <c:showBubbleSize val="0"/>
        </c:dLbls>
        <c:gapWidth val="150"/>
        <c:axId val="196789760"/>
        <c:axId val="196791680"/>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Lag1_Exp_smoothing_Harvest!$C$10:$C$59</c:f>
              <c:numCache>
                <c:formatCode>#,##0</c:formatCode>
                <c:ptCount val="50"/>
                <c:pt idx="0">
                  <c:v>6365384.3771506939</c:v>
                </c:pt>
                <c:pt idx="1">
                  <c:v>5803091.7793332497</c:v>
                </c:pt>
                <c:pt idx="2">
                  <c:v>4932329.1931520198</c:v>
                </c:pt>
                <c:pt idx="3">
                  <c:v>4350649.2319420911</c:v>
                </c:pt>
                <c:pt idx="4">
                  <c:v>3901461.5838949918</c:v>
                </c:pt>
                <c:pt idx="5">
                  <c:v>3523916.3244833052</c:v>
                </c:pt>
                <c:pt idx="6">
                  <c:v>3863784.8050632789</c:v>
                </c:pt>
                <c:pt idx="7">
                  <c:v>3589269.7087475187</c:v>
                </c:pt>
                <c:pt idx="8">
                  <c:v>4558782.0644606156</c:v>
                </c:pt>
                <c:pt idx="9">
                  <c:v>3385477.0046177623</c:v>
                </c:pt>
                <c:pt idx="10">
                  <c:v>4408077.9617031906</c:v>
                </c:pt>
                <c:pt idx="11">
                  <c:v>3274031.7657663268</c:v>
                </c:pt>
                <c:pt idx="12">
                  <c:v>2956959.6146531161</c:v>
                </c:pt>
                <c:pt idx="13">
                  <c:v>2303569.5930557102</c:v>
                </c:pt>
                <c:pt idx="14">
                  <c:v>2823315.814221154</c:v>
                </c:pt>
                <c:pt idx="15">
                  <c:v>2913549.1362294829</c:v>
                </c:pt>
                <c:pt idx="16">
                  <c:v>5914537.1360245571</c:v>
                </c:pt>
                <c:pt idx="17">
                  <c:v>7739187.577938091</c:v>
                </c:pt>
                <c:pt idx="18">
                  <c:v>10256521.25024052</c:v>
                </c:pt>
                <c:pt idx="19">
                  <c:v>11477935.653092802</c:v>
                </c:pt>
                <c:pt idx="20">
                  <c:v>10979412.803947441</c:v>
                </c:pt>
                <c:pt idx="21">
                  <c:v>12712346.754937174</c:v>
                </c:pt>
                <c:pt idx="22">
                  <c:v>13983017.966815624</c:v>
                </c:pt>
                <c:pt idx="23">
                  <c:v>11532988.998241039</c:v>
                </c:pt>
                <c:pt idx="24">
                  <c:v>11575122.225427974</c:v>
                </c:pt>
                <c:pt idx="25">
                  <c:v>8767069.6525246389</c:v>
                </c:pt>
                <c:pt idx="26">
                  <c:v>7397606.7573502352</c:v>
                </c:pt>
                <c:pt idx="27">
                  <c:v>8515203.5674618781</c:v>
                </c:pt>
                <c:pt idx="28">
                  <c:v>7812830.4062611479</c:v>
                </c:pt>
                <c:pt idx="29">
                  <c:v>6002338.9401241131</c:v>
                </c:pt>
                <c:pt idx="30">
                  <c:v>4563050.4978112085</c:v>
                </c:pt>
                <c:pt idx="31">
                  <c:v>4222913.7454817072</c:v>
                </c:pt>
                <c:pt idx="32">
                  <c:v>3837658.5985579151</c:v>
                </c:pt>
                <c:pt idx="33">
                  <c:v>3623809.2233967073</c:v>
                </c:pt>
                <c:pt idx="34">
                  <c:v>2963439.1270778314</c:v>
                </c:pt>
                <c:pt idx="35">
                  <c:v>3153268.6383610568</c:v>
                </c:pt>
                <c:pt idx="36">
                  <c:v>4101483.3329257257</c:v>
                </c:pt>
                <c:pt idx="37">
                  <c:v>4507615.1661352478</c:v>
                </c:pt>
                <c:pt idx="38">
                  <c:v>5080284.4190388098</c:v>
                </c:pt>
                <c:pt idx="39">
                  <c:v>3818553.5048293779</c:v>
                </c:pt>
                <c:pt idx="40">
                  <c:v>3994495.9563016212</c:v>
                </c:pt>
                <c:pt idx="41">
                  <c:v>3701789.1938833371</c:v>
                </c:pt>
                <c:pt idx="42">
                  <c:v>5930214.204673849</c:v>
                </c:pt>
                <c:pt idx="43">
                  <c:v>4901984.6923001232</c:v>
                </c:pt>
                <c:pt idx="44">
                  <c:v>6221608.9294811906</c:v>
                </c:pt>
                <c:pt idx="45">
                  <c:v>4958051.725452234</c:v>
                </c:pt>
                <c:pt idx="46">
                  <c:v>3903522.4764043004</c:v>
                </c:pt>
                <c:pt idx="47">
                  <c:v>3492420.1948288875</c:v>
                </c:pt>
                <c:pt idx="48">
                  <c:v>4032300.2720206846</c:v>
                </c:pt>
                <c:pt idx="49">
                  <c:v>3838559.0227896427</c:v>
                </c:pt>
              </c:numCache>
            </c:numRef>
          </c:val>
          <c:smooth val="0"/>
          <c:extLst>
            <c:ext xmlns:c16="http://schemas.microsoft.com/office/drawing/2014/chart" uri="{C3380CC4-5D6E-409C-BE32-E72D297353CC}">
              <c16:uniqueId val="{00000001-5B6C-AE46-9D1B-7E9CCFA8BC10}"/>
            </c:ext>
          </c:extLst>
        </c:ser>
        <c:dLbls>
          <c:showLegendKey val="0"/>
          <c:showVal val="0"/>
          <c:showCatName val="0"/>
          <c:showSerName val="0"/>
          <c:showPercent val="0"/>
          <c:showBubbleSize val="0"/>
        </c:dLbls>
        <c:marker val="1"/>
        <c:smooth val="0"/>
        <c:axId val="196797568"/>
        <c:axId val="196799104"/>
      </c:lineChart>
      <c:catAx>
        <c:axId val="1967897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96791680"/>
        <c:crosses val="autoZero"/>
        <c:auto val="0"/>
        <c:lblAlgn val="ctr"/>
        <c:lblOffset val="100"/>
        <c:tickLblSkip val="5"/>
        <c:tickMarkSkip val="1"/>
        <c:noMultiLvlLbl val="0"/>
      </c:catAx>
      <c:valAx>
        <c:axId val="196791680"/>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96789760"/>
        <c:crosses val="autoZero"/>
        <c:crossBetween val="between"/>
      </c:valAx>
      <c:catAx>
        <c:axId val="196797568"/>
        <c:scaling>
          <c:orientation val="minMax"/>
        </c:scaling>
        <c:delete val="1"/>
        <c:axPos val="b"/>
        <c:majorTickMark val="out"/>
        <c:minorTickMark val="none"/>
        <c:tickLblPos val="nextTo"/>
        <c:crossAx val="196799104"/>
        <c:crosses val="autoZero"/>
        <c:auto val="0"/>
        <c:lblAlgn val="ctr"/>
        <c:lblOffset val="100"/>
        <c:noMultiLvlLbl val="0"/>
      </c:catAx>
      <c:valAx>
        <c:axId val="196799104"/>
        <c:scaling>
          <c:orientation val="minMax"/>
        </c:scaling>
        <c:delete val="1"/>
        <c:axPos val="l"/>
        <c:numFmt formatCode="#,##0" sourceLinked="1"/>
        <c:majorTickMark val="out"/>
        <c:minorTickMark val="none"/>
        <c:tickLblPos val="nextTo"/>
        <c:crossAx val="196797568"/>
        <c:crosses val="autoZero"/>
        <c:crossBetween val="between"/>
      </c:valAx>
      <c:spPr>
        <a:solidFill>
          <a:srgbClr val="FFFFFF"/>
        </a:solidFill>
        <a:ln w="25400">
          <a:noFill/>
        </a:ln>
      </c:spPr>
    </c:plotArea>
    <c:legend>
      <c:legendPos val="r"/>
      <c:layout>
        <c:manualLayout>
          <c:xMode val="edge"/>
          <c:yMode val="edge"/>
          <c:x val="0.65973817141470459"/>
          <c:y val="4.7061605506858818E-2"/>
          <c:w val="0.25860605015613924"/>
          <c:h val="0.23237210914673403"/>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22" r="0.750000000000000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299"/>
          <c:y val="4.2701998788612971E-2"/>
          <c:w val="0.84709229022752541"/>
          <c:h val="0.91459600242277428"/>
        </c:manualLayout>
      </c:layout>
      <c:barChart>
        <c:barDir val="col"/>
        <c:grouping val="clustered"/>
        <c:varyColors val="0"/>
        <c:ser>
          <c:idx val="0"/>
          <c:order val="0"/>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075C-E444-8711-423F67560FFB}"/>
                </c:ext>
              </c:extLst>
            </c:dLbl>
            <c:dLbl>
              <c:idx val="3"/>
              <c:delete val="1"/>
              <c:extLst>
                <c:ext xmlns:c15="http://schemas.microsoft.com/office/drawing/2012/chart" uri="{CE6537A1-D6FC-4f65-9D91-7224C49458BB}"/>
                <c:ext xmlns:c16="http://schemas.microsoft.com/office/drawing/2014/chart" uri="{C3380CC4-5D6E-409C-BE32-E72D297353CC}">
                  <c16:uniqueId val="{00000001-075C-E444-8711-423F67560FFB}"/>
                </c:ext>
              </c:extLst>
            </c:dLbl>
            <c:dLbl>
              <c:idx val="17"/>
              <c:delete val="1"/>
              <c:extLst>
                <c:ext xmlns:c15="http://schemas.microsoft.com/office/drawing/2012/chart" uri="{CE6537A1-D6FC-4f65-9D91-7224C49458BB}"/>
                <c:ext xmlns:c16="http://schemas.microsoft.com/office/drawing/2014/chart" uri="{C3380CC4-5D6E-409C-BE32-E72D297353CC}">
                  <c16:uniqueId val="{00000002-075C-E444-8711-423F67560FFB}"/>
                </c:ext>
              </c:extLst>
            </c:dLbl>
            <c:dLbl>
              <c:idx val="21"/>
              <c:delete val="1"/>
              <c:extLst>
                <c:ext xmlns:c15="http://schemas.microsoft.com/office/drawing/2012/chart" uri="{CE6537A1-D6FC-4f65-9D91-7224C49458BB}"/>
                <c:ext xmlns:c16="http://schemas.microsoft.com/office/drawing/2014/chart" uri="{C3380CC4-5D6E-409C-BE32-E72D297353CC}">
                  <c16:uniqueId val="{00000003-075C-E444-8711-423F67560FFB}"/>
                </c:ext>
              </c:extLst>
            </c:dLbl>
            <c:dLbl>
              <c:idx val="34"/>
              <c:delete val="1"/>
              <c:extLst>
                <c:ext xmlns:c15="http://schemas.microsoft.com/office/drawing/2012/chart" uri="{CE6537A1-D6FC-4f65-9D91-7224C49458BB}"/>
                <c:ext xmlns:c16="http://schemas.microsoft.com/office/drawing/2014/chart" uri="{C3380CC4-5D6E-409C-BE32-E72D297353CC}">
                  <c16:uniqueId val="{00000004-075C-E444-8711-423F67560FFB}"/>
                </c:ext>
              </c:extLst>
            </c:dLbl>
            <c:dLbl>
              <c:idx val="36"/>
              <c:delete val="1"/>
              <c:extLst>
                <c:ext xmlns:c15="http://schemas.microsoft.com/office/drawing/2012/chart" uri="{CE6537A1-D6FC-4f65-9D91-7224C49458BB}"/>
                <c:ext xmlns:c16="http://schemas.microsoft.com/office/drawing/2014/chart" uri="{C3380CC4-5D6E-409C-BE32-E72D297353CC}">
                  <c16:uniqueId val="{00000005-075C-E444-8711-423F67560FFB}"/>
                </c:ext>
              </c:extLst>
            </c:dLbl>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Lag1_Exp_smoothing_Harvest!$A$10:$A$59</c:f>
              <c:numCache>
                <c:formatCode>General</c:formatCode>
                <c:ptCount val="50"/>
                <c:pt idx="0">
                  <c:v>1964</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numCache>
            </c:numRef>
          </c:cat>
          <c:val>
            <c:numRef>
              <c:f>Lag1_Exp_smoothing_Harvest!$F$10:$F$59</c:f>
              <c:numCache>
                <c:formatCode>0%</c:formatCode>
                <c:ptCount val="50"/>
                <c:pt idx="0">
                  <c:v>0.51308337005495119</c:v>
                </c:pt>
                <c:pt idx="1">
                  <c:v>1.3585288261203849</c:v>
                </c:pt>
                <c:pt idx="2">
                  <c:v>0.82718244938428198</c:v>
                </c:pt>
                <c:pt idx="3">
                  <c:v>0.6565445570421542</c:v>
                </c:pt>
                <c:pt idx="4">
                  <c:v>0.59102540441559948</c:v>
                </c:pt>
                <c:pt idx="5">
                  <c:v>-0.27019598840915615</c:v>
                </c:pt>
                <c:pt idx="6">
                  <c:v>0.37501434345930701</c:v>
                </c:pt>
                <c:pt idx="7">
                  <c:v>-0.50905657465314846</c:v>
                </c:pt>
                <c:pt idx="8">
                  <c:v>82.215268686647605</c:v>
                </c:pt>
                <c:pt idx="9">
                  <c:v>-0.53693151756488444</c:v>
                </c:pt>
                <c:pt idx="10">
                  <c:v>79.46434042865836</c:v>
                </c:pt>
                <c:pt idx="11">
                  <c:v>0.59174815704496175</c:v>
                </c:pt>
                <c:pt idx="12">
                  <c:v>5.588987338037529</c:v>
                </c:pt>
                <c:pt idx="13">
                  <c:v>-0.46412837057242662</c:v>
                </c:pt>
                <c:pt idx="14">
                  <c:v>-0.10927895813979886</c:v>
                </c:pt>
                <c:pt idx="15">
                  <c:v>-0.79814016781280728</c:v>
                </c:pt>
                <c:pt idx="16">
                  <c:v>-0.54217858800816876</c:v>
                </c:pt>
                <c:pt idx="17">
                  <c:v>-0.55528420190802585</c:v>
                </c:pt>
                <c:pt idx="18">
                  <c:v>-0.31372467839066448</c:v>
                </c:pt>
                <c:pt idx="19">
                  <c:v>0.20008837638077345</c:v>
                </c:pt>
                <c:pt idx="20">
                  <c:v>-0.37729042737304075</c:v>
                </c:pt>
                <c:pt idx="21">
                  <c:v>-0.27730138126854176</c:v>
                </c:pt>
                <c:pt idx="22">
                  <c:v>2.0543791428779681</c:v>
                </c:pt>
                <c:pt idx="23">
                  <c:v>-1.3829993787709709E-2</c:v>
                </c:pt>
                <c:pt idx="24">
                  <c:v>13.545777214362875</c:v>
                </c:pt>
                <c:pt idx="25">
                  <c:v>1.4976879839355635</c:v>
                </c:pt>
                <c:pt idx="26">
                  <c:v>-0.36706360704194696</c:v>
                </c:pt>
                <c:pt idx="27">
                  <c:v>0.46334885393427411</c:v>
                </c:pt>
                <c:pt idx="28">
                  <c:v>8.0547217073048358</c:v>
                </c:pt>
                <c:pt idx="29">
                  <c:v>11.575557906994131</c:v>
                </c:pt>
                <c:pt idx="30">
                  <c:v>0.40084402691113735</c:v>
                </c:pt>
                <c:pt idx="31">
                  <c:v>0.53894927503611745</c:v>
                </c:pt>
                <c:pt idx="32">
                  <c:v>0.27211730195581901</c:v>
                </c:pt>
                <c:pt idx="33">
                  <c:v>2.3281741683688399</c:v>
                </c:pt>
                <c:pt idx="34">
                  <c:v>-0.19736610226694051</c:v>
                </c:pt>
                <c:pt idx="35">
                  <c:v>-0.53582032192437878</c:v>
                </c:pt>
                <c:pt idx="36">
                  <c:v>-0.27542197448787314</c:v>
                </c:pt>
                <c:pt idx="37">
                  <c:v>-0.32781722114057366</c:v>
                </c:pt>
                <c:pt idx="38">
                  <c:v>20.450049892415379</c:v>
                </c:pt>
                <c:pt idx="39">
                  <c:v>-0.15028992696880805</c:v>
                </c:pt>
                <c:pt idx="40">
                  <c:v>0.39138657775973384</c:v>
                </c:pt>
                <c:pt idx="41">
                  <c:v>-0.69796369713647566</c:v>
                </c:pt>
                <c:pt idx="42">
                  <c:v>1.9903445395136903</c:v>
                </c:pt>
                <c:pt idx="43">
                  <c:v>-0.50821124772199922</c:v>
                </c:pt>
                <c:pt idx="44">
                  <c:v>3.5374902610799097</c:v>
                </c:pt>
                <c:pt idx="45">
                  <c:v>4.4484043009439063</c:v>
                </c:pt>
                <c:pt idx="46">
                  <c:v>0.6786364966594961</c:v>
                </c:pt>
                <c:pt idx="47">
                  <c:v>-0.37241690963497504</c:v>
                </c:pt>
                <c:pt idx="48">
                  <c:v>0.22615229160799286</c:v>
                </c:pt>
                <c:pt idx="49">
                  <c:v>-0.77769684600835776</c:v>
                </c:pt>
              </c:numCache>
            </c:numRef>
          </c:val>
          <c:extLst>
            <c:ext xmlns:c16="http://schemas.microsoft.com/office/drawing/2014/chart" uri="{C3380CC4-5D6E-409C-BE32-E72D297353CC}">
              <c16:uniqueId val="{00000006-075C-E444-8711-423F67560FFB}"/>
            </c:ext>
          </c:extLst>
        </c:ser>
        <c:dLbls>
          <c:showLegendKey val="0"/>
          <c:showVal val="0"/>
          <c:showCatName val="0"/>
          <c:showSerName val="0"/>
          <c:showPercent val="0"/>
          <c:showBubbleSize val="0"/>
        </c:dLbls>
        <c:gapWidth val="150"/>
        <c:axId val="197200896"/>
        <c:axId val="197231360"/>
      </c:barChart>
      <c:catAx>
        <c:axId val="197200896"/>
        <c:scaling>
          <c:orientation val="minMax"/>
        </c:scaling>
        <c:delete val="0"/>
        <c:axPos val="b"/>
        <c:numFmt formatCode="General" sourceLinked="1"/>
        <c:majorTickMark val="out"/>
        <c:minorTickMark val="none"/>
        <c:tickLblPos val="low"/>
        <c:txPr>
          <a:bodyPr rot="0" vert="horz"/>
          <a:lstStyle/>
          <a:p>
            <a:pPr>
              <a:defRPr sz="1100" b="0" i="0" u="none" strike="noStrike" baseline="0">
                <a:solidFill>
                  <a:srgbClr val="000000"/>
                </a:solidFill>
                <a:latin typeface="Arial"/>
                <a:ea typeface="Arial"/>
                <a:cs typeface="Arial"/>
              </a:defRPr>
            </a:pPr>
            <a:endParaRPr lang="en-US"/>
          </a:p>
        </c:txPr>
        <c:crossAx val="197231360"/>
        <c:crosses val="autoZero"/>
        <c:auto val="1"/>
        <c:lblAlgn val="ctr"/>
        <c:lblOffset val="100"/>
        <c:tickLblSkip val="5"/>
        <c:noMultiLvlLbl val="0"/>
      </c:catAx>
      <c:valAx>
        <c:axId val="197231360"/>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197200896"/>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Wild PWS Pink salmon</a:t>
            </a:r>
          </a:p>
        </c:rich>
      </c:tx>
      <c:overlay val="1"/>
    </c:title>
    <c:autoTitleDeleted val="0"/>
    <c:plotArea>
      <c:layout>
        <c:manualLayout>
          <c:layoutTarget val="inner"/>
          <c:xMode val="edge"/>
          <c:yMode val="edge"/>
          <c:x val="0.12488300585389264"/>
          <c:y val="3.8668176511380895E-2"/>
          <c:w val="0.90598887446313014"/>
          <c:h val="0.78317698116659384"/>
        </c:manualLayout>
      </c:layout>
      <c:barChart>
        <c:barDir val="col"/>
        <c:grouping val="clustered"/>
        <c:varyColors val="0"/>
        <c:ser>
          <c:idx val="1"/>
          <c:order val="0"/>
          <c:spPr>
            <a:solidFill>
              <a:srgbClr val="FFFFFF"/>
            </a:solidFill>
            <a:ln w="12700">
              <a:solidFill>
                <a:srgbClr val="000000"/>
              </a:solidFill>
              <a:prstDash val="solid"/>
            </a:ln>
          </c:spPr>
          <c:invertIfNegative val="0"/>
          <c:cat>
            <c:numRef>
              <c:f>'Lag1_Exp_smoothing_Total Run'!$A$10:$A$60</c:f>
              <c:numCache>
                <c:formatCode>General</c:formatCode>
                <c:ptCount val="51"/>
                <c:pt idx="0">
                  <c:v>1964</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numCache>
            </c:numRef>
          </c:cat>
          <c:val>
            <c:numRef>
              <c:f>'Lag1_Exp_smoothing_Total Run'!$B$10:$B$60</c:f>
              <c:numCache>
                <c:formatCode>#,##0</c:formatCode>
                <c:ptCount val="51"/>
                <c:pt idx="0">
                  <c:v>6048576</c:v>
                </c:pt>
                <c:pt idx="1">
                  <c:v>3436427</c:v>
                </c:pt>
                <c:pt idx="2">
                  <c:v>4122588</c:v>
                </c:pt>
                <c:pt idx="3">
                  <c:v>3468600</c:v>
                </c:pt>
                <c:pt idx="4">
                  <c:v>3608678</c:v>
                </c:pt>
                <c:pt idx="5">
                  <c:v>5233149</c:v>
                </c:pt>
                <c:pt idx="6">
                  <c:v>3789216</c:v>
                </c:pt>
                <c:pt idx="7">
                  <c:v>8423514</c:v>
                </c:pt>
                <c:pt idx="8">
                  <c:v>695963</c:v>
                </c:pt>
                <c:pt idx="9">
                  <c:v>8535974</c:v>
                </c:pt>
                <c:pt idx="10">
                  <c:v>1012903</c:v>
                </c:pt>
                <c:pt idx="11">
                  <c:v>3322438</c:v>
                </c:pt>
                <c:pt idx="12">
                  <c:v>1161051</c:v>
                </c:pt>
                <c:pt idx="13">
                  <c:v>5816401</c:v>
                </c:pt>
                <c:pt idx="14">
                  <c:v>3925083</c:v>
                </c:pt>
                <c:pt idx="15">
                  <c:v>17335503</c:v>
                </c:pt>
                <c:pt idx="16">
                  <c:v>14013916</c:v>
                </c:pt>
                <c:pt idx="17">
                  <c:v>19568866</c:v>
                </c:pt>
                <c:pt idx="18">
                  <c:v>16794317</c:v>
                </c:pt>
                <c:pt idx="19">
                  <c:v>11567348</c:v>
                </c:pt>
                <c:pt idx="20">
                  <c:v>21201513</c:v>
                </c:pt>
                <c:pt idx="21">
                  <c:v>19938105</c:v>
                </c:pt>
                <c:pt idx="22">
                  <c:v>5563957</c:v>
                </c:pt>
                <c:pt idx="23">
                  <c:v>13066944</c:v>
                </c:pt>
                <c:pt idx="24">
                  <c:v>1766936</c:v>
                </c:pt>
                <c:pt idx="25">
                  <c:v>4743750</c:v>
                </c:pt>
                <c:pt idx="26">
                  <c:v>12923662</c:v>
                </c:pt>
                <c:pt idx="27">
                  <c:v>7544776</c:v>
                </c:pt>
                <c:pt idx="28">
                  <c:v>1405383</c:v>
                </c:pt>
                <c:pt idx="29">
                  <c:v>1542942</c:v>
                </c:pt>
                <c:pt idx="30">
                  <c:v>4666639</c:v>
                </c:pt>
                <c:pt idx="31">
                  <c:v>3934208</c:v>
                </c:pt>
                <c:pt idx="32">
                  <c:v>4500085</c:v>
                </c:pt>
                <c:pt idx="33">
                  <c:v>2588682</c:v>
                </c:pt>
                <c:pt idx="34">
                  <c:v>5274275.5</c:v>
                </c:pt>
                <c:pt idx="35">
                  <c:v>9405198</c:v>
                </c:pt>
                <c:pt idx="36">
                  <c:v>7389941</c:v>
                </c:pt>
                <c:pt idx="37">
                  <c:v>8854676.9808041956</c:v>
                </c:pt>
                <c:pt idx="38">
                  <c:v>1264645.3102025923</c:v>
                </c:pt>
                <c:pt idx="39">
                  <c:v>7344511.9398193061</c:v>
                </c:pt>
                <c:pt idx="40">
                  <c:v>4939431.0563474381</c:v>
                </c:pt>
                <c:pt idx="41">
                  <c:v>17032487.685321052</c:v>
                </c:pt>
                <c:pt idx="42">
                  <c:v>3314702.7753436686</c:v>
                </c:pt>
                <c:pt idx="43">
                  <c:v>11526987.795003444</c:v>
                </c:pt>
                <c:pt idx="44">
                  <c:v>2290691.6775990888</c:v>
                </c:pt>
                <c:pt idx="45">
                  <c:v>2824330.6070667375</c:v>
                </c:pt>
                <c:pt idx="46">
                  <c:v>4399390.7272172375</c:v>
                </c:pt>
                <c:pt idx="47">
                  <c:v>9643099</c:v>
                </c:pt>
                <c:pt idx="48">
                  <c:v>4428267.5450134957</c:v>
                </c:pt>
                <c:pt idx="49">
                  <c:v>21965453</c:v>
                </c:pt>
                <c:pt idx="50">
                  <c:v>2702397</c:v>
                </c:pt>
              </c:numCache>
            </c:numRef>
          </c:val>
          <c:extLst>
            <c:ext xmlns:c16="http://schemas.microsoft.com/office/drawing/2014/chart" uri="{C3380CC4-5D6E-409C-BE32-E72D297353CC}">
              <c16:uniqueId val="{00000000-19BC-BD4C-86F8-38E56C4C9F24}"/>
            </c:ext>
          </c:extLst>
        </c:ser>
        <c:dLbls>
          <c:showLegendKey val="0"/>
          <c:showVal val="0"/>
          <c:showCatName val="0"/>
          <c:showSerName val="0"/>
          <c:showPercent val="0"/>
          <c:showBubbleSize val="0"/>
        </c:dLbls>
        <c:gapWidth val="150"/>
        <c:axId val="196947968"/>
        <c:axId val="196949888"/>
      </c:barChart>
      <c:lineChart>
        <c:grouping val="standard"/>
        <c:varyColors val="0"/>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val>
            <c:numRef>
              <c:f>'Lag1_Exp_smoothing_Total Run'!$C$10:$C$60</c:f>
              <c:numCache>
                <c:formatCode>#,##0</c:formatCode>
                <c:ptCount val="51"/>
                <c:pt idx="0">
                  <c:v>7728618.9685124028</c:v>
                </c:pt>
                <c:pt idx="1">
                  <c:v>6906835.5579547249</c:v>
                </c:pt>
                <c:pt idx="2">
                  <c:v>5209305.0577022033</c:v>
                </c:pt>
                <c:pt idx="3">
                  <c:v>4677743.6234250367</c:v>
                </c:pt>
                <c:pt idx="4">
                  <c:v>4086297.9346328452</c:v>
                </c:pt>
                <c:pt idx="5">
                  <c:v>3852672.8749235366</c:v>
                </c:pt>
                <c:pt idx="6">
                  <c:v>4527924.8771168431</c:v>
                </c:pt>
                <c:pt idx="7">
                  <c:v>4166589.6542541599</c:v>
                </c:pt>
                <c:pt idx="8">
                  <c:v>6248839.8543371875</c:v>
                </c:pt>
                <c:pt idx="9">
                  <c:v>3532681.8957079751</c:v>
                </c:pt>
                <c:pt idx="10">
                  <c:v>5980013.6167067848</c:v>
                </c:pt>
                <c:pt idx="11">
                  <c:v>3550379.8634529174</c:v>
                </c:pt>
                <c:pt idx="12">
                  <c:v>3438883.4044527807</c:v>
                </c:pt>
                <c:pt idx="13">
                  <c:v>2324694.7098222687</c:v>
                </c:pt>
                <c:pt idx="14">
                  <c:v>4032642.8739985079</c:v>
                </c:pt>
                <c:pt idx="15">
                  <c:v>3980030.5767238056</c:v>
                </c:pt>
                <c:pt idx="16">
                  <c:v>10512783.537993032</c:v>
                </c:pt>
                <c:pt idx="17">
                  <c:v>12225342.460215058</c:v>
                </c:pt>
                <c:pt idx="18">
                  <c:v>15817385.005042698</c:v>
                </c:pt>
                <c:pt idx="19">
                  <c:v>16295245.703694824</c:v>
                </c:pt>
                <c:pt idx="20">
                  <c:v>13982621.5788783</c:v>
                </c:pt>
                <c:pt idx="21">
                  <c:v>17513701.035582781</c:v>
                </c:pt>
                <c:pt idx="22">
                  <c:v>18699584.370586086</c:v>
                </c:pt>
                <c:pt idx="23">
                  <c:v>12274367.359634774</c:v>
                </c:pt>
                <c:pt idx="24">
                  <c:v>12662051.690842327</c:v>
                </c:pt>
                <c:pt idx="25">
                  <c:v>7332768.155452325</c:v>
                </c:pt>
                <c:pt idx="26">
                  <c:v>6066364.7302665636</c:v>
                </c:pt>
                <c:pt idx="27">
                  <c:v>9420572.4756310247</c:v>
                </c:pt>
                <c:pt idx="28">
                  <c:v>8503037.3565018624</c:v>
                </c:pt>
                <c:pt idx="29">
                  <c:v>5031260.3166501531</c:v>
                </c:pt>
                <c:pt idx="30">
                  <c:v>3324969.360350471</c:v>
                </c:pt>
                <c:pt idx="31">
                  <c:v>3981239.3921158779</c:v>
                </c:pt>
                <c:pt idx="32">
                  <c:v>3958234.2556160158</c:v>
                </c:pt>
                <c:pt idx="33">
                  <c:v>4223277.4486049227</c:v>
                </c:pt>
                <c:pt idx="34">
                  <c:v>3423724.4325138964</c:v>
                </c:pt>
                <c:pt idx="35">
                  <c:v>4328910.9046173077</c:v>
                </c:pt>
                <c:pt idx="36">
                  <c:v>6811947.7080791164</c:v>
                </c:pt>
                <c:pt idx="37">
                  <c:v>7094669.8215110023</c:v>
                </c:pt>
                <c:pt idx="38">
                  <c:v>7955567.2587060537</c:v>
                </c:pt>
                <c:pt idx="39">
                  <c:v>4682741.0502876742</c:v>
                </c:pt>
                <c:pt idx="40">
                  <c:v>5984731.0593046993</c:v>
                </c:pt>
                <c:pt idx="41">
                  <c:v>5473428.5405085385</c:v>
                </c:pt>
                <c:pt idx="42">
                  <c:v>11127476.219582427</c:v>
                </c:pt>
                <c:pt idx="43">
                  <c:v>7305902.7674427154</c:v>
                </c:pt>
                <c:pt idx="44">
                  <c:v>9370622.3699861448</c:v>
                </c:pt>
                <c:pt idx="45">
                  <c:v>5907514.7590816841</c:v>
                </c:pt>
                <c:pt idx="46">
                  <c:v>4399392.8626139369</c:v>
                </c:pt>
                <c:pt idx="47">
                  <c:v>4399391.8180968538</c:v>
                </c:pt>
                <c:pt idx="48">
                  <c:v>6964321.1994719896</c:v>
                </c:pt>
                <c:pt idx="49">
                  <c:v>5723825.0570646767</c:v>
                </c:pt>
                <c:pt idx="50">
                  <c:v>13668324.486012325</c:v>
                </c:pt>
              </c:numCache>
            </c:numRef>
          </c:val>
          <c:smooth val="0"/>
          <c:extLst>
            <c:ext xmlns:c16="http://schemas.microsoft.com/office/drawing/2014/chart" uri="{C3380CC4-5D6E-409C-BE32-E72D297353CC}">
              <c16:uniqueId val="{00000001-19BC-BD4C-86F8-38E56C4C9F24}"/>
            </c:ext>
          </c:extLst>
        </c:ser>
        <c:dLbls>
          <c:showLegendKey val="0"/>
          <c:showVal val="0"/>
          <c:showCatName val="0"/>
          <c:showSerName val="0"/>
          <c:showPercent val="0"/>
          <c:showBubbleSize val="0"/>
        </c:dLbls>
        <c:marker val="1"/>
        <c:smooth val="0"/>
        <c:axId val="196951424"/>
        <c:axId val="196969600"/>
      </c:lineChart>
      <c:catAx>
        <c:axId val="1969479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196949888"/>
        <c:crosses val="autoZero"/>
        <c:auto val="0"/>
        <c:lblAlgn val="ctr"/>
        <c:lblOffset val="100"/>
        <c:tickLblSkip val="2"/>
        <c:tickMarkSkip val="1"/>
        <c:noMultiLvlLbl val="0"/>
      </c:catAx>
      <c:valAx>
        <c:axId val="196949888"/>
        <c:scaling>
          <c:orientation val="minMax"/>
        </c:scaling>
        <c:delete val="0"/>
        <c:axPos val="l"/>
        <c:numFmt formatCode="#,##0" sourceLinked="1"/>
        <c:majorTickMark val="cross"/>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96947968"/>
        <c:crosses val="autoZero"/>
        <c:crossBetween val="between"/>
      </c:valAx>
      <c:catAx>
        <c:axId val="196951424"/>
        <c:scaling>
          <c:orientation val="minMax"/>
        </c:scaling>
        <c:delete val="1"/>
        <c:axPos val="b"/>
        <c:majorTickMark val="out"/>
        <c:minorTickMark val="none"/>
        <c:tickLblPos val="nextTo"/>
        <c:crossAx val="196969600"/>
        <c:crosses val="autoZero"/>
        <c:auto val="0"/>
        <c:lblAlgn val="ctr"/>
        <c:lblOffset val="100"/>
        <c:noMultiLvlLbl val="0"/>
      </c:catAx>
      <c:valAx>
        <c:axId val="196969600"/>
        <c:scaling>
          <c:orientation val="minMax"/>
        </c:scaling>
        <c:delete val="1"/>
        <c:axPos val="l"/>
        <c:numFmt formatCode="#,##0" sourceLinked="1"/>
        <c:majorTickMark val="out"/>
        <c:minorTickMark val="none"/>
        <c:tickLblPos val="nextTo"/>
        <c:crossAx val="196951424"/>
        <c:crosses val="autoZero"/>
        <c:crossBetween val="between"/>
      </c:valAx>
      <c:spPr>
        <a:solidFill>
          <a:srgbClr val="FFFFFF"/>
        </a:solidFill>
        <a:ln w="25400">
          <a:noFill/>
        </a:ln>
      </c:spPr>
    </c:plotArea>
    <c:legend>
      <c:legendPos val="r"/>
      <c:layout>
        <c:manualLayout>
          <c:xMode val="edge"/>
          <c:yMode val="edge"/>
          <c:x val="0.65973813618125321"/>
          <c:y val="4.7061670482679029E-2"/>
          <c:w val="0.25860608803209939"/>
          <c:h val="0.23237219461042544"/>
        </c:manualLayout>
      </c:layout>
      <c:overlay val="0"/>
      <c:spPr>
        <a:solidFill>
          <a:srgbClr val="FFFFFF"/>
        </a:solidFill>
        <a:ln w="25400">
          <a:noFill/>
        </a:ln>
      </c:spPr>
      <c:txPr>
        <a:bodyPr/>
        <a:lstStyle/>
        <a:p>
          <a:pPr>
            <a:defRPr sz="1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03654412830299"/>
          <c:y val="4.2701998788612965E-2"/>
          <c:w val="0.84709229022752519"/>
          <c:h val="0.91459600242277406"/>
        </c:manualLayout>
      </c:layout>
      <c:barChart>
        <c:barDir val="col"/>
        <c:grouping val="clustered"/>
        <c:varyColors val="0"/>
        <c:ser>
          <c:idx val="0"/>
          <c:order val="0"/>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D86E-1045-ACDF-F756F534EE75}"/>
                </c:ext>
              </c:extLst>
            </c:dLbl>
            <c:dLbl>
              <c:idx val="3"/>
              <c:delete val="1"/>
              <c:extLst>
                <c:ext xmlns:c15="http://schemas.microsoft.com/office/drawing/2012/chart" uri="{CE6537A1-D6FC-4f65-9D91-7224C49458BB}"/>
                <c:ext xmlns:c16="http://schemas.microsoft.com/office/drawing/2014/chart" uri="{C3380CC4-5D6E-409C-BE32-E72D297353CC}">
                  <c16:uniqueId val="{00000001-D86E-1045-ACDF-F756F534EE75}"/>
                </c:ext>
              </c:extLst>
            </c:dLbl>
            <c:dLbl>
              <c:idx val="17"/>
              <c:delete val="1"/>
              <c:extLst>
                <c:ext xmlns:c15="http://schemas.microsoft.com/office/drawing/2012/chart" uri="{CE6537A1-D6FC-4f65-9D91-7224C49458BB}"/>
                <c:ext xmlns:c16="http://schemas.microsoft.com/office/drawing/2014/chart" uri="{C3380CC4-5D6E-409C-BE32-E72D297353CC}">
                  <c16:uniqueId val="{00000002-D86E-1045-ACDF-F756F534EE75}"/>
                </c:ext>
              </c:extLst>
            </c:dLbl>
            <c:dLbl>
              <c:idx val="21"/>
              <c:delete val="1"/>
              <c:extLst>
                <c:ext xmlns:c15="http://schemas.microsoft.com/office/drawing/2012/chart" uri="{CE6537A1-D6FC-4f65-9D91-7224C49458BB}"/>
                <c:ext xmlns:c16="http://schemas.microsoft.com/office/drawing/2014/chart" uri="{C3380CC4-5D6E-409C-BE32-E72D297353CC}">
                  <c16:uniqueId val="{00000003-D86E-1045-ACDF-F756F534EE75}"/>
                </c:ext>
              </c:extLst>
            </c:dLbl>
            <c:dLbl>
              <c:idx val="34"/>
              <c:delete val="1"/>
              <c:extLst>
                <c:ext xmlns:c15="http://schemas.microsoft.com/office/drawing/2012/chart" uri="{CE6537A1-D6FC-4f65-9D91-7224C49458BB}"/>
                <c:ext xmlns:c16="http://schemas.microsoft.com/office/drawing/2014/chart" uri="{C3380CC4-5D6E-409C-BE32-E72D297353CC}">
                  <c16:uniqueId val="{00000004-D86E-1045-ACDF-F756F534EE75}"/>
                </c:ext>
              </c:extLst>
            </c:dLbl>
            <c:dLbl>
              <c:idx val="36"/>
              <c:delete val="1"/>
              <c:extLst>
                <c:ext xmlns:c15="http://schemas.microsoft.com/office/drawing/2012/chart" uri="{CE6537A1-D6FC-4f65-9D91-7224C49458BB}"/>
                <c:ext xmlns:c16="http://schemas.microsoft.com/office/drawing/2014/chart" uri="{C3380CC4-5D6E-409C-BE32-E72D297353CC}">
                  <c16:uniqueId val="{00000005-D86E-1045-ACDF-F756F534EE75}"/>
                </c:ext>
              </c:extLst>
            </c:dLbl>
            <c:spPr>
              <a:noFill/>
              <a:ln>
                <a:noFill/>
              </a:ln>
              <a:effectLst/>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'Lag1_Exp_smoothing_Total Run'!$A$10:$A$60</c:f>
              <c:numCache>
                <c:formatCode>General</c:formatCode>
                <c:ptCount val="51"/>
                <c:pt idx="0">
                  <c:v>1964</c:v>
                </c:pt>
                <c:pt idx="1">
                  <c:v>1965</c:v>
                </c:pt>
                <c:pt idx="2">
                  <c:v>1966</c:v>
                </c:pt>
                <c:pt idx="3">
                  <c:v>1967</c:v>
                </c:pt>
                <c:pt idx="4">
                  <c:v>1968</c:v>
                </c:pt>
                <c:pt idx="5">
                  <c:v>1969</c:v>
                </c:pt>
                <c:pt idx="6">
                  <c:v>1970</c:v>
                </c:pt>
                <c:pt idx="7">
                  <c:v>1971</c:v>
                </c:pt>
                <c:pt idx="8">
                  <c:v>1972</c:v>
                </c:pt>
                <c:pt idx="9">
                  <c:v>1973</c:v>
                </c:pt>
                <c:pt idx="10">
                  <c:v>1974</c:v>
                </c:pt>
                <c:pt idx="11">
                  <c:v>1975</c:v>
                </c:pt>
                <c:pt idx="12">
                  <c:v>1976</c:v>
                </c:pt>
                <c:pt idx="13">
                  <c:v>1977</c:v>
                </c:pt>
                <c:pt idx="14">
                  <c:v>1978</c:v>
                </c:pt>
                <c:pt idx="15">
                  <c:v>1979</c:v>
                </c:pt>
                <c:pt idx="16">
                  <c:v>1980</c:v>
                </c:pt>
                <c:pt idx="17">
                  <c:v>1981</c:v>
                </c:pt>
                <c:pt idx="18">
                  <c:v>1982</c:v>
                </c:pt>
                <c:pt idx="19">
                  <c:v>1983</c:v>
                </c:pt>
                <c:pt idx="20">
                  <c:v>1984</c:v>
                </c:pt>
                <c:pt idx="21">
                  <c:v>1985</c:v>
                </c:pt>
                <c:pt idx="22">
                  <c:v>1986</c:v>
                </c:pt>
                <c:pt idx="23">
                  <c:v>1987</c:v>
                </c:pt>
                <c:pt idx="24">
                  <c:v>1988</c:v>
                </c:pt>
                <c:pt idx="25">
                  <c:v>1989</c:v>
                </c:pt>
                <c:pt idx="26">
                  <c:v>1990</c:v>
                </c:pt>
                <c:pt idx="27">
                  <c:v>1991</c:v>
                </c:pt>
                <c:pt idx="28">
                  <c:v>1992</c:v>
                </c:pt>
                <c:pt idx="29">
                  <c:v>1993</c:v>
                </c:pt>
                <c:pt idx="30">
                  <c:v>1994</c:v>
                </c:pt>
                <c:pt idx="31">
                  <c:v>1995</c:v>
                </c:pt>
                <c:pt idx="32">
                  <c:v>1996</c:v>
                </c:pt>
                <c:pt idx="33">
                  <c:v>1997</c:v>
                </c:pt>
                <c:pt idx="34">
                  <c:v>1998</c:v>
                </c:pt>
                <c:pt idx="35">
                  <c:v>1999</c:v>
                </c:pt>
                <c:pt idx="36">
                  <c:v>2000</c:v>
                </c:pt>
                <c:pt idx="37">
                  <c:v>2001</c:v>
                </c:pt>
                <c:pt idx="38">
                  <c:v>2002</c:v>
                </c:pt>
                <c:pt idx="39">
                  <c:v>2003</c:v>
                </c:pt>
                <c:pt idx="40">
                  <c:v>2004</c:v>
                </c:pt>
                <c:pt idx="41">
                  <c:v>2005</c:v>
                </c:pt>
                <c:pt idx="42">
                  <c:v>2006</c:v>
                </c:pt>
                <c:pt idx="43">
                  <c:v>2007</c:v>
                </c:pt>
                <c:pt idx="44">
                  <c:v>2008</c:v>
                </c:pt>
                <c:pt idx="45">
                  <c:v>2009</c:v>
                </c:pt>
                <c:pt idx="46">
                  <c:v>2010</c:v>
                </c:pt>
                <c:pt idx="47">
                  <c:v>2011</c:v>
                </c:pt>
                <c:pt idx="48">
                  <c:v>2012</c:v>
                </c:pt>
                <c:pt idx="49">
                  <c:v>2013</c:v>
                </c:pt>
                <c:pt idx="50">
                  <c:v>2014</c:v>
                </c:pt>
              </c:numCache>
            </c:numRef>
          </c:cat>
          <c:val>
            <c:numRef>
              <c:f>'Lag1_Exp_smoothing_Total Run'!$F$10:$F$60</c:f>
              <c:numCache>
                <c:formatCode>0%</c:formatCode>
                <c:ptCount val="51"/>
                <c:pt idx="0">
                  <c:v>0.27775842917612392</c:v>
                </c:pt>
                <c:pt idx="1">
                  <c:v>1.0098886308234467</c:v>
                </c:pt>
                <c:pt idx="2">
                  <c:v>0.26360069395782537</c:v>
                </c:pt>
                <c:pt idx="3">
                  <c:v>0.34859701995763037</c:v>
                </c:pt>
                <c:pt idx="4">
                  <c:v>0.13235315942094175</c:v>
                </c:pt>
                <c:pt idx="5">
                  <c:v>-0.26379453844644274</c:v>
                </c:pt>
                <c:pt idx="6">
                  <c:v>0.19495032141657881</c:v>
                </c:pt>
                <c:pt idx="7">
                  <c:v>-0.50536205504565435</c:v>
                </c:pt>
                <c:pt idx="8">
                  <c:v>7.9786954972278519</c:v>
                </c:pt>
                <c:pt idx="9">
                  <c:v>-0.5861419100259706</c:v>
                </c:pt>
                <c:pt idx="10">
                  <c:v>4.9038364154383833</c:v>
                </c:pt>
                <c:pt idx="11">
                  <c:v>6.8606807246039639E-2</c:v>
                </c:pt>
                <c:pt idx="12">
                  <c:v>1.9618711016594281</c:v>
                </c:pt>
                <c:pt idx="13">
                  <c:v>-0.60032076367804266</c:v>
                </c:pt>
                <c:pt idx="14">
                  <c:v>2.7403210071865452E-2</c:v>
                </c:pt>
                <c:pt idx="15">
                  <c:v>-0.77041158963060918</c:v>
                </c:pt>
                <c:pt idx="16">
                  <c:v>-0.2498325565821122</c:v>
                </c:pt>
                <c:pt idx="17">
                  <c:v>-0.37526566637969427</c:v>
                </c:pt>
                <c:pt idx="18">
                  <c:v>-5.8170391505489728E-2</c:v>
                </c:pt>
                <c:pt idx="19">
                  <c:v>0.40872788678051564</c:v>
                </c:pt>
                <c:pt idx="20">
                  <c:v>-0.34048944625422251</c:v>
                </c:pt>
                <c:pt idx="21">
                  <c:v>-0.12159650901714175</c:v>
                </c:pt>
                <c:pt idx="22">
                  <c:v>2.3608427186957206</c:v>
                </c:pt>
                <c:pt idx="23">
                  <c:v>-6.0655088164855243E-2</c:v>
                </c:pt>
                <c:pt idx="24">
                  <c:v>6.1661065770590033</c:v>
                </c:pt>
                <c:pt idx="25">
                  <c:v>0.54577457822446906</c:v>
                </c:pt>
                <c:pt idx="26">
                  <c:v>-0.53060017120019365</c:v>
                </c:pt>
                <c:pt idx="27">
                  <c:v>0.24862189091247039</c:v>
                </c:pt>
                <c:pt idx="28">
                  <c:v>5.0503345753448441</c:v>
                </c:pt>
                <c:pt idx="29">
                  <c:v>2.260822711838911</c:v>
                </c:pt>
                <c:pt idx="30">
                  <c:v>-0.28750234154592397</c:v>
                </c:pt>
                <c:pt idx="31">
                  <c:v>1.1954475237678827E-2</c:v>
                </c:pt>
                <c:pt idx="32">
                  <c:v>-0.12040900213751168</c:v>
                </c:pt>
                <c:pt idx="33">
                  <c:v>0.63143926083038504</c:v>
                </c:pt>
                <c:pt idx="34">
                  <c:v>-0.3508635579400628</c:v>
                </c:pt>
                <c:pt idx="35">
                  <c:v>-0.53973208170446729</c:v>
                </c:pt>
                <c:pt idx="36">
                  <c:v>-7.8213519150001812E-2</c:v>
                </c:pt>
                <c:pt idx="37">
                  <c:v>-0.19876582320378972</c:v>
                </c:pt>
                <c:pt idx="38">
                  <c:v>5.2907498209372212</c:v>
                </c:pt>
                <c:pt idx="39">
                  <c:v>-0.36241630639885902</c:v>
                </c:pt>
                <c:pt idx="40">
                  <c:v>0.21162356373291083</c:v>
                </c:pt>
                <c:pt idx="41">
                  <c:v>-0.67864773240225784</c:v>
                </c:pt>
                <c:pt idx="42">
                  <c:v>2.3570057328680787</c:v>
                </c:pt>
                <c:pt idx="43">
                  <c:v>-0.36619150663024252</c:v>
                </c:pt>
                <c:pt idx="44">
                  <c:v>3.0907392564535994</c:v>
                </c:pt>
                <c:pt idx="45">
                  <c:v>1.0916512905042113</c:v>
                </c:pt>
                <c:pt idx="46">
                  <c:v>4.8538464342579958E-7</c:v>
                </c:pt>
                <c:pt idx="47">
                  <c:v>-0.54377821713778385</c:v>
                </c:pt>
                <c:pt idx="48">
                  <c:v>0.57269657460381951</c:v>
                </c:pt>
                <c:pt idx="49">
                  <c:v>-0.7394169354456438</c:v>
                </c:pt>
                <c:pt idx="50">
                  <c:v>4.0578521534816403</c:v>
                </c:pt>
              </c:numCache>
            </c:numRef>
          </c:val>
          <c:extLst>
            <c:ext xmlns:c16="http://schemas.microsoft.com/office/drawing/2014/chart" uri="{C3380CC4-5D6E-409C-BE32-E72D297353CC}">
              <c16:uniqueId val="{00000006-D86E-1045-ACDF-F756F534EE75}"/>
            </c:ext>
          </c:extLst>
        </c:ser>
        <c:dLbls>
          <c:showLegendKey val="0"/>
          <c:showVal val="0"/>
          <c:showCatName val="0"/>
          <c:showSerName val="0"/>
          <c:showPercent val="0"/>
          <c:showBubbleSize val="0"/>
        </c:dLbls>
        <c:gapWidth val="150"/>
        <c:axId val="196810240"/>
        <c:axId val="196811776"/>
      </c:barChart>
      <c:catAx>
        <c:axId val="196810240"/>
        <c:scaling>
          <c:orientation val="minMax"/>
        </c:scaling>
        <c:delete val="0"/>
        <c:axPos val="b"/>
        <c:numFmt formatCode="General" sourceLinked="1"/>
        <c:majorTickMark val="out"/>
        <c:minorTickMark val="none"/>
        <c:tickLblPos val="low"/>
        <c:txPr>
          <a:bodyPr rot="5400000" vert="horz"/>
          <a:lstStyle/>
          <a:p>
            <a:pPr>
              <a:defRPr sz="1100" b="0" i="0" u="none" strike="noStrike" baseline="0">
                <a:solidFill>
                  <a:srgbClr val="000000"/>
                </a:solidFill>
                <a:latin typeface="Arial"/>
                <a:ea typeface="Arial"/>
                <a:cs typeface="Arial"/>
              </a:defRPr>
            </a:pPr>
            <a:endParaRPr lang="en-US"/>
          </a:p>
        </c:txPr>
        <c:crossAx val="196811776"/>
        <c:crosses val="autoZero"/>
        <c:auto val="1"/>
        <c:lblAlgn val="ctr"/>
        <c:lblOffset val="100"/>
        <c:tickLblSkip val="2"/>
        <c:noMultiLvlLbl val="0"/>
      </c:catAx>
      <c:valAx>
        <c:axId val="196811776"/>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 Forecast Error</a:t>
                </a:r>
              </a:p>
            </c:rich>
          </c:tx>
          <c:overlay val="0"/>
        </c:title>
        <c:numFmt formatCode="0%" sourceLinked="1"/>
        <c:majorTickMark val="out"/>
        <c:minorTickMark val="none"/>
        <c:tickLblPos val="nextTo"/>
        <c:txPr>
          <a:bodyPr rot="0" vert="horz"/>
          <a:lstStyle/>
          <a:p>
            <a:pPr>
              <a:defRPr sz="1100" b="0" i="0" u="none" strike="noStrike" baseline="0">
                <a:solidFill>
                  <a:srgbClr val="000000"/>
                </a:solidFill>
                <a:latin typeface="Arial"/>
                <a:ea typeface="Arial"/>
                <a:cs typeface="Arial"/>
              </a:defRPr>
            </a:pPr>
            <a:endParaRPr lang="en-US"/>
          </a:p>
        </c:txPr>
        <c:crossAx val="196810240"/>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100-000000000000}">
  <sheetPr>
    <tabColor rgb="FF00B050"/>
  </sheetPr>
  <sheetViews>
    <sheetView zoomScale="119"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4</xdr:col>
      <xdr:colOff>47625</xdr:colOff>
      <xdr:row>11</xdr:row>
      <xdr:rowOff>28575</xdr:rowOff>
    </xdr:from>
    <xdr:to>
      <xdr:col>7</xdr:col>
      <xdr:colOff>390525</xdr:colOff>
      <xdr:row>11</xdr:row>
      <xdr:rowOff>317500</xdr:rowOff>
    </xdr:to>
    <xdr:sp macro="" textlink="">
      <xdr:nvSpPr>
        <xdr:cNvPr id="2" name="AutoShape 7">
          <a:extLst>
            <a:ext uri="{FF2B5EF4-FFF2-40B4-BE49-F238E27FC236}">
              <a16:creationId xmlns:a16="http://schemas.microsoft.com/office/drawing/2014/main" id="{00000000-0008-0000-0000-000002000000}"/>
            </a:ext>
          </a:extLst>
        </xdr:cNvPr>
        <xdr:cNvSpPr>
          <a:spLocks noChangeArrowheads="1"/>
        </xdr:cNvSpPr>
      </xdr:nvSpPr>
      <xdr:spPr bwMode="auto">
        <a:xfrm rot="10800000">
          <a:off x="4152900" y="2238375"/>
          <a:ext cx="2628900" cy="288925"/>
        </a:xfrm>
        <a:prstGeom prst="rightArrow">
          <a:avLst>
            <a:gd name="adj1" fmla="val 50000"/>
            <a:gd name="adj2" fmla="val 53750"/>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9525">
          <a:noFill/>
          <a:miter lim="800000"/>
          <a:headEnd/>
          <a:tailEnd/>
        </a:ln>
        <a:effectLst>
          <a:glow rad="228600">
            <a:schemeClr val="accent2">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txBody>
        <a:body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68550" cy="629130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0.52539</cdr:x>
      <cdr:y>0.1733</cdr:y>
    </cdr:from>
    <cdr:to>
      <cdr:x>0.87885</cdr:x>
      <cdr:y>0.27735</cdr:y>
    </cdr:to>
    <cdr:sp macro="" textlink="">
      <cdr:nvSpPr>
        <cdr:cNvPr id="2" name="TextBox 1"/>
        <cdr:cNvSpPr txBox="1"/>
      </cdr:nvSpPr>
      <cdr:spPr>
        <a:xfrm xmlns:a="http://schemas.openxmlformats.org/drawingml/2006/main">
          <a:off x="4554391" y="1090285"/>
          <a:ext cx="3063990" cy="6546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a:latin typeface="Arial" panose="020B0604020202020204" pitchFamily="34" charset="0"/>
              <a:cs typeface="Arial" panose="020B0604020202020204" pitchFamily="34" charset="0"/>
            </a:rPr>
            <a:t>2017 preliminary = 22 million</a:t>
          </a:r>
        </a:p>
        <a:p xmlns:a="http://schemas.openxmlformats.org/drawingml/2006/main">
          <a:endParaRPr lang="en-US" sz="1600">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0.84564</cdr:x>
      <cdr:y>0.20694</cdr:y>
    </cdr:from>
    <cdr:to>
      <cdr:x>0.96644</cdr:x>
      <cdr:y>0.36994</cdr:y>
    </cdr:to>
    <cdr:cxnSp macro="">
      <cdr:nvCxnSpPr>
        <cdr:cNvPr id="4" name="Straight Arrow Connector 3">
          <a:extLst xmlns:a="http://schemas.openxmlformats.org/drawingml/2006/main">
            <a:ext uri="{FF2B5EF4-FFF2-40B4-BE49-F238E27FC236}">
              <a16:creationId xmlns:a16="http://schemas.microsoft.com/office/drawing/2014/main" id="{129A8F88-C963-3049-817E-94FC4932068B}"/>
            </a:ext>
          </a:extLst>
        </cdr:cNvPr>
        <cdr:cNvCxnSpPr/>
      </cdr:nvCxnSpPr>
      <cdr:spPr bwMode="auto">
        <a:xfrm xmlns:a="http://schemas.openxmlformats.org/drawingml/2006/main">
          <a:off x="7329160" y="1301508"/>
          <a:ext cx="1047023" cy="1025210"/>
        </a:xfrm>
        <a:prstGeom xmlns:a="http://schemas.openxmlformats.org/drawingml/2006/main" prst="straightConnector1">
          <a:avLst/>
        </a:prstGeom>
        <a:solidFill xmlns:a="http://schemas.openxmlformats.org/drawingml/2006/main">
          <a:srgbClr val="FFFFE1"/>
        </a:solidFill>
        <a:ln xmlns:a="http://schemas.openxmlformats.org/drawingml/2006/main" w="28575" cap="flat" cmpd="sng" algn="ctr">
          <a:solidFill>
            <a:schemeClr val="tx1"/>
          </a:solidFill>
          <a:prstDash val="solid"/>
          <a:round/>
          <a:headEnd type="none" w="med" len="med"/>
          <a:tailEnd type="arrow"/>
        </a:ln>
        <a:effectLst xmlns:a="http://schemas.openxmlformats.org/drawingml/2006/main">
          <a:outerShdw dist="35921" sx="1000" sy="1000" algn="ctr" rotWithShape="0">
            <a:srgbClr val="000000"/>
          </a:outerShdw>
        </a:effectLst>
      </cdr:spPr>
    </cdr:cxnSp>
  </cdr:relSizeAnchor>
</c:userShapes>
</file>

<file path=xl/drawings/drawing4.xml><?xml version="1.0" encoding="utf-8"?>
<xdr:wsDr xmlns:xdr="http://schemas.openxmlformats.org/drawingml/2006/spreadsheetDrawing" xmlns:a="http://schemas.openxmlformats.org/drawingml/2006/main">
  <xdr:twoCellAnchor>
    <xdr:from>
      <xdr:col>9</xdr:col>
      <xdr:colOff>533400</xdr:colOff>
      <xdr:row>5</xdr:row>
      <xdr:rowOff>609600</xdr:rowOff>
    </xdr:from>
    <xdr:to>
      <xdr:col>20</xdr:col>
      <xdr:colOff>438150</xdr:colOff>
      <xdr:row>26</xdr:row>
      <xdr:rowOff>133350</xdr:rowOff>
    </xdr:to>
    <xdr:graphicFrame macro="">
      <xdr:nvGraphicFramePr>
        <xdr:cNvPr id="4211092" name="Chart 1">
          <a:extLst>
            <a:ext uri="{FF2B5EF4-FFF2-40B4-BE49-F238E27FC236}">
              <a16:creationId xmlns:a16="http://schemas.microsoft.com/office/drawing/2014/main" id="{00000000-0008-0000-0500-00009441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571500</xdr:colOff>
      <xdr:row>26</xdr:row>
      <xdr:rowOff>142875</xdr:rowOff>
    </xdr:from>
    <xdr:to>
      <xdr:col>20</xdr:col>
      <xdr:colOff>466725</xdr:colOff>
      <xdr:row>51</xdr:row>
      <xdr:rowOff>180975</xdr:rowOff>
    </xdr:to>
    <xdr:graphicFrame macro="">
      <xdr:nvGraphicFramePr>
        <xdr:cNvPr id="4211093" name="Chart 2">
          <a:extLst>
            <a:ext uri="{FF2B5EF4-FFF2-40B4-BE49-F238E27FC236}">
              <a16:creationId xmlns:a16="http://schemas.microsoft.com/office/drawing/2014/main" id="{00000000-0008-0000-0500-00009541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20</xdr:col>
      <xdr:colOff>63499</xdr:colOff>
      <xdr:row>6</xdr:row>
      <xdr:rowOff>19051</xdr:rowOff>
    </xdr:from>
    <xdr:to>
      <xdr:col>28</xdr:col>
      <xdr:colOff>874059</xdr:colOff>
      <xdr:row>19</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70409</xdr:colOff>
      <xdr:row>19</xdr:row>
      <xdr:rowOff>101601</xdr:rowOff>
    </xdr:from>
    <xdr:to>
      <xdr:col>28</xdr:col>
      <xdr:colOff>862853</xdr:colOff>
      <xdr:row>34</xdr:row>
      <xdr:rowOff>152401</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58645</xdr:colOff>
      <xdr:row>6</xdr:row>
      <xdr:rowOff>7658</xdr:rowOff>
    </xdr:from>
    <xdr:to>
      <xdr:col>37</xdr:col>
      <xdr:colOff>694764</xdr:colOff>
      <xdr:row>19</xdr:row>
      <xdr:rowOff>101600</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79936</xdr:colOff>
      <xdr:row>19</xdr:row>
      <xdr:rowOff>75453</xdr:rowOff>
    </xdr:from>
    <xdr:to>
      <xdr:col>37</xdr:col>
      <xdr:colOff>707464</xdr:colOff>
      <xdr:row>34</xdr:row>
      <xdr:rowOff>109071</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76200</xdr:colOff>
      <xdr:row>4</xdr:row>
      <xdr:rowOff>12700</xdr:rowOff>
    </xdr:from>
    <xdr:to>
      <xdr:col>7</xdr:col>
      <xdr:colOff>660400</xdr:colOff>
      <xdr:row>6</xdr:row>
      <xdr:rowOff>215900</xdr:rowOff>
    </xdr:to>
    <xdr:cxnSp macro="">
      <xdr:nvCxnSpPr>
        <xdr:cNvPr id="18" name="Elbow Connector 17">
          <a:extLst>
            <a:ext uri="{FF2B5EF4-FFF2-40B4-BE49-F238E27FC236}">
              <a16:creationId xmlns:a16="http://schemas.microsoft.com/office/drawing/2014/main" id="{00000000-0008-0000-0600-000012000000}"/>
            </a:ext>
          </a:extLst>
        </xdr:cNvPr>
        <xdr:cNvCxnSpPr/>
      </xdr:nvCxnSpPr>
      <xdr:spPr bwMode="auto">
        <a:xfrm rot="10800000" flipV="1">
          <a:off x="2057400" y="990600"/>
          <a:ext cx="3733800" cy="584200"/>
        </a:xfrm>
        <a:prstGeom prst="bentConnector3">
          <a:avLst>
            <a:gd name="adj1" fmla="val 79592"/>
          </a:avLst>
        </a:prstGeom>
        <a:solidFill>
          <a:srgbClr val="FFFFE1"/>
        </a:solidFill>
        <a:ln w="22225" cap="flat" cmpd="sng" algn="ctr">
          <a:solidFill>
            <a:srgbClr val="000000"/>
          </a:solidFill>
          <a:prstDash val="solid"/>
          <a:round/>
          <a:headEnd type="none" w="med" len="med"/>
          <a:tailEnd type="arrow"/>
        </a:ln>
        <a:effectLst>
          <a:outerShdw dist="35921" dir="2700000" algn="ctr" rotWithShape="0">
            <a:srgbClr val="000000"/>
          </a:outerShdw>
        </a:effectLst>
      </xdr:spPr>
    </xdr:cxnSp>
    <xdr:clientData/>
  </xdr:twoCellAnchor>
</xdr:wsDr>
</file>

<file path=xl/drawings/drawing6.xml><?xml version="1.0" encoding="utf-8"?>
<c:userShapes xmlns:c="http://schemas.openxmlformats.org/drawingml/2006/chart">
  <cdr:relSizeAnchor xmlns:cdr="http://schemas.openxmlformats.org/drawingml/2006/chartDrawing">
    <cdr:from>
      <cdr:x>0.16935</cdr:x>
      <cdr:y>0.10993</cdr:y>
    </cdr:from>
    <cdr:to>
      <cdr:x>0.36964</cdr:x>
      <cdr:y>0.20222</cdr:y>
    </cdr:to>
    <cdr:sp macro="" textlink="">
      <cdr:nvSpPr>
        <cdr:cNvPr id="2" name="TextBox 1"/>
        <cdr:cNvSpPr txBox="1"/>
      </cdr:nvSpPr>
      <cdr:spPr>
        <a:xfrm xmlns:a="http://schemas.openxmlformats.org/drawingml/2006/main">
          <a:off x="1363755" y="347942"/>
          <a:ext cx="1612900" cy="2921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Labels</a:t>
          </a:r>
          <a:r>
            <a:rPr lang="en-US" sz="1100" baseline="0"/>
            <a:t> are  Return Year</a:t>
          </a:r>
          <a:endParaRPr lang="en-US" sz="1100"/>
        </a:p>
      </cdr:txBody>
    </cdr:sp>
  </cdr:relSizeAnchor>
</c:userShapes>
</file>

<file path=xl/drawings/drawing7.xml><?xml version="1.0" encoding="utf-8"?>
<xdr:wsDr xmlns:xdr="http://schemas.openxmlformats.org/drawingml/2006/spreadsheetDrawing" xmlns:a="http://schemas.openxmlformats.org/drawingml/2006/main">
  <xdr:twoCellAnchor>
    <xdr:from>
      <xdr:col>32</xdr:col>
      <xdr:colOff>212911</xdr:colOff>
      <xdr:row>9</xdr:row>
      <xdr:rowOff>129988</xdr:rowOff>
    </xdr:from>
    <xdr:to>
      <xdr:col>41</xdr:col>
      <xdr:colOff>168087</xdr:colOff>
      <xdr:row>35</xdr:row>
      <xdr:rowOff>134471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533400</xdr:colOff>
      <xdr:row>5</xdr:row>
      <xdr:rowOff>609600</xdr:rowOff>
    </xdr:from>
    <xdr:to>
      <xdr:col>21</xdr:col>
      <xdr:colOff>438150</xdr:colOff>
      <xdr:row>26</xdr:row>
      <xdr:rowOff>133350</xdr:rowOff>
    </xdr:to>
    <xdr:graphicFrame macro="">
      <xdr:nvGraphicFramePr>
        <xdr:cNvPr id="8396887" name="Chart 1">
          <a:extLst>
            <a:ext uri="{FF2B5EF4-FFF2-40B4-BE49-F238E27FC236}">
              <a16:creationId xmlns:a16="http://schemas.microsoft.com/office/drawing/2014/main" id="{00000000-0008-0000-0C00-000057208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571500</xdr:colOff>
      <xdr:row>26</xdr:row>
      <xdr:rowOff>142875</xdr:rowOff>
    </xdr:from>
    <xdr:to>
      <xdr:col>21</xdr:col>
      <xdr:colOff>466725</xdr:colOff>
      <xdr:row>52</xdr:row>
      <xdr:rowOff>180975</xdr:rowOff>
    </xdr:to>
    <xdr:graphicFrame macro="">
      <xdr:nvGraphicFramePr>
        <xdr:cNvPr id="8396888" name="Chart 2">
          <a:extLst>
            <a:ext uri="{FF2B5EF4-FFF2-40B4-BE49-F238E27FC236}">
              <a16:creationId xmlns:a16="http://schemas.microsoft.com/office/drawing/2014/main" id="{00000000-0008-0000-0C00-000058208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1365250</xdr:colOff>
      <xdr:row>22</xdr:row>
      <xdr:rowOff>282576</xdr:rowOff>
    </xdr:from>
    <xdr:to>
      <xdr:col>9</xdr:col>
      <xdr:colOff>1377950</xdr:colOff>
      <xdr:row>31</xdr:row>
      <xdr:rowOff>247650</xdr:rowOff>
    </xdr:to>
    <xdr:sp macro="" textlink="">
      <xdr:nvSpPr>
        <xdr:cNvPr id="8195" name="Text Box 3">
          <a:extLst>
            <a:ext uri="{FF2B5EF4-FFF2-40B4-BE49-F238E27FC236}">
              <a16:creationId xmlns:a16="http://schemas.microsoft.com/office/drawing/2014/main" id="{00000000-0008-0000-0E00-000003200000}"/>
            </a:ext>
          </a:extLst>
        </xdr:cNvPr>
        <xdr:cNvSpPr txBox="1">
          <a:spLocks noChangeArrowheads="1"/>
        </xdr:cNvSpPr>
      </xdr:nvSpPr>
      <xdr:spPr bwMode="auto">
        <a:xfrm>
          <a:off x="7518400" y="6950076"/>
          <a:ext cx="7346950" cy="2708274"/>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defRPr sz="1000"/>
          </a:pPr>
          <a:r>
            <a:rPr lang="en-US" sz="2200" b="0" i="0" u="none" strike="noStrike" baseline="0">
              <a:solidFill>
                <a:srgbClr val="000000"/>
              </a:solidFill>
              <a:latin typeface="Times New Roman"/>
              <a:cs typeface="Times New Roman"/>
            </a:rPr>
            <a:t>TO COMPLETE THIS SHEET, SIMPLY GO TO DATA, SOLVER.    THE ONLY THING THAT NEEDS TO BE DONE IS SWITCHING THE "SET TARGET CELL:"  BETWEEN </a:t>
          </a:r>
          <a:r>
            <a:rPr lang="en-US" sz="2200" b="0" i="0" u="sng" strike="noStrike" baseline="0">
              <a:solidFill>
                <a:srgbClr val="000000"/>
              </a:solidFill>
              <a:latin typeface="Times New Roman"/>
              <a:cs typeface="Times New Roman"/>
            </a:rPr>
            <a:t>MEAN ABSOLUTE ERROR </a:t>
          </a:r>
          <a:r>
            <a:rPr lang="en-US" sz="2200" b="0" i="0" u="none" strike="noStrike" baseline="0">
              <a:solidFill>
                <a:srgbClr val="000000"/>
              </a:solidFill>
              <a:latin typeface="Times New Roman"/>
              <a:cs typeface="Times New Roman"/>
            </a:rPr>
            <a:t>AND THEN </a:t>
          </a:r>
          <a:r>
            <a:rPr lang="en-US" sz="2200" b="0" i="0" u="sng" strike="noStrike" baseline="0">
              <a:solidFill>
                <a:srgbClr val="000000"/>
              </a:solidFill>
              <a:latin typeface="Times New Roman"/>
              <a:cs typeface="Times New Roman"/>
            </a:rPr>
            <a:t>MEAN ABSOLUTE PERCENTAGE ERROR</a:t>
          </a:r>
          <a:r>
            <a:rPr lang="en-US" sz="2200" b="0" i="0" u="none" strike="noStrike" baseline="0">
              <a:solidFill>
                <a:srgbClr val="000000"/>
              </a:solidFill>
              <a:latin typeface="Times New Roman"/>
              <a:cs typeface="Times New Roman"/>
            </a:rPr>
            <a:t>.  OBTAIN FORECAST ESTIMATES USING BOTH OF THESE METHODS AND THEN PASTE THESE VALUES INTO THE 'FORECASTS SUMMARY' TAB.</a:t>
          </a:r>
        </a:p>
      </xdr:txBody>
    </xdr:sp>
    <xdr:clientData/>
  </xdr:twoCellAnchor>
  <xdr:twoCellAnchor>
    <xdr:from>
      <xdr:col>10</xdr:col>
      <xdr:colOff>581025</xdr:colOff>
      <xdr:row>6</xdr:row>
      <xdr:rowOff>276225</xdr:rowOff>
    </xdr:from>
    <xdr:to>
      <xdr:col>29</xdr:col>
      <xdr:colOff>733425</xdr:colOff>
      <xdr:row>31</xdr:row>
      <xdr:rowOff>238125</xdr:rowOff>
    </xdr:to>
    <xdr:graphicFrame macro="">
      <xdr:nvGraphicFramePr>
        <xdr:cNvPr id="9292845" name="Chart 4">
          <a:extLst>
            <a:ext uri="{FF2B5EF4-FFF2-40B4-BE49-F238E27FC236}">
              <a16:creationId xmlns:a16="http://schemas.microsoft.com/office/drawing/2014/main" id="{00000000-0008-0000-0E00-00002DCC8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37</xdr:row>
      <xdr:rowOff>0</xdr:rowOff>
    </xdr:from>
    <xdr:to>
      <xdr:col>28</xdr:col>
      <xdr:colOff>190500</xdr:colOff>
      <xdr:row>61</xdr:row>
      <xdr:rowOff>228600</xdr:rowOff>
    </xdr:to>
    <xdr:graphicFrame macro="">
      <xdr:nvGraphicFramePr>
        <xdr:cNvPr id="9292846" name="Chart 4">
          <a:extLst>
            <a:ext uri="{FF2B5EF4-FFF2-40B4-BE49-F238E27FC236}">
              <a16:creationId xmlns:a16="http://schemas.microsoft.com/office/drawing/2014/main" id="{00000000-0008-0000-0E00-00002ECC8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371475</xdr:colOff>
      <xdr:row>49</xdr:row>
      <xdr:rowOff>104775</xdr:rowOff>
    </xdr:from>
    <xdr:to>
      <xdr:col>6</xdr:col>
      <xdr:colOff>762000</xdr:colOff>
      <xdr:row>67</xdr:row>
      <xdr:rowOff>76200</xdr:rowOff>
    </xdr:to>
    <xdr:sp macro="" textlink="">
      <xdr:nvSpPr>
        <xdr:cNvPr id="2" name="Text Box 3">
          <a:extLst>
            <a:ext uri="{FF2B5EF4-FFF2-40B4-BE49-F238E27FC236}">
              <a16:creationId xmlns:a16="http://schemas.microsoft.com/office/drawing/2014/main" id="{00000000-0008-0000-0F00-000002000000}"/>
            </a:ext>
          </a:extLst>
        </xdr:cNvPr>
        <xdr:cNvSpPr txBox="1">
          <a:spLocks noChangeArrowheads="1"/>
        </xdr:cNvSpPr>
      </xdr:nvSpPr>
      <xdr:spPr bwMode="auto">
        <a:xfrm>
          <a:off x="371475" y="9229725"/>
          <a:ext cx="6981825" cy="3400425"/>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defRPr sz="1000"/>
          </a:pPr>
          <a:r>
            <a:rPr lang="en-US" sz="2200" b="0" i="0" u="none" strike="noStrike" baseline="0">
              <a:solidFill>
                <a:srgbClr val="000000"/>
              </a:solidFill>
              <a:latin typeface="Times New Roman"/>
              <a:cs typeface="Times New Roman"/>
            </a:rPr>
            <a:t>TO COMPLETE THIS SHEET, SIMPLY GO TO TOOLS, SOLVER.    THE ONLY THING THAT NEEDS TO BE DONE IS SWITCHING THE "SET TARGET CELL:"  BETWEEN MEAN ABSOLUTE ERROR AND THEN MEAN ABSOLUTE PERCENTAGE ERROR.  OBTAIN FORECAST ESTIMATES USING BOTH OF THESE METHODS AND THEN PASTE THESE VALUES INTO THE 'FORECASTS SUMMARY' TAB.</a:t>
          </a:r>
        </a:p>
      </xdr:txBody>
    </xdr:sp>
    <xdr:clientData/>
  </xdr:twoCellAnchor>
  <xdr:twoCellAnchor>
    <xdr:from>
      <xdr:col>11</xdr:col>
      <xdr:colOff>85725</xdr:colOff>
      <xdr:row>6</xdr:row>
      <xdr:rowOff>28575</xdr:rowOff>
    </xdr:from>
    <xdr:to>
      <xdr:col>22</xdr:col>
      <xdr:colOff>523875</xdr:colOff>
      <xdr:row>29</xdr:row>
      <xdr:rowOff>152400</xdr:rowOff>
    </xdr:to>
    <xdr:graphicFrame macro="">
      <xdr:nvGraphicFramePr>
        <xdr:cNvPr id="2278206" name="Chart 4">
          <a:extLst>
            <a:ext uri="{FF2B5EF4-FFF2-40B4-BE49-F238E27FC236}">
              <a16:creationId xmlns:a16="http://schemas.microsoft.com/office/drawing/2014/main" id="{00000000-0008-0000-0F00-00003EC3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38100</xdr:colOff>
      <xdr:row>34</xdr:row>
      <xdr:rowOff>66675</xdr:rowOff>
    </xdr:from>
    <xdr:to>
      <xdr:col>25</xdr:col>
      <xdr:colOff>495300</xdr:colOff>
      <xdr:row>60</xdr:row>
      <xdr:rowOff>123825</xdr:rowOff>
    </xdr:to>
    <xdr:graphicFrame macro="">
      <xdr:nvGraphicFramePr>
        <xdr:cNvPr id="2278207" name="Chart 3">
          <a:extLst>
            <a:ext uri="{FF2B5EF4-FFF2-40B4-BE49-F238E27FC236}">
              <a16:creationId xmlns:a16="http://schemas.microsoft.com/office/drawing/2014/main" id="{00000000-0008-0000-0F00-00003FC3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54</xdr:row>
      <xdr:rowOff>155575</xdr:rowOff>
    </xdr:from>
    <xdr:to>
      <xdr:col>9</xdr:col>
      <xdr:colOff>409575</xdr:colOff>
      <xdr:row>63</xdr:row>
      <xdr:rowOff>95250</xdr:rowOff>
    </xdr:to>
    <xdr:sp macro="" textlink="">
      <xdr:nvSpPr>
        <xdr:cNvPr id="9219" name="Text Box 3">
          <a:extLst>
            <a:ext uri="{FF2B5EF4-FFF2-40B4-BE49-F238E27FC236}">
              <a16:creationId xmlns:a16="http://schemas.microsoft.com/office/drawing/2014/main" id="{00000000-0008-0000-1000-000003240000}"/>
            </a:ext>
          </a:extLst>
        </xdr:cNvPr>
        <xdr:cNvSpPr txBox="1">
          <a:spLocks noChangeArrowheads="1"/>
        </xdr:cNvSpPr>
      </xdr:nvSpPr>
      <xdr:spPr bwMode="auto">
        <a:xfrm>
          <a:off x="0" y="9737725"/>
          <a:ext cx="8943975" cy="1654175"/>
        </a:xfrm>
        <a:prstGeom prst="rect">
          <a:avLst/>
        </a:prstGeom>
        <a:solidFill>
          <a:srgbClr val="FFFFFF"/>
        </a:solidFill>
        <a:ln w="9525">
          <a:solidFill>
            <a:srgbClr val="000000"/>
          </a:solidFill>
          <a:miter lim="800000"/>
          <a:headEnd/>
          <a:tailEnd/>
        </a:ln>
      </xdr:spPr>
      <xdr:txBody>
        <a:bodyPr vertOverflow="clip" wrap="square" lIns="45720" tIns="41148" rIns="0" bIns="0" anchor="t" upright="1"/>
        <a:lstStyle/>
        <a:p>
          <a:pPr algn="l" rtl="0">
            <a:lnSpc>
              <a:spcPts val="2400"/>
            </a:lnSpc>
            <a:defRPr sz="1000"/>
          </a:pPr>
          <a:r>
            <a:rPr lang="en-US" sz="2200" b="0" i="0" u="none" strike="noStrike" baseline="0">
              <a:solidFill>
                <a:srgbClr val="000000"/>
              </a:solidFill>
              <a:latin typeface="Times New Roman"/>
              <a:cs typeface="Times New Roman"/>
            </a:rPr>
            <a:t>TO COMPLETE THIS SHEET, SIMPLY GO TO DATA, SOLVER.    THE ONLY THING THAT NEEDS TO BE DONE IS SWITCHING THE "SET TARGET CELL:"  BETWEEN MEAN ABSOLUTE ERROR AND THEN MEAN ABSOLUTE PERCENTAGE ERROR.  OBTAIN FORECAST ESTIMATES USING BOTH OF THESE METHODS AND THEN PASTE THESE VALUES INTO THE 'FORECASTS SUMMARY' TAB.</a:t>
          </a:r>
        </a:p>
      </xdr:txBody>
    </xdr:sp>
    <xdr:clientData/>
  </xdr:twoCellAnchor>
  <xdr:twoCellAnchor>
    <xdr:from>
      <xdr:col>10</xdr:col>
      <xdr:colOff>438150</xdr:colOff>
      <xdr:row>10</xdr:row>
      <xdr:rowOff>161925</xdr:rowOff>
    </xdr:from>
    <xdr:to>
      <xdr:col>19</xdr:col>
      <xdr:colOff>276225</xdr:colOff>
      <xdr:row>29</xdr:row>
      <xdr:rowOff>171450</xdr:rowOff>
    </xdr:to>
    <xdr:graphicFrame macro="">
      <xdr:nvGraphicFramePr>
        <xdr:cNvPr id="9297965" name="Chart 4">
          <a:extLst>
            <a:ext uri="{FF2B5EF4-FFF2-40B4-BE49-F238E27FC236}">
              <a16:creationId xmlns:a16="http://schemas.microsoft.com/office/drawing/2014/main" id="{00000000-0008-0000-1000-00002DE08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85725</xdr:colOff>
      <xdr:row>35</xdr:row>
      <xdr:rowOff>76200</xdr:rowOff>
    </xdr:from>
    <xdr:to>
      <xdr:col>25</xdr:col>
      <xdr:colOff>495300</xdr:colOff>
      <xdr:row>64</xdr:row>
      <xdr:rowOff>85725</xdr:rowOff>
    </xdr:to>
    <xdr:graphicFrame macro="">
      <xdr:nvGraphicFramePr>
        <xdr:cNvPr id="9297966" name="Chart 3">
          <a:extLst>
            <a:ext uri="{FF2B5EF4-FFF2-40B4-BE49-F238E27FC236}">
              <a16:creationId xmlns:a16="http://schemas.microsoft.com/office/drawing/2014/main" id="{00000000-0008-0000-1000-00002EE08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34925</xdr:colOff>
      <xdr:row>6</xdr:row>
      <xdr:rowOff>12700</xdr:rowOff>
    </xdr:from>
    <xdr:to>
      <xdr:col>18</xdr:col>
      <xdr:colOff>171450</xdr:colOff>
      <xdr:row>27</xdr:row>
      <xdr:rowOff>53975</xdr:rowOff>
    </xdr:to>
    <xdr:graphicFrame macro="">
      <xdr:nvGraphicFramePr>
        <xdr:cNvPr id="2549262" name="Chart 1">
          <a:extLst>
            <a:ext uri="{FF2B5EF4-FFF2-40B4-BE49-F238E27FC236}">
              <a16:creationId xmlns:a16="http://schemas.microsoft.com/office/drawing/2014/main" id="{00000000-0008-0000-1100-00000EE62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27</xdr:row>
      <xdr:rowOff>142875</xdr:rowOff>
    </xdr:from>
    <xdr:to>
      <xdr:col>18</xdr:col>
      <xdr:colOff>123825</xdr:colOff>
      <xdr:row>48</xdr:row>
      <xdr:rowOff>180975</xdr:rowOff>
    </xdr:to>
    <xdr:graphicFrame macro="">
      <xdr:nvGraphicFramePr>
        <xdr:cNvPr id="2549263" name="Chart 2">
          <a:extLst>
            <a:ext uri="{FF2B5EF4-FFF2-40B4-BE49-F238E27FC236}">
              <a16:creationId xmlns:a16="http://schemas.microsoft.com/office/drawing/2014/main" id="{00000000-0008-0000-1100-00000FE62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219075</xdr:colOff>
      <xdr:row>5</xdr:row>
      <xdr:rowOff>638175</xdr:rowOff>
    </xdr:from>
    <xdr:to>
      <xdr:col>18</xdr:col>
      <xdr:colOff>123825</xdr:colOff>
      <xdr:row>26</xdr:row>
      <xdr:rowOff>161925</xdr:rowOff>
    </xdr:to>
    <xdr:graphicFrame macro="">
      <xdr:nvGraphicFramePr>
        <xdr:cNvPr id="11938" name="Chart 1">
          <a:extLst>
            <a:ext uri="{FF2B5EF4-FFF2-40B4-BE49-F238E27FC236}">
              <a16:creationId xmlns:a16="http://schemas.microsoft.com/office/drawing/2014/main" id="{00000000-0008-0000-1300-0000A22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219075</xdr:colOff>
      <xdr:row>27</xdr:row>
      <xdr:rowOff>0</xdr:rowOff>
    </xdr:from>
    <xdr:to>
      <xdr:col>18</xdr:col>
      <xdr:colOff>114300</xdr:colOff>
      <xdr:row>48</xdr:row>
      <xdr:rowOff>38100</xdr:rowOff>
    </xdr:to>
    <xdr:graphicFrame macro="">
      <xdr:nvGraphicFramePr>
        <xdr:cNvPr id="11939" name="Chart 2">
          <a:extLst>
            <a:ext uri="{FF2B5EF4-FFF2-40B4-BE49-F238E27FC236}">
              <a16:creationId xmlns:a16="http://schemas.microsoft.com/office/drawing/2014/main" id="{00000000-0008-0000-1300-0000A32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CF/Management/AMRs/2006_AMR/Appendix%20A/data/_A6&amp;A8-05%20%20Miles%20Lake%20Sonar%20Daily%20Counts%20200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6"/>
      <sheetName val="A7"/>
    </sheetNames>
    <sheetDataSet>
      <sheetData sheetId="0"/>
      <sheetData sheetId="1">
        <row r="7">
          <cell r="P7">
            <v>38850</v>
          </cell>
          <cell r="Q7">
            <v>18</v>
          </cell>
          <cell r="R7">
            <v>0</v>
          </cell>
          <cell r="S7">
            <v>18</v>
          </cell>
          <cell r="T7" t="str">
            <v>NA</v>
          </cell>
        </row>
        <row r="8">
          <cell r="P8">
            <v>38851</v>
          </cell>
          <cell r="Q8">
            <v>24</v>
          </cell>
          <cell r="R8">
            <v>0</v>
          </cell>
          <cell r="S8">
            <v>42</v>
          </cell>
          <cell r="T8" t="str">
            <v>NA</v>
          </cell>
        </row>
        <row r="9">
          <cell r="P9">
            <v>38852</v>
          </cell>
          <cell r="Q9">
            <v>72</v>
          </cell>
          <cell r="R9">
            <v>0</v>
          </cell>
          <cell r="S9">
            <v>114</v>
          </cell>
          <cell r="T9" t="str">
            <v>NA</v>
          </cell>
        </row>
        <row r="10">
          <cell r="P10">
            <v>38853</v>
          </cell>
          <cell r="Q10">
            <v>78</v>
          </cell>
          <cell r="R10">
            <v>364.95613277727398</v>
          </cell>
          <cell r="S10">
            <v>192</v>
          </cell>
          <cell r="T10">
            <v>364.95613277727398</v>
          </cell>
        </row>
        <row r="11">
          <cell r="P11">
            <v>38854</v>
          </cell>
          <cell r="Q11">
            <v>102</v>
          </cell>
          <cell r="R11">
            <v>579.04320426302286</v>
          </cell>
          <cell r="S11">
            <v>294</v>
          </cell>
          <cell r="T11">
            <v>943.99933704029684</v>
          </cell>
        </row>
        <row r="12">
          <cell r="P12">
            <v>38855</v>
          </cell>
          <cell r="Q12">
            <v>18</v>
          </cell>
          <cell r="R12">
            <v>1737.4803008937831</v>
          </cell>
          <cell r="S12">
            <v>312</v>
          </cell>
          <cell r="T12">
            <v>2681.4796379340801</v>
          </cell>
        </row>
        <row r="13">
          <cell r="P13">
            <v>38856</v>
          </cell>
          <cell r="Q13">
            <v>18</v>
          </cell>
          <cell r="R13">
            <v>3045.4740352355757</v>
          </cell>
          <cell r="S13">
            <v>330</v>
          </cell>
          <cell r="T13">
            <v>5726.9536731696553</v>
          </cell>
        </row>
        <row r="14">
          <cell r="P14">
            <v>38857</v>
          </cell>
          <cell r="Q14">
            <v>72</v>
          </cell>
          <cell r="R14">
            <v>4432.7873489695694</v>
          </cell>
          <cell r="S14">
            <v>402</v>
          </cell>
          <cell r="T14">
            <v>10159.741022139224</v>
          </cell>
        </row>
        <row r="15">
          <cell r="P15">
            <v>38858</v>
          </cell>
          <cell r="Q15">
            <v>0</v>
          </cell>
          <cell r="R15">
            <v>5008.0205341019782</v>
          </cell>
          <cell r="S15">
            <v>402</v>
          </cell>
          <cell r="T15">
            <v>15167.761556241203</v>
          </cell>
        </row>
        <row r="16">
          <cell r="P16">
            <v>38859</v>
          </cell>
          <cell r="Q16">
            <v>0</v>
          </cell>
          <cell r="R16">
            <v>7699.6247218248645</v>
          </cell>
          <cell r="S16">
            <v>402</v>
          </cell>
          <cell r="T16">
            <v>22867.386278066067</v>
          </cell>
        </row>
        <row r="17">
          <cell r="P17">
            <v>38860</v>
          </cell>
          <cell r="Q17">
            <v>138</v>
          </cell>
          <cell r="R17">
            <v>8782.9313660003572</v>
          </cell>
          <cell r="S17">
            <v>540</v>
          </cell>
          <cell r="T17">
            <v>31650.317644066425</v>
          </cell>
        </row>
        <row r="18">
          <cell r="P18">
            <v>38861</v>
          </cell>
          <cell r="Q18">
            <v>627</v>
          </cell>
          <cell r="R18">
            <v>9696.2847648994757</v>
          </cell>
          <cell r="S18">
            <v>1167</v>
          </cell>
          <cell r="T18">
            <v>41346.602408965904</v>
          </cell>
        </row>
        <row r="19">
          <cell r="P19">
            <v>38862</v>
          </cell>
          <cell r="Q19">
            <v>1639</v>
          </cell>
          <cell r="R19">
            <v>11078.77469419113</v>
          </cell>
          <cell r="S19">
            <v>2806</v>
          </cell>
          <cell r="T19">
            <v>52425.377103157036</v>
          </cell>
        </row>
        <row r="20">
          <cell r="P20">
            <v>38863</v>
          </cell>
          <cell r="Q20">
            <v>2706</v>
          </cell>
          <cell r="R20">
            <v>13656.324750380621</v>
          </cell>
          <cell r="S20">
            <v>5512</v>
          </cell>
          <cell r="T20">
            <v>66081.701853537656</v>
          </cell>
        </row>
        <row r="21">
          <cell r="P21">
            <v>38864</v>
          </cell>
          <cell r="Q21">
            <v>5590</v>
          </cell>
          <cell r="R21">
            <v>12927.290219795275</v>
          </cell>
          <cell r="S21">
            <v>11102</v>
          </cell>
          <cell r="T21">
            <v>79008.992073332935</v>
          </cell>
        </row>
        <row r="22">
          <cell r="P22">
            <v>38865</v>
          </cell>
          <cell r="Q22">
            <v>7710</v>
          </cell>
          <cell r="R22">
            <v>13760.065821575603</v>
          </cell>
          <cell r="S22">
            <v>18812</v>
          </cell>
          <cell r="T22">
            <v>92769.057894908532</v>
          </cell>
        </row>
        <row r="23">
          <cell r="P23">
            <v>38866</v>
          </cell>
          <cell r="Q23">
            <v>17990</v>
          </cell>
          <cell r="R23">
            <v>13819.604506204985</v>
          </cell>
          <cell r="S23">
            <v>36802</v>
          </cell>
          <cell r="T23">
            <v>106588.66240111351</v>
          </cell>
        </row>
        <row r="24">
          <cell r="P24">
            <v>38867</v>
          </cell>
          <cell r="Q24">
            <v>34122</v>
          </cell>
          <cell r="R24">
            <v>15065.061449161627</v>
          </cell>
          <cell r="S24">
            <v>70924</v>
          </cell>
          <cell r="T24">
            <v>121653.72385027514</v>
          </cell>
        </row>
        <row r="25">
          <cell r="P25">
            <v>38868</v>
          </cell>
          <cell r="Q25">
            <v>51716</v>
          </cell>
          <cell r="R25">
            <v>13239.787592599077</v>
          </cell>
          <cell r="S25">
            <v>122640</v>
          </cell>
          <cell r="T25">
            <v>134893.51144287421</v>
          </cell>
        </row>
        <row r="26">
          <cell r="P26">
            <v>38869</v>
          </cell>
          <cell r="Q26">
            <v>51138</v>
          </cell>
          <cell r="R26">
            <v>15183.158066918772</v>
          </cell>
          <cell r="S26">
            <v>173778</v>
          </cell>
          <cell r="T26">
            <v>150076.66950979299</v>
          </cell>
        </row>
        <row r="27">
          <cell r="P27">
            <v>38870</v>
          </cell>
          <cell r="Q27">
            <v>47734</v>
          </cell>
          <cell r="R27">
            <v>13732.650692426996</v>
          </cell>
          <cell r="S27">
            <v>221512</v>
          </cell>
          <cell r="T27">
            <v>163809.32020222</v>
          </cell>
        </row>
        <row r="28">
          <cell r="P28">
            <v>38871</v>
          </cell>
          <cell r="Q28">
            <v>52220</v>
          </cell>
          <cell r="R28">
            <v>13602.831453662511</v>
          </cell>
          <cell r="S28">
            <v>273732</v>
          </cell>
          <cell r="T28">
            <v>177412.15165588251</v>
          </cell>
        </row>
        <row r="29">
          <cell r="P29">
            <v>38872</v>
          </cell>
          <cell r="Q29">
            <v>34778</v>
          </cell>
          <cell r="R29">
            <v>12564.333750107951</v>
          </cell>
          <cell r="S29">
            <v>308510</v>
          </cell>
          <cell r="T29">
            <v>189976.48540599045</v>
          </cell>
        </row>
        <row r="30">
          <cell r="P30">
            <v>38873</v>
          </cell>
          <cell r="Q30">
            <v>16594</v>
          </cell>
          <cell r="R30">
            <v>13638.598361575603</v>
          </cell>
          <cell r="S30">
            <v>325104</v>
          </cell>
          <cell r="T30">
            <v>203615.08376756604</v>
          </cell>
        </row>
        <row r="31">
          <cell r="P31">
            <v>38874</v>
          </cell>
          <cell r="Q31">
            <v>19494</v>
          </cell>
          <cell r="R31">
            <v>11592.357284477843</v>
          </cell>
          <cell r="S31">
            <v>344598</v>
          </cell>
          <cell r="T31">
            <v>215207.4410520439</v>
          </cell>
        </row>
        <row r="32">
          <cell r="P32">
            <v>38875</v>
          </cell>
          <cell r="Q32">
            <v>16914</v>
          </cell>
          <cell r="R32">
            <v>12707.274271359311</v>
          </cell>
          <cell r="S32">
            <v>361512</v>
          </cell>
          <cell r="T32">
            <v>227914.71532340322</v>
          </cell>
        </row>
        <row r="33">
          <cell r="P33">
            <v>38876</v>
          </cell>
          <cell r="Q33">
            <v>14210</v>
          </cell>
          <cell r="R33">
            <v>13314.551887142492</v>
          </cell>
          <cell r="S33">
            <v>375722</v>
          </cell>
          <cell r="T33">
            <v>241229.26721054572</v>
          </cell>
        </row>
        <row r="34">
          <cell r="P34">
            <v>38877</v>
          </cell>
          <cell r="Q34">
            <v>12476</v>
          </cell>
          <cell r="R34">
            <v>11470.569971369572</v>
          </cell>
          <cell r="S34">
            <v>388198</v>
          </cell>
          <cell r="T34">
            <v>252699.8371819153</v>
          </cell>
        </row>
        <row r="35">
          <cell r="P35">
            <v>38878</v>
          </cell>
          <cell r="Q35">
            <v>16360</v>
          </cell>
          <cell r="R35">
            <v>10285.232699623784</v>
          </cell>
          <cell r="S35">
            <v>404558</v>
          </cell>
          <cell r="T35">
            <v>262985.06988153909</v>
          </cell>
        </row>
        <row r="36">
          <cell r="P36">
            <v>38879</v>
          </cell>
          <cell r="Q36">
            <v>11486</v>
          </cell>
          <cell r="R36">
            <v>9416.4204982373049</v>
          </cell>
          <cell r="S36">
            <v>416044</v>
          </cell>
          <cell r="T36">
            <v>272401.4903797764</v>
          </cell>
        </row>
        <row r="37">
          <cell r="P37">
            <v>38880</v>
          </cell>
          <cell r="Q37">
            <v>8600</v>
          </cell>
          <cell r="R37">
            <v>8340.1555379215133</v>
          </cell>
          <cell r="S37">
            <v>424644</v>
          </cell>
          <cell r="T37">
            <v>280741.64591769793</v>
          </cell>
        </row>
        <row r="38">
          <cell r="P38">
            <v>38881</v>
          </cell>
          <cell r="Q38">
            <v>11316</v>
          </cell>
          <cell r="R38">
            <v>7292.071905273182</v>
          </cell>
          <cell r="S38">
            <v>435960</v>
          </cell>
          <cell r="T38">
            <v>288033.71782297111</v>
          </cell>
        </row>
        <row r="39">
          <cell r="P39">
            <v>38882</v>
          </cell>
          <cell r="Q39">
            <v>16350</v>
          </cell>
          <cell r="R39">
            <v>7130.3110507713118</v>
          </cell>
          <cell r="S39">
            <v>452310</v>
          </cell>
          <cell r="T39">
            <v>295164.02887374244</v>
          </cell>
        </row>
        <row r="40">
          <cell r="P40">
            <v>38883</v>
          </cell>
          <cell r="Q40">
            <v>19732</v>
          </cell>
          <cell r="R40">
            <v>7560.0739266120863</v>
          </cell>
          <cell r="S40">
            <v>472042</v>
          </cell>
          <cell r="T40">
            <v>302724.10280035454</v>
          </cell>
        </row>
        <row r="41">
          <cell r="P41">
            <v>38884</v>
          </cell>
          <cell r="Q41">
            <v>10880</v>
          </cell>
          <cell r="R41">
            <v>7447.0974282060752</v>
          </cell>
          <cell r="S41">
            <v>482922</v>
          </cell>
          <cell r="T41">
            <v>310171.2002285606</v>
          </cell>
        </row>
        <row r="42">
          <cell r="P42">
            <v>38885</v>
          </cell>
          <cell r="Q42">
            <v>10088</v>
          </cell>
          <cell r="R42">
            <v>7395.4467075250232</v>
          </cell>
          <cell r="S42">
            <v>493010</v>
          </cell>
          <cell r="T42">
            <v>317566.6469360856</v>
          </cell>
        </row>
        <row r="43">
          <cell r="P43">
            <v>38886</v>
          </cell>
          <cell r="Q43">
            <v>12452</v>
          </cell>
          <cell r="R43">
            <v>7205.953167116646</v>
          </cell>
          <cell r="S43">
            <v>505462</v>
          </cell>
          <cell r="T43">
            <v>324772.60010320222</v>
          </cell>
        </row>
        <row r="44">
          <cell r="P44">
            <v>38887</v>
          </cell>
          <cell r="Q44">
            <v>17884</v>
          </cell>
          <cell r="R44">
            <v>7479.4958218562624</v>
          </cell>
          <cell r="S44">
            <v>523346</v>
          </cell>
          <cell r="T44">
            <v>332252.09592505847</v>
          </cell>
        </row>
        <row r="45">
          <cell r="P45">
            <v>38888</v>
          </cell>
          <cell r="Q45">
            <v>14728</v>
          </cell>
          <cell r="R45">
            <v>7142.212060788017</v>
          </cell>
          <cell r="S45">
            <v>538074</v>
          </cell>
          <cell r="T45">
            <v>339394.30798584648</v>
          </cell>
        </row>
        <row r="46">
          <cell r="P46">
            <v>38889</v>
          </cell>
          <cell r="Q46">
            <v>15386</v>
          </cell>
          <cell r="R46">
            <v>6967.9685863599343</v>
          </cell>
          <cell r="S46">
            <v>553460</v>
          </cell>
          <cell r="T46">
            <v>346362.27657220641</v>
          </cell>
        </row>
        <row r="47">
          <cell r="P47">
            <v>38890</v>
          </cell>
          <cell r="Q47">
            <v>15466</v>
          </cell>
          <cell r="R47">
            <v>6712.3715861804276</v>
          </cell>
          <cell r="S47">
            <v>568926</v>
          </cell>
          <cell r="T47">
            <v>353074.64815838682</v>
          </cell>
        </row>
        <row r="48">
          <cell r="P48">
            <v>38891</v>
          </cell>
          <cell r="Q48">
            <v>10428</v>
          </cell>
          <cell r="R48">
            <v>6310.671731983959</v>
          </cell>
          <cell r="S48">
            <v>579354</v>
          </cell>
          <cell r="T48">
            <v>359385.31989037077</v>
          </cell>
        </row>
        <row r="49">
          <cell r="P49">
            <v>38892</v>
          </cell>
          <cell r="Q49">
            <v>9282</v>
          </cell>
          <cell r="R49">
            <v>6314.203290445781</v>
          </cell>
          <cell r="S49">
            <v>588636</v>
          </cell>
          <cell r="T49">
            <v>365699.52318081656</v>
          </cell>
        </row>
        <row r="50">
          <cell r="P50">
            <v>38893</v>
          </cell>
          <cell r="Q50">
            <v>14206</v>
          </cell>
          <cell r="R50">
            <v>6507.9825814109408</v>
          </cell>
          <cell r="S50">
            <v>602842</v>
          </cell>
          <cell r="T50">
            <v>372207.50576222752</v>
          </cell>
        </row>
        <row r="51">
          <cell r="P51">
            <v>38894</v>
          </cell>
          <cell r="Q51">
            <v>10958</v>
          </cell>
          <cell r="R51">
            <v>7231.7507084672734</v>
          </cell>
          <cell r="S51">
            <v>613800</v>
          </cell>
          <cell r="T51">
            <v>379439.25647069479</v>
          </cell>
        </row>
        <row r="52">
          <cell r="P52">
            <v>38895</v>
          </cell>
          <cell r="Q52">
            <v>8270</v>
          </cell>
          <cell r="R52">
            <v>7380.074092988817</v>
          </cell>
          <cell r="S52">
            <v>622070</v>
          </cell>
          <cell r="T52">
            <v>386819.33056368359</v>
          </cell>
        </row>
        <row r="53">
          <cell r="P53">
            <v>38896</v>
          </cell>
          <cell r="Q53">
            <v>9622</v>
          </cell>
          <cell r="R53">
            <v>7527.9872068613922</v>
          </cell>
          <cell r="S53">
            <v>631692</v>
          </cell>
          <cell r="T53">
            <v>394347.31777054496</v>
          </cell>
        </row>
        <row r="54">
          <cell r="P54">
            <v>38897</v>
          </cell>
          <cell r="Q54">
            <v>9756</v>
          </cell>
          <cell r="R54">
            <v>7624.8050571727927</v>
          </cell>
          <cell r="S54">
            <v>641448</v>
          </cell>
          <cell r="T54">
            <v>401972.12282771774</v>
          </cell>
        </row>
        <row r="55">
          <cell r="P55">
            <v>38898</v>
          </cell>
          <cell r="Q55">
            <v>8070</v>
          </cell>
          <cell r="R55">
            <v>7049.453983760196</v>
          </cell>
          <cell r="S55">
            <v>649518</v>
          </cell>
          <cell r="T55">
            <v>409021.57681147795</v>
          </cell>
        </row>
        <row r="56">
          <cell r="P56">
            <v>38899</v>
          </cell>
          <cell r="Q56">
            <v>9568</v>
          </cell>
          <cell r="R56">
            <v>7124.3899536359022</v>
          </cell>
          <cell r="S56">
            <v>659086</v>
          </cell>
          <cell r="T56">
            <v>416145.96676511387</v>
          </cell>
        </row>
        <row r="57">
          <cell r="P57">
            <v>38900</v>
          </cell>
          <cell r="Q57">
            <v>12224</v>
          </cell>
          <cell r="R57">
            <v>6818.7865403923397</v>
          </cell>
          <cell r="S57">
            <v>671310</v>
          </cell>
          <cell r="T57">
            <v>422964.75330550619</v>
          </cell>
        </row>
        <row r="58">
          <cell r="P58">
            <v>38901</v>
          </cell>
          <cell r="Q58">
            <v>14024</v>
          </cell>
          <cell r="R58">
            <v>6823.8132225287327</v>
          </cell>
          <cell r="S58">
            <v>685334</v>
          </cell>
          <cell r="T58">
            <v>429788.56652803492</v>
          </cell>
        </row>
        <row r="59">
          <cell r="P59">
            <v>38902</v>
          </cell>
          <cell r="Q59">
            <v>10176</v>
          </cell>
          <cell r="R59">
            <v>7167.96894293067</v>
          </cell>
          <cell r="S59">
            <v>695510</v>
          </cell>
          <cell r="T59">
            <v>436956.53547096561</v>
          </cell>
        </row>
        <row r="60">
          <cell r="P60">
            <v>38903</v>
          </cell>
          <cell r="Q60">
            <v>8996</v>
          </cell>
          <cell r="R60">
            <v>7673.4998498499281</v>
          </cell>
          <cell r="S60">
            <v>704506</v>
          </cell>
          <cell r="T60">
            <v>444630.03532081551</v>
          </cell>
        </row>
        <row r="61">
          <cell r="P61">
            <v>38904</v>
          </cell>
          <cell r="Q61">
            <v>9840</v>
          </cell>
          <cell r="R61">
            <v>7888.4678467885778</v>
          </cell>
          <cell r="S61">
            <v>714346</v>
          </cell>
          <cell r="T61">
            <v>452518.5031676041</v>
          </cell>
        </row>
        <row r="62">
          <cell r="P62">
            <v>38905</v>
          </cell>
          <cell r="Q62">
            <v>6900</v>
          </cell>
          <cell r="R62">
            <v>7564.0598839058175</v>
          </cell>
          <cell r="S62">
            <v>721246</v>
          </cell>
          <cell r="T62">
            <v>460082.5630515099</v>
          </cell>
        </row>
        <row r="63">
          <cell r="P63">
            <v>38906</v>
          </cell>
          <cell r="Q63">
            <v>5620</v>
          </cell>
          <cell r="R63">
            <v>8060.5338620492212</v>
          </cell>
          <cell r="S63">
            <v>726866</v>
          </cell>
          <cell r="T63">
            <v>468143.09691355913</v>
          </cell>
        </row>
        <row r="64">
          <cell r="P64">
            <v>38907</v>
          </cell>
          <cell r="Q64">
            <v>7568</v>
          </cell>
          <cell r="R64">
            <v>8341.9758196271232</v>
          </cell>
          <cell r="S64">
            <v>734434</v>
          </cell>
          <cell r="T64">
            <v>476485.07273318624</v>
          </cell>
        </row>
        <row r="65">
          <cell r="P65">
            <v>38908</v>
          </cell>
          <cell r="Q65">
            <v>10598</v>
          </cell>
          <cell r="R65">
            <v>8047.687382856142</v>
          </cell>
          <cell r="S65">
            <v>745032</v>
          </cell>
          <cell r="T65">
            <v>484532.76011604239</v>
          </cell>
        </row>
        <row r="66">
          <cell r="P66">
            <v>38909</v>
          </cell>
          <cell r="Q66">
            <v>11410</v>
          </cell>
          <cell r="R66">
            <v>7930.0325560626216</v>
          </cell>
          <cell r="S66">
            <v>756442</v>
          </cell>
          <cell r="T66">
            <v>492462.79267210502</v>
          </cell>
        </row>
        <row r="67">
          <cell r="P67">
            <v>38910</v>
          </cell>
          <cell r="Q67">
            <v>10824</v>
          </cell>
          <cell r="R67">
            <v>9793.7635856390698</v>
          </cell>
          <cell r="S67">
            <v>767266</v>
          </cell>
          <cell r="T67">
            <v>502256.55625774409</v>
          </cell>
        </row>
        <row r="68">
          <cell r="P68">
            <v>38911</v>
          </cell>
          <cell r="Q68">
            <v>11930</v>
          </cell>
          <cell r="R68">
            <v>9241.4323375265067</v>
          </cell>
          <cell r="S68">
            <v>779196</v>
          </cell>
          <cell r="T68">
            <v>511497.98859527061</v>
          </cell>
        </row>
        <row r="69">
          <cell r="P69">
            <v>38912</v>
          </cell>
          <cell r="Q69">
            <v>10078</v>
          </cell>
          <cell r="R69">
            <v>8968.0996002536885</v>
          </cell>
          <cell r="S69">
            <v>789274</v>
          </cell>
          <cell r="T69">
            <v>520466.08819552429</v>
          </cell>
        </row>
        <row r="70">
          <cell r="P70">
            <v>38913</v>
          </cell>
          <cell r="Q70">
            <v>10508</v>
          </cell>
          <cell r="R70">
            <v>9614.099101336571</v>
          </cell>
          <cell r="S70">
            <v>799782</v>
          </cell>
          <cell r="T70">
            <v>530080.18729686085</v>
          </cell>
        </row>
        <row r="71">
          <cell r="P71">
            <v>38914</v>
          </cell>
          <cell r="Q71">
            <v>7910</v>
          </cell>
          <cell r="R71">
            <v>9016.5826951987674</v>
          </cell>
          <cell r="S71">
            <v>807692</v>
          </cell>
          <cell r="T71">
            <v>539096.76999205956</v>
          </cell>
        </row>
        <row r="72">
          <cell r="P72">
            <v>38915</v>
          </cell>
          <cell r="Q72">
            <v>9984</v>
          </cell>
          <cell r="R72">
            <v>7382.4223921024432</v>
          </cell>
          <cell r="S72">
            <v>817676</v>
          </cell>
          <cell r="T72">
            <v>546479.19238416199</v>
          </cell>
        </row>
        <row r="73">
          <cell r="P73">
            <v>38916</v>
          </cell>
          <cell r="Q73">
            <v>12926</v>
          </cell>
          <cell r="R73">
            <v>7796.7623073230452</v>
          </cell>
          <cell r="S73">
            <v>830602</v>
          </cell>
          <cell r="T73">
            <v>554275.95469148504</v>
          </cell>
        </row>
        <row r="74">
          <cell r="P74">
            <v>38917</v>
          </cell>
          <cell r="Q74">
            <v>12484</v>
          </cell>
          <cell r="R74">
            <v>7154.0854279899158</v>
          </cell>
          <cell r="S74">
            <v>843086</v>
          </cell>
          <cell r="T74">
            <v>561430.04011947499</v>
          </cell>
        </row>
        <row r="75">
          <cell r="P75">
            <v>38918</v>
          </cell>
          <cell r="Q75">
            <v>13480</v>
          </cell>
          <cell r="R75">
            <v>6496.9912946356417</v>
          </cell>
          <cell r="S75">
            <v>856566</v>
          </cell>
          <cell r="T75">
            <v>567927.03141411068</v>
          </cell>
        </row>
        <row r="76">
          <cell r="P76">
            <v>38919</v>
          </cell>
          <cell r="Q76">
            <v>10090</v>
          </cell>
          <cell r="R76">
            <v>6286.2883093118062</v>
          </cell>
          <cell r="S76">
            <v>866656</v>
          </cell>
          <cell r="T76">
            <v>574213.31972342252</v>
          </cell>
        </row>
        <row r="77">
          <cell r="P77">
            <v>38920</v>
          </cell>
          <cell r="Q77">
            <v>7926</v>
          </cell>
          <cell r="R77">
            <v>6014.4854766123972</v>
          </cell>
          <cell r="S77">
            <v>874582</v>
          </cell>
          <cell r="T77">
            <v>580227.80520003487</v>
          </cell>
        </row>
        <row r="78">
          <cell r="P78">
            <v>38921</v>
          </cell>
          <cell r="Q78">
            <v>8564</v>
          </cell>
          <cell r="R78">
            <v>5114.2722707234216</v>
          </cell>
          <cell r="S78">
            <v>883146</v>
          </cell>
          <cell r="T78">
            <v>585342.07747075835</v>
          </cell>
        </row>
        <row r="79">
          <cell r="P79">
            <v>38922</v>
          </cell>
          <cell r="Q79">
            <v>11930</v>
          </cell>
          <cell r="R79">
            <v>5281.5441793529117</v>
          </cell>
          <cell r="S79">
            <v>895076</v>
          </cell>
          <cell r="T79">
            <v>590623.62165011128</v>
          </cell>
        </row>
        <row r="80">
          <cell r="P80">
            <v>38923</v>
          </cell>
          <cell r="Q80">
            <v>10002</v>
          </cell>
          <cell r="R80">
            <v>4777.4094936044112</v>
          </cell>
          <cell r="S80">
            <v>905078</v>
          </cell>
          <cell r="T80">
            <v>595401.03114371572</v>
          </cell>
        </row>
        <row r="81">
          <cell r="P81">
            <v>38924</v>
          </cell>
          <cell r="Q81">
            <v>7846</v>
          </cell>
          <cell r="R81">
            <v>4451.1940226120651</v>
          </cell>
          <cell r="S81">
            <v>912924</v>
          </cell>
          <cell r="T81">
            <v>599852.22516632779</v>
          </cell>
        </row>
        <row r="82">
          <cell r="P82">
            <v>38925</v>
          </cell>
          <cell r="Q82">
            <v>6934</v>
          </cell>
          <cell r="R82">
            <v>4122.925665633903</v>
          </cell>
          <cell r="S82">
            <v>919858</v>
          </cell>
          <cell r="T82">
            <v>603975.15083196166</v>
          </cell>
        </row>
        <row r="83">
          <cell r="P83">
            <v>38926</v>
          </cell>
          <cell r="Q83">
            <v>9958</v>
          </cell>
          <cell r="R83">
            <v>3843.9506773349467</v>
          </cell>
          <cell r="S83">
            <v>929816</v>
          </cell>
          <cell r="T83">
            <v>607819.10150929657</v>
          </cell>
        </row>
        <row r="84">
          <cell r="P84">
            <v>38927</v>
          </cell>
          <cell r="Q84">
            <v>12494</v>
          </cell>
          <cell r="R84">
            <v>3098.7677482513423</v>
          </cell>
          <cell r="S84">
            <v>942310</v>
          </cell>
          <cell r="T84">
            <v>610917.86925754789</v>
          </cell>
        </row>
        <row r="85">
          <cell r="P85">
            <v>38928</v>
          </cell>
          <cell r="Q85">
            <v>9962</v>
          </cell>
          <cell r="R85">
            <v>2750.0817766108607</v>
          </cell>
          <cell r="S85">
            <v>952272</v>
          </cell>
          <cell r="T85">
            <v>613667.9510341587</v>
          </cell>
        </row>
        <row r="86">
          <cell r="Q86">
            <v>7434</v>
          </cell>
          <cell r="S86">
            <v>959706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7.bin"/><Relationship Id="rId4" Type="http://schemas.openxmlformats.org/officeDocument/2006/relationships/comments" Target="../comments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00B050"/>
  </sheetPr>
  <dimension ref="A1:I71"/>
  <sheetViews>
    <sheetView workbookViewId="0">
      <selection activeCell="C18" sqref="C18"/>
    </sheetView>
  </sheetViews>
  <sheetFormatPr baseColWidth="10" defaultColWidth="8.7109375" defaultRowHeight="16"/>
  <cols>
    <col min="3" max="3" width="21.28515625" customWidth="1"/>
  </cols>
  <sheetData>
    <row r="1" spans="1:9">
      <c r="A1" s="2" t="s">
        <v>233</v>
      </c>
    </row>
    <row r="2" spans="1:9">
      <c r="A2" s="2" t="s">
        <v>102</v>
      </c>
    </row>
    <row r="3" spans="1:9">
      <c r="A3" s="2"/>
    </row>
    <row r="4" spans="1:9" s="2" customFormat="1">
      <c r="A4" s="2" t="s">
        <v>101</v>
      </c>
    </row>
    <row r="6" spans="1:9">
      <c r="A6" s="30" t="s">
        <v>104</v>
      </c>
      <c r="B6" s="30"/>
      <c r="C6" s="30"/>
      <c r="D6" s="30"/>
      <c r="E6" s="30"/>
      <c r="F6" s="30"/>
      <c r="G6" s="30"/>
      <c r="H6" s="30"/>
      <c r="I6" s="30"/>
    </row>
    <row r="7" spans="1:9">
      <c r="A7" s="29" t="str">
        <f>"Tabs in RED were not used to generate a forecast for " &amp; Forecast_Year &amp;". I apologize to anyone who is colorblind."</f>
        <v>Tabs in RED were not used to generate a forecast for 2018. I apologize to anyone who is colorblind.</v>
      </c>
      <c r="B7" s="29"/>
      <c r="C7" s="29"/>
      <c r="D7" s="29"/>
      <c r="E7" s="29"/>
      <c r="F7" s="29"/>
      <c r="G7" s="29"/>
      <c r="H7" s="29"/>
      <c r="I7" s="29"/>
    </row>
    <row r="8" spans="1:9" s="282" customFormat="1"/>
    <row r="9" spans="1:9">
      <c r="A9" s="2" t="s">
        <v>223</v>
      </c>
    </row>
    <row r="10" spans="1:9">
      <c r="A10" s="2"/>
      <c r="B10" t="s">
        <v>224</v>
      </c>
    </row>
    <row r="11" spans="1:9" ht="17" thickBot="1">
      <c r="A11" s="2"/>
    </row>
    <row r="12" spans="1:9" ht="29" thickBot="1">
      <c r="A12" s="2"/>
      <c r="B12" s="283" t="s">
        <v>222</v>
      </c>
      <c r="D12" s="279">
        <v>2018</v>
      </c>
    </row>
    <row r="13" spans="1:9">
      <c r="A13" s="2"/>
    </row>
    <row r="14" spans="1:9">
      <c r="A14" s="2"/>
    </row>
    <row r="15" spans="1:9">
      <c r="A15" s="2" t="s">
        <v>219</v>
      </c>
    </row>
    <row r="18" spans="2:2"/>
    <row r="36" spans="1:4">
      <c r="A36" t="s">
        <v>103</v>
      </c>
    </row>
    <row r="37" spans="1:4">
      <c r="A37" t="s">
        <v>105</v>
      </c>
    </row>
    <row r="38" spans="1:4">
      <c r="B38" t="s">
        <v>106</v>
      </c>
    </row>
    <row r="41" spans="1:4">
      <c r="A41" t="s">
        <v>113</v>
      </c>
    </row>
    <row r="42" spans="1:4">
      <c r="A42" t="s">
        <v>115</v>
      </c>
    </row>
    <row r="43" spans="1:4">
      <c r="B43" t="s">
        <v>107</v>
      </c>
    </row>
    <row r="44" spans="1:4">
      <c r="A44" t="s">
        <v>114</v>
      </c>
    </row>
    <row r="47" spans="1:4">
      <c r="B47" s="32"/>
    </row>
    <row r="48" spans="1:4">
      <c r="B48" s="32"/>
    </row>
    <row r="49" spans="2:2">
      <c r="B49" s="32"/>
    </row>
    <row r="50" spans="2:2">
      <c r="B50" s="32"/>
    </row>
    <row r="51" spans="2:2">
      <c r="B51" s="32"/>
    </row>
    <row r="52" spans="2:2">
      <c r="B52" s="32"/>
    </row>
    <row r="53" spans="2:2">
      <c r="B53" s="32"/>
    </row>
    <row r="54" spans="2:2">
      <c r="B54" s="32"/>
    </row>
    <row r="55" spans="2:2">
      <c r="B55" s="32"/>
    </row>
    <row r="56" spans="2:2">
      <c r="B56" s="32"/>
    </row>
    <row r="57" spans="2:2">
      <c r="B57" s="32"/>
    </row>
    <row r="58" spans="2:2">
      <c r="B58" s="32"/>
    </row>
    <row r="59" spans="2:2">
      <c r="B59" s="32"/>
    </row>
    <row r="60" spans="2:2">
      <c r="B60" s="32"/>
    </row>
    <row r="61" spans="2:2">
      <c r="B61" s="32"/>
    </row>
    <row r="62" spans="2:2">
      <c r="B62" s="32"/>
    </row>
    <row r="63" spans="2:2">
      <c r="B63" s="32"/>
    </row>
    <row r="64" spans="2:2">
      <c r="B64" s="32"/>
    </row>
    <row r="65" spans="2:2">
      <c r="B65" s="32"/>
    </row>
    <row r="66" spans="2:2">
      <c r="B66" s="32"/>
    </row>
    <row r="67" spans="2:2">
      <c r="B67" s="32"/>
    </row>
    <row r="68" spans="2:2">
      <c r="B68" s="32"/>
    </row>
    <row r="69" spans="2:2">
      <c r="B69" s="32"/>
    </row>
    <row r="70" spans="2:2">
      <c r="B70" s="32"/>
    </row>
    <row r="71" spans="2:2">
      <c r="B71" s="32"/>
    </row>
  </sheetData>
  <phoneticPr fontId="15" type="noConversion"/>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rgb="FF00B050"/>
  </sheetPr>
  <dimension ref="A1:AK221"/>
  <sheetViews>
    <sheetView tabSelected="1" zoomScaleNormal="100" workbookViewId="0">
      <pane ySplit="9" topLeftCell="A122" activePane="bottomLeft" state="frozen"/>
      <selection pane="bottomLeft" activeCell="L129" sqref="L129"/>
    </sheetView>
  </sheetViews>
  <sheetFormatPr baseColWidth="10" defaultColWidth="8.85546875" defaultRowHeight="16"/>
  <cols>
    <col min="1" max="1" width="10.7109375" style="69" customWidth="1"/>
    <col min="2" max="2" width="6.7109375" style="69" customWidth="1"/>
    <col min="3" max="3" width="11.5703125" style="69" customWidth="1"/>
    <col min="4" max="4" width="9" style="69" customWidth="1"/>
    <col min="5" max="5" width="21.42578125" style="69" customWidth="1"/>
    <col min="6" max="6" width="13.28515625" style="69" customWidth="1"/>
    <col min="7" max="7" width="12.140625" style="69" customWidth="1"/>
    <col min="8" max="8" width="11.28515625" style="69" customWidth="1"/>
    <col min="9" max="9" width="1.7109375" style="69" customWidth="1"/>
    <col min="10" max="10" width="12.7109375" style="69" customWidth="1"/>
    <col min="11" max="11" width="10.7109375" style="69" customWidth="1"/>
    <col min="12" max="12" width="18" style="69" customWidth="1"/>
    <col min="13" max="13" width="12.28515625" style="69" customWidth="1"/>
    <col min="14" max="14" width="8.85546875" style="69"/>
    <col min="15" max="15" width="16.140625" style="69" customWidth="1"/>
    <col min="16" max="16" width="11.7109375" style="69" customWidth="1"/>
    <col min="17" max="17" width="13.140625" style="69" customWidth="1"/>
    <col min="18" max="19" width="8.85546875" style="69"/>
    <col min="20" max="20" width="11.85546875" style="69" customWidth="1"/>
    <col min="21" max="21" width="8.85546875" style="69"/>
    <col min="22" max="22" width="12" style="69" customWidth="1"/>
    <col min="23" max="23" width="14.28515625" style="69" customWidth="1"/>
    <col min="24" max="26" width="8.85546875" style="69"/>
    <col min="27" max="28" width="11.28515625" style="69" customWidth="1"/>
    <col min="29" max="33" width="8.85546875" style="69"/>
    <col min="34" max="34" width="12.28515625" style="69" customWidth="1"/>
    <col min="35" max="35" width="12.140625" style="69" customWidth="1"/>
    <col min="36" max="36" width="10.7109375" style="69" customWidth="1"/>
    <col min="37" max="37" width="12.28515625" style="69" customWidth="1"/>
    <col min="38" max="16384" width="8.85546875" style="69"/>
  </cols>
  <sheetData>
    <row r="1" spans="1:26">
      <c r="A1" s="68" t="str">
        <f ca="1">CELL("filename",A1)</f>
        <v>/Users/janohlberger/Work/UW/Thresholds/Data/Rich/[2018_PWS_Wild_Pink_forecast_DRAFT.xlsm]Database</v>
      </c>
    </row>
    <row r="2" spans="1:26" ht="61.5" customHeight="1">
      <c r="A2" s="68"/>
      <c r="D2" s="278"/>
      <c r="F2" s="418" t="s">
        <v>245</v>
      </c>
      <c r="G2" s="351">
        <f>Forecast_Year</f>
        <v>2018</v>
      </c>
    </row>
    <row r="3" spans="1:26" ht="20">
      <c r="A3" s="352" t="str">
        <f>"Estimated WILD pink salmon forecasts and actual total run to Prince William Sound, 1960-" &amp;(G2-1)</f>
        <v>Estimated WILD pink salmon forecasts and actual total run to Prince William Sound, 1960-2017</v>
      </c>
    </row>
    <row r="4" spans="1:26" ht="17" thickBot="1">
      <c r="A4" s="265">
        <v>1</v>
      </c>
      <c r="B4" s="265">
        <v>2</v>
      </c>
      <c r="C4" s="265">
        <v>3</v>
      </c>
      <c r="D4" s="265">
        <v>4</v>
      </c>
      <c r="E4" s="265">
        <v>5</v>
      </c>
      <c r="F4" s="265">
        <v>6</v>
      </c>
      <c r="G4" s="265">
        <v>7</v>
      </c>
      <c r="H4" s="265">
        <v>8</v>
      </c>
      <c r="I4" s="265">
        <v>9</v>
      </c>
      <c r="J4" s="265">
        <v>10</v>
      </c>
      <c r="K4" s="265">
        <v>11</v>
      </c>
      <c r="L4" s="265">
        <v>12</v>
      </c>
      <c r="M4" s="265">
        <v>13</v>
      </c>
      <c r="N4" s="265">
        <v>14</v>
      </c>
      <c r="O4" s="265">
        <v>15</v>
      </c>
      <c r="P4" s="265">
        <v>16</v>
      </c>
      <c r="Q4" s="265">
        <v>17</v>
      </c>
      <c r="R4" s="265">
        <v>18</v>
      </c>
      <c r="S4" s="265">
        <v>19</v>
      </c>
      <c r="T4" s="265">
        <v>20</v>
      </c>
    </row>
    <row r="5" spans="1:26" ht="17" thickBot="1">
      <c r="A5" s="72"/>
      <c r="B5" s="72"/>
      <c r="C5" s="72"/>
      <c r="D5" s="138"/>
      <c r="E5" s="102"/>
      <c r="F5" s="103" t="s">
        <v>140</v>
      </c>
      <c r="G5" s="104">
        <v>0.436</v>
      </c>
      <c r="H5" s="127"/>
      <c r="I5" s="105"/>
      <c r="J5" s="105"/>
      <c r="K5" s="72"/>
    </row>
    <row r="6" spans="1:26" ht="17" thickBot="1">
      <c r="A6" s="72"/>
      <c r="B6" s="72"/>
      <c r="C6" s="72"/>
      <c r="D6" s="119"/>
      <c r="E6" s="120"/>
      <c r="F6" s="121"/>
      <c r="G6" s="139" t="s">
        <v>147</v>
      </c>
      <c r="H6" s="137">
        <v>0.8</v>
      </c>
      <c r="I6" s="105"/>
      <c r="J6" s="105"/>
      <c r="K6" s="72"/>
    </row>
    <row r="7" spans="1:26" ht="45">
      <c r="A7" s="589"/>
      <c r="B7" s="73"/>
      <c r="C7" s="417" t="s">
        <v>244</v>
      </c>
      <c r="D7" s="101"/>
      <c r="E7" s="101"/>
      <c r="F7" s="101"/>
      <c r="G7" s="101"/>
      <c r="H7" s="101"/>
      <c r="I7" s="101"/>
      <c r="J7" s="101"/>
      <c r="K7" s="101"/>
      <c r="O7" s="1027" t="s">
        <v>360</v>
      </c>
      <c r="P7" s="1028"/>
    </row>
    <row r="8" spans="1:26" ht="18">
      <c r="A8" s="125"/>
      <c r="B8" s="76"/>
      <c r="C8" s="70" t="s">
        <v>277</v>
      </c>
      <c r="D8" s="106"/>
      <c r="E8" s="106"/>
      <c r="F8" s="101" t="s">
        <v>234</v>
      </c>
      <c r="G8" s="71"/>
      <c r="H8" s="134"/>
      <c r="I8" s="94"/>
      <c r="J8" s="172" t="s">
        <v>239</v>
      </c>
      <c r="K8" s="173"/>
      <c r="L8" s="136"/>
      <c r="O8" s="1026" t="s">
        <v>216</v>
      </c>
      <c r="P8" s="1029"/>
    </row>
    <row r="9" spans="1:26" ht="103" thickBot="1">
      <c r="A9" s="200" t="s">
        <v>144</v>
      </c>
      <c r="B9" s="201" t="s">
        <v>173</v>
      </c>
      <c r="C9" s="84" t="s">
        <v>95</v>
      </c>
      <c r="D9" s="74" t="s">
        <v>96</v>
      </c>
      <c r="E9" s="354" t="s">
        <v>230</v>
      </c>
      <c r="F9" s="362" t="s">
        <v>229</v>
      </c>
      <c r="G9" s="140" t="s">
        <v>241</v>
      </c>
      <c r="H9" s="141" t="s">
        <v>149</v>
      </c>
      <c r="I9" s="74"/>
      <c r="J9" s="588" t="s">
        <v>150</v>
      </c>
      <c r="K9" s="145" t="s">
        <v>146</v>
      </c>
      <c r="L9" s="264" t="s">
        <v>148</v>
      </c>
      <c r="N9" s="222" t="s">
        <v>198</v>
      </c>
      <c r="O9" s="1030" t="s">
        <v>133</v>
      </c>
      <c r="P9" s="1031" t="s">
        <v>217</v>
      </c>
      <c r="Q9" s="350"/>
      <c r="S9" s="75" t="s">
        <v>7</v>
      </c>
      <c r="T9" s="350" t="s">
        <v>228</v>
      </c>
      <c r="U9" s="75" t="s">
        <v>7</v>
      </c>
      <c r="V9" s="350" t="s">
        <v>228</v>
      </c>
      <c r="W9" s="75" t="s">
        <v>135</v>
      </c>
      <c r="X9" s="69" t="s">
        <v>117</v>
      </c>
      <c r="Z9" s="69" t="s">
        <v>7</v>
      </c>
    </row>
    <row r="10" spans="1:26">
      <c r="A10" s="75">
        <v>1896</v>
      </c>
      <c r="B10" s="393"/>
      <c r="C10" s="392">
        <v>308180</v>
      </c>
      <c r="D10" s="84"/>
      <c r="E10" s="354"/>
      <c r="F10" s="362"/>
      <c r="G10" s="394"/>
      <c r="H10" s="354"/>
      <c r="I10" s="84"/>
      <c r="J10" s="354"/>
      <c r="K10" s="354"/>
      <c r="L10" s="395"/>
      <c r="N10" s="222"/>
      <c r="O10" s="394"/>
      <c r="P10" s="394"/>
      <c r="Q10" s="350"/>
      <c r="S10" s="75"/>
      <c r="T10" s="350"/>
      <c r="U10" s="75"/>
      <c r="V10" s="350"/>
      <c r="W10" s="75"/>
    </row>
    <row r="11" spans="1:26">
      <c r="A11" s="75">
        <v>1897</v>
      </c>
      <c r="B11" s="393"/>
      <c r="C11" s="392">
        <v>302290</v>
      </c>
      <c r="D11" s="84"/>
      <c r="E11" s="354"/>
      <c r="F11" s="362"/>
      <c r="G11" s="394"/>
      <c r="H11" s="354"/>
      <c r="I11" s="84"/>
      <c r="J11" s="354"/>
      <c r="K11" s="354"/>
      <c r="L11" s="395"/>
      <c r="N11" s="222"/>
      <c r="O11" s="394"/>
      <c r="P11" s="394"/>
      <c r="Q11" s="350"/>
      <c r="S11" s="75"/>
      <c r="T11" s="350"/>
      <c r="U11" s="75"/>
      <c r="V11" s="350"/>
      <c r="W11" s="75"/>
    </row>
    <row r="12" spans="1:26">
      <c r="A12" s="75">
        <v>1898</v>
      </c>
      <c r="B12" s="393"/>
      <c r="C12" s="392">
        <v>375246</v>
      </c>
      <c r="D12" s="84"/>
      <c r="E12" s="354"/>
      <c r="F12" s="362"/>
      <c r="G12" s="394"/>
      <c r="H12" s="354"/>
      <c r="I12" s="84"/>
      <c r="J12" s="354"/>
      <c r="K12" s="354"/>
      <c r="L12" s="395"/>
      <c r="N12" s="222"/>
      <c r="O12" s="394"/>
      <c r="P12" s="394"/>
      <c r="Q12" s="350"/>
      <c r="S12" s="75"/>
      <c r="T12" s="350"/>
      <c r="U12" s="75"/>
      <c r="V12" s="350"/>
      <c r="W12" s="75"/>
    </row>
    <row r="13" spans="1:26">
      <c r="A13" s="75">
        <v>1899</v>
      </c>
      <c r="B13" s="393"/>
      <c r="C13" s="392">
        <v>212907</v>
      </c>
      <c r="D13" s="84"/>
      <c r="E13" s="354"/>
      <c r="F13" s="362"/>
      <c r="G13" s="394"/>
      <c r="H13" s="354"/>
      <c r="I13" s="84"/>
      <c r="J13" s="354"/>
      <c r="K13" s="354"/>
      <c r="L13" s="395"/>
      <c r="N13" s="222"/>
      <c r="O13" s="394"/>
      <c r="P13" s="394"/>
      <c r="Q13" s="350"/>
      <c r="S13" s="75"/>
      <c r="T13" s="350"/>
      <c r="U13" s="75"/>
      <c r="V13" s="350"/>
      <c r="W13" s="75"/>
    </row>
    <row r="14" spans="1:26">
      <c r="A14" s="75">
        <v>1900</v>
      </c>
      <c r="B14" s="393"/>
      <c r="C14" s="392">
        <v>50565</v>
      </c>
      <c r="D14" s="84"/>
      <c r="E14" s="354"/>
      <c r="F14" s="362"/>
      <c r="G14" s="394"/>
      <c r="H14" s="354"/>
      <c r="I14" s="84"/>
      <c r="J14" s="354"/>
      <c r="K14" s="354"/>
      <c r="L14" s="395"/>
      <c r="N14" s="222"/>
      <c r="O14" s="394"/>
      <c r="P14" s="394"/>
      <c r="Q14" s="350"/>
      <c r="S14" s="75"/>
      <c r="T14" s="350"/>
      <c r="U14" s="75"/>
      <c r="V14" s="350"/>
      <c r="W14" s="75"/>
    </row>
    <row r="15" spans="1:26">
      <c r="A15" s="75">
        <v>1901</v>
      </c>
      <c r="B15" s="393"/>
      <c r="C15" s="392">
        <v>313806</v>
      </c>
      <c r="D15" s="84"/>
      <c r="E15" s="354"/>
      <c r="F15" s="362"/>
      <c r="G15" s="394"/>
      <c r="H15" s="354"/>
      <c r="I15" s="84"/>
      <c r="J15" s="354"/>
      <c r="K15" s="354"/>
      <c r="L15" s="395"/>
      <c r="N15" s="222"/>
      <c r="O15" s="394"/>
      <c r="P15" s="394"/>
      <c r="Q15" s="350"/>
      <c r="S15" s="75"/>
      <c r="T15" s="350"/>
      <c r="U15" s="75"/>
      <c r="V15" s="350"/>
      <c r="W15" s="75"/>
    </row>
    <row r="16" spans="1:26">
      <c r="A16" s="75">
        <v>1902</v>
      </c>
      <c r="B16" s="393"/>
      <c r="C16" s="392">
        <v>375408</v>
      </c>
      <c r="D16" s="84"/>
      <c r="E16" s="354"/>
      <c r="F16" s="362"/>
      <c r="G16" s="394"/>
      <c r="H16" s="354"/>
      <c r="I16" s="84"/>
      <c r="J16" s="354"/>
      <c r="K16" s="354"/>
      <c r="L16" s="395"/>
      <c r="N16" s="222"/>
      <c r="O16" s="394"/>
      <c r="P16" s="394"/>
      <c r="Q16" s="350"/>
      <c r="S16" s="75"/>
      <c r="T16" s="350"/>
      <c r="U16" s="75"/>
      <c r="V16" s="350"/>
      <c r="W16" s="75"/>
    </row>
    <row r="17" spans="1:23">
      <c r="A17" s="75">
        <v>1903</v>
      </c>
      <c r="B17" s="393"/>
      <c r="C17" s="392">
        <v>398926</v>
      </c>
      <c r="D17" s="84"/>
      <c r="E17" s="354"/>
      <c r="F17" s="362"/>
      <c r="G17" s="394"/>
      <c r="H17" s="354"/>
      <c r="I17" s="84"/>
      <c r="J17" s="354"/>
      <c r="K17" s="354"/>
      <c r="L17" s="395"/>
      <c r="N17" s="222"/>
      <c r="O17" s="394"/>
      <c r="P17" s="394"/>
      <c r="Q17" s="350"/>
      <c r="S17" s="75"/>
      <c r="T17" s="350"/>
      <c r="U17" s="75"/>
      <c r="V17" s="350"/>
      <c r="W17" s="75"/>
    </row>
    <row r="18" spans="1:23">
      <c r="A18" s="75">
        <v>1904</v>
      </c>
      <c r="B18" s="393"/>
      <c r="C18" s="392">
        <v>573967</v>
      </c>
      <c r="D18" s="84"/>
      <c r="E18" s="354"/>
      <c r="F18" s="362"/>
      <c r="G18" s="394"/>
      <c r="H18" s="354"/>
      <c r="I18" s="84"/>
      <c r="J18" s="354"/>
      <c r="K18" s="354"/>
      <c r="L18" s="395"/>
      <c r="N18" s="222"/>
      <c r="O18" s="394"/>
      <c r="P18" s="394"/>
      <c r="Q18" s="350"/>
      <c r="S18" s="75"/>
      <c r="T18" s="350"/>
      <c r="U18" s="75"/>
      <c r="V18" s="350"/>
      <c r="W18" s="75"/>
    </row>
    <row r="19" spans="1:23">
      <c r="A19" s="75">
        <v>1905</v>
      </c>
      <c r="B19" s="393"/>
      <c r="C19" s="392"/>
      <c r="D19" s="84"/>
      <c r="E19" s="354"/>
      <c r="F19" s="362"/>
      <c r="G19" s="394"/>
      <c r="H19" s="354"/>
      <c r="I19" s="84"/>
      <c r="J19" s="354"/>
      <c r="K19" s="354"/>
      <c r="L19" s="395"/>
      <c r="N19" s="222"/>
      <c r="O19" s="394"/>
      <c r="P19" s="394"/>
      <c r="Q19" s="350"/>
      <c r="S19" s="75"/>
      <c r="T19" s="350"/>
      <c r="U19" s="75"/>
      <c r="V19" s="350"/>
      <c r="W19" s="75"/>
    </row>
    <row r="20" spans="1:23">
      <c r="A20" s="75">
        <v>1906</v>
      </c>
      <c r="B20" s="393"/>
      <c r="C20" s="392"/>
      <c r="D20" s="84"/>
      <c r="E20" s="354"/>
      <c r="F20" s="362"/>
      <c r="G20" s="394"/>
      <c r="H20" s="354"/>
      <c r="I20" s="84"/>
      <c r="J20" s="354"/>
      <c r="K20" s="354"/>
      <c r="L20" s="395"/>
      <c r="N20" s="222"/>
      <c r="O20" s="394"/>
      <c r="P20" s="394"/>
      <c r="Q20" s="350"/>
      <c r="S20" s="75"/>
      <c r="T20" s="350"/>
      <c r="U20" s="75"/>
      <c r="V20" s="350"/>
      <c r="W20" s="75"/>
    </row>
    <row r="21" spans="1:23">
      <c r="A21" s="75">
        <v>1907</v>
      </c>
      <c r="B21" s="393"/>
      <c r="C21" s="392">
        <v>252373</v>
      </c>
      <c r="D21" s="84"/>
      <c r="E21" s="354"/>
      <c r="F21" s="362"/>
      <c r="G21" s="394"/>
      <c r="H21" s="354"/>
      <c r="I21" s="84"/>
      <c r="J21" s="354"/>
      <c r="K21" s="354"/>
      <c r="L21" s="395"/>
      <c r="N21" s="222"/>
      <c r="O21" s="394"/>
      <c r="P21" s="394"/>
      <c r="Q21" s="350"/>
      <c r="S21" s="75"/>
      <c r="T21" s="350"/>
      <c r="U21" s="75"/>
      <c r="V21" s="350"/>
      <c r="W21" s="75"/>
    </row>
    <row r="22" spans="1:23">
      <c r="A22" s="75">
        <v>1908</v>
      </c>
      <c r="B22" s="393"/>
      <c r="C22" s="392">
        <v>18018</v>
      </c>
      <c r="D22" s="84"/>
      <c r="E22" s="354"/>
      <c r="F22" s="362"/>
      <c r="G22" s="394"/>
      <c r="H22" s="354"/>
      <c r="I22" s="84"/>
      <c r="J22" s="354"/>
      <c r="K22" s="354"/>
      <c r="L22" s="395"/>
      <c r="N22" s="222"/>
      <c r="O22" s="394"/>
      <c r="P22" s="394"/>
      <c r="Q22" s="350"/>
      <c r="S22" s="75"/>
      <c r="T22" s="350"/>
      <c r="U22" s="75"/>
      <c r="V22" s="350"/>
      <c r="W22" s="75"/>
    </row>
    <row r="23" spans="1:23">
      <c r="A23" s="75">
        <v>1909</v>
      </c>
      <c r="B23" s="393"/>
      <c r="C23" s="392"/>
      <c r="D23" s="84"/>
      <c r="E23" s="354"/>
      <c r="F23" s="362"/>
      <c r="G23" s="394"/>
      <c r="H23" s="354"/>
      <c r="I23" s="84"/>
      <c r="J23" s="354"/>
      <c r="K23" s="354"/>
      <c r="L23" s="395"/>
      <c r="N23" s="222"/>
      <c r="O23" s="394"/>
      <c r="P23" s="394"/>
      <c r="Q23" s="350"/>
      <c r="S23" s="75"/>
      <c r="T23" s="350"/>
      <c r="U23" s="75"/>
      <c r="V23" s="350"/>
      <c r="W23" s="75"/>
    </row>
    <row r="24" spans="1:23">
      <c r="A24" s="75">
        <v>1910</v>
      </c>
      <c r="B24" s="393"/>
      <c r="C24" s="392">
        <v>196871</v>
      </c>
      <c r="D24" s="84"/>
      <c r="E24" s="354"/>
      <c r="F24" s="362"/>
      <c r="G24" s="394"/>
      <c r="H24" s="354"/>
      <c r="I24" s="84"/>
      <c r="J24" s="354"/>
      <c r="K24" s="354"/>
      <c r="L24" s="395"/>
      <c r="N24" s="222"/>
      <c r="O24" s="394"/>
      <c r="P24" s="394"/>
      <c r="Q24" s="350"/>
      <c r="S24" s="75"/>
      <c r="T24" s="350"/>
      <c r="U24" s="75"/>
      <c r="V24" s="350"/>
      <c r="W24" s="75"/>
    </row>
    <row r="25" spans="1:23">
      <c r="A25" s="75">
        <v>1911</v>
      </c>
      <c r="B25" s="393"/>
      <c r="C25" s="392">
        <v>156349</v>
      </c>
      <c r="D25" s="84"/>
      <c r="E25" s="354"/>
      <c r="F25" s="362"/>
      <c r="G25" s="394"/>
      <c r="H25" s="354"/>
      <c r="I25" s="84"/>
      <c r="J25" s="354"/>
      <c r="K25" s="354"/>
      <c r="L25" s="395"/>
      <c r="N25" s="222"/>
      <c r="O25" s="394"/>
      <c r="P25" s="394"/>
      <c r="Q25" s="350"/>
      <c r="S25" s="75"/>
      <c r="T25" s="350"/>
      <c r="U25" s="75"/>
      <c r="V25" s="350"/>
      <c r="W25" s="75"/>
    </row>
    <row r="26" spans="1:23">
      <c r="A26" s="75">
        <v>1912</v>
      </c>
      <c r="B26" s="393"/>
      <c r="C26" s="392">
        <v>401892</v>
      </c>
      <c r="D26" s="84"/>
      <c r="E26" s="354"/>
      <c r="F26" s="362"/>
      <c r="G26" s="394"/>
      <c r="H26" s="354"/>
      <c r="I26" s="84"/>
      <c r="J26" s="354"/>
      <c r="K26" s="354"/>
      <c r="L26" s="395"/>
      <c r="N26" s="222"/>
      <c r="O26" s="394"/>
      <c r="P26" s="394"/>
      <c r="Q26" s="350"/>
      <c r="S26" s="75"/>
      <c r="T26" s="350"/>
      <c r="U26" s="75"/>
      <c r="V26" s="350"/>
      <c r="W26" s="75"/>
    </row>
    <row r="27" spans="1:23">
      <c r="A27" s="75">
        <v>1913</v>
      </c>
      <c r="B27" s="393"/>
      <c r="C27" s="392">
        <v>425574</v>
      </c>
      <c r="D27" s="84"/>
      <c r="E27" s="354"/>
      <c r="F27" s="362"/>
      <c r="G27" s="394"/>
      <c r="H27" s="354"/>
      <c r="I27" s="84"/>
      <c r="J27" s="354"/>
      <c r="K27" s="354"/>
      <c r="L27" s="395"/>
      <c r="N27" s="222"/>
      <c r="O27" s="394"/>
      <c r="P27" s="394"/>
      <c r="Q27" s="350"/>
      <c r="S27" s="75"/>
      <c r="T27" s="350"/>
      <c r="U27" s="75"/>
      <c r="V27" s="350"/>
      <c r="W27" s="75"/>
    </row>
    <row r="28" spans="1:23">
      <c r="A28" s="75">
        <v>1914</v>
      </c>
      <c r="B28" s="393"/>
      <c r="C28" s="392">
        <v>224906</v>
      </c>
      <c r="D28" s="84"/>
      <c r="E28" s="354"/>
      <c r="F28" s="362"/>
      <c r="G28" s="394"/>
      <c r="H28" s="354"/>
      <c r="I28" s="84"/>
      <c r="J28" s="354"/>
      <c r="K28" s="354"/>
      <c r="L28" s="395"/>
      <c r="N28" s="222"/>
      <c r="O28" s="394"/>
      <c r="P28" s="394"/>
      <c r="Q28" s="350"/>
      <c r="S28" s="75"/>
      <c r="T28" s="350"/>
      <c r="U28" s="75"/>
      <c r="V28" s="350"/>
      <c r="W28" s="75"/>
    </row>
    <row r="29" spans="1:23">
      <c r="A29" s="75">
        <v>1915</v>
      </c>
      <c r="B29" s="393"/>
      <c r="C29" s="392">
        <v>449174</v>
      </c>
      <c r="D29" s="84"/>
      <c r="E29" s="354"/>
      <c r="F29" s="362"/>
      <c r="G29" s="394"/>
      <c r="H29" s="354"/>
      <c r="I29" s="84"/>
      <c r="J29" s="354"/>
      <c r="K29" s="354"/>
      <c r="L29" s="395"/>
      <c r="N29" s="222"/>
      <c r="O29" s="394"/>
      <c r="P29" s="394"/>
      <c r="Q29" s="350"/>
      <c r="S29" s="75"/>
      <c r="T29" s="350"/>
      <c r="U29" s="75"/>
      <c r="V29" s="350"/>
      <c r="W29" s="75"/>
    </row>
    <row r="30" spans="1:23">
      <c r="A30" s="75">
        <v>1916</v>
      </c>
      <c r="B30" s="393"/>
      <c r="C30" s="392">
        <v>3270282</v>
      </c>
      <c r="D30" s="84"/>
      <c r="E30" s="354"/>
      <c r="F30" s="362"/>
      <c r="G30" s="394"/>
      <c r="H30" s="354"/>
      <c r="I30" s="84"/>
      <c r="J30" s="354"/>
      <c r="K30" s="354"/>
      <c r="L30" s="395"/>
      <c r="N30" s="222"/>
      <c r="O30" s="394"/>
      <c r="P30" s="394"/>
      <c r="Q30" s="350"/>
      <c r="S30" s="75"/>
      <c r="T30" s="350"/>
      <c r="U30" s="75"/>
      <c r="V30" s="350"/>
      <c r="W30" s="75"/>
    </row>
    <row r="31" spans="1:23">
      <c r="A31" s="75">
        <v>1917</v>
      </c>
      <c r="B31" s="393"/>
      <c r="C31" s="392">
        <v>2590563</v>
      </c>
      <c r="D31" s="84"/>
      <c r="E31" s="354"/>
      <c r="F31" s="362"/>
      <c r="G31" s="394"/>
      <c r="H31" s="354"/>
      <c r="I31" s="84"/>
      <c r="J31" s="354"/>
      <c r="K31" s="354"/>
      <c r="L31" s="395"/>
      <c r="N31" s="222"/>
      <c r="O31" s="394"/>
      <c r="P31" s="394"/>
      <c r="Q31" s="350"/>
      <c r="S31" s="75"/>
      <c r="T31" s="350"/>
      <c r="U31" s="75"/>
      <c r="V31" s="350"/>
      <c r="W31" s="75"/>
    </row>
    <row r="32" spans="1:23">
      <c r="A32" s="75">
        <v>1918</v>
      </c>
      <c r="B32" s="393"/>
      <c r="C32" s="392">
        <v>4302646</v>
      </c>
      <c r="D32" s="84"/>
      <c r="E32" s="354"/>
      <c r="F32" s="362"/>
      <c r="G32" s="394"/>
      <c r="H32" s="354"/>
      <c r="I32" s="84"/>
      <c r="J32" s="354"/>
      <c r="K32" s="354"/>
      <c r="L32" s="395"/>
      <c r="N32" s="222"/>
      <c r="O32" s="394"/>
      <c r="P32" s="394"/>
      <c r="Q32" s="350"/>
      <c r="S32" s="75"/>
      <c r="T32" s="350"/>
      <c r="U32" s="75"/>
      <c r="V32" s="350"/>
      <c r="W32" s="75"/>
    </row>
    <row r="33" spans="1:23">
      <c r="A33" s="75">
        <v>1919</v>
      </c>
      <c r="B33" s="393"/>
      <c r="C33" s="392">
        <v>1008312</v>
      </c>
      <c r="D33" s="84"/>
      <c r="E33" s="354"/>
      <c r="F33" s="362"/>
      <c r="G33" s="394"/>
      <c r="H33" s="354"/>
      <c r="I33" s="84"/>
      <c r="J33" s="354"/>
      <c r="K33" s="354"/>
      <c r="L33" s="395"/>
      <c r="N33" s="222"/>
      <c r="O33" s="394"/>
      <c r="P33" s="394"/>
      <c r="Q33" s="350"/>
      <c r="S33" s="75"/>
      <c r="T33" s="350"/>
      <c r="U33" s="75"/>
      <c r="V33" s="350"/>
      <c r="W33" s="75"/>
    </row>
    <row r="34" spans="1:23">
      <c r="A34" s="75">
        <v>1920</v>
      </c>
      <c r="B34" s="393"/>
      <c r="C34" s="392">
        <v>5314747</v>
      </c>
      <c r="D34" s="84"/>
      <c r="E34" s="354"/>
      <c r="F34" s="362"/>
      <c r="G34" s="394"/>
      <c r="H34" s="354"/>
      <c r="I34" s="84"/>
      <c r="J34" s="354"/>
      <c r="K34" s="354"/>
      <c r="L34" s="395"/>
      <c r="N34" s="222"/>
      <c r="O34" s="394"/>
      <c r="P34" s="394"/>
      <c r="Q34" s="350"/>
      <c r="S34" s="75"/>
      <c r="T34" s="350"/>
      <c r="U34" s="75"/>
      <c r="V34" s="350"/>
      <c r="W34" s="75"/>
    </row>
    <row r="35" spans="1:23">
      <c r="A35" s="75">
        <v>1921</v>
      </c>
      <c r="B35" s="393"/>
      <c r="C35" s="392">
        <v>12644</v>
      </c>
      <c r="D35" s="84"/>
      <c r="E35" s="354"/>
      <c r="F35" s="362"/>
      <c r="G35" s="394"/>
      <c r="H35" s="354"/>
      <c r="I35" s="84"/>
      <c r="J35" s="354"/>
      <c r="K35" s="354"/>
      <c r="L35" s="395"/>
      <c r="N35" s="222"/>
      <c r="O35" s="394"/>
      <c r="P35" s="394"/>
      <c r="Q35" s="350"/>
      <c r="S35" s="75"/>
      <c r="T35" s="350"/>
      <c r="U35" s="75"/>
      <c r="V35" s="350"/>
      <c r="W35" s="75"/>
    </row>
    <row r="36" spans="1:23">
      <c r="A36" s="75">
        <v>1922</v>
      </c>
      <c r="B36" s="393"/>
      <c r="C36" s="392">
        <v>2421272</v>
      </c>
      <c r="D36" s="84"/>
      <c r="E36" s="354"/>
      <c r="F36" s="362"/>
      <c r="G36" s="394"/>
      <c r="H36" s="354"/>
      <c r="I36" s="84"/>
      <c r="J36" s="354"/>
      <c r="K36" s="354"/>
      <c r="L36" s="395"/>
      <c r="N36" s="222"/>
      <c r="O36" s="394"/>
      <c r="P36" s="394"/>
      <c r="Q36" s="350"/>
      <c r="S36" s="75"/>
      <c r="T36" s="350"/>
      <c r="U36" s="75"/>
      <c r="V36" s="350"/>
      <c r="W36" s="75"/>
    </row>
    <row r="37" spans="1:23">
      <c r="A37" s="75">
        <v>1923</v>
      </c>
      <c r="B37" s="393"/>
      <c r="C37" s="392">
        <v>2447006</v>
      </c>
      <c r="D37" s="84"/>
      <c r="E37" s="354"/>
      <c r="F37" s="362"/>
      <c r="G37" s="394"/>
      <c r="H37" s="354"/>
      <c r="I37" s="84"/>
      <c r="J37" s="354"/>
      <c r="K37" s="354"/>
      <c r="L37" s="395"/>
      <c r="N37" s="222"/>
      <c r="O37" s="394"/>
      <c r="P37" s="394"/>
      <c r="Q37" s="350"/>
      <c r="S37" s="75"/>
      <c r="T37" s="350"/>
      <c r="U37" s="75"/>
      <c r="V37" s="350"/>
      <c r="W37" s="75"/>
    </row>
    <row r="38" spans="1:23">
      <c r="A38" s="75">
        <v>1924</v>
      </c>
      <c r="B38" s="393"/>
      <c r="C38" s="392">
        <v>8395901</v>
      </c>
      <c r="D38" s="84"/>
      <c r="E38" s="354"/>
      <c r="F38" s="362"/>
      <c r="G38" s="394"/>
      <c r="H38" s="354"/>
      <c r="I38" s="84"/>
      <c r="J38" s="354"/>
      <c r="K38" s="354"/>
      <c r="L38" s="395"/>
      <c r="N38" s="222"/>
      <c r="O38" s="394"/>
      <c r="P38" s="394"/>
      <c r="Q38" s="350"/>
      <c r="S38" s="75"/>
      <c r="T38" s="350"/>
      <c r="U38" s="75"/>
      <c r="V38" s="350"/>
      <c r="W38" s="75"/>
    </row>
    <row r="39" spans="1:23">
      <c r="A39" s="75">
        <v>1925</v>
      </c>
      <c r="B39" s="393"/>
      <c r="C39" s="392">
        <v>4085084</v>
      </c>
      <c r="D39" s="84"/>
      <c r="E39" s="354"/>
      <c r="F39" s="362"/>
      <c r="G39" s="394"/>
      <c r="H39" s="354"/>
      <c r="I39" s="84"/>
      <c r="J39" s="354"/>
      <c r="K39" s="354"/>
      <c r="L39" s="395"/>
      <c r="N39" s="222"/>
      <c r="O39" s="394"/>
      <c r="P39" s="394"/>
      <c r="Q39" s="350"/>
      <c r="S39" s="75"/>
      <c r="T39" s="350"/>
      <c r="U39" s="75"/>
      <c r="V39" s="350"/>
      <c r="W39" s="75"/>
    </row>
    <row r="40" spans="1:23">
      <c r="A40" s="75">
        <v>1926</v>
      </c>
      <c r="B40" s="393"/>
      <c r="C40" s="392">
        <v>11153663</v>
      </c>
      <c r="D40" s="84"/>
      <c r="E40" s="354"/>
      <c r="F40" s="362"/>
      <c r="G40" s="394"/>
      <c r="H40" s="354"/>
      <c r="I40" s="84"/>
      <c r="J40" s="354"/>
      <c r="K40" s="354"/>
      <c r="L40" s="395"/>
      <c r="N40" s="222"/>
      <c r="O40" s="394"/>
      <c r="P40" s="394"/>
      <c r="Q40" s="350"/>
      <c r="S40" s="75"/>
      <c r="T40" s="350"/>
      <c r="U40" s="75"/>
      <c r="V40" s="350"/>
      <c r="W40" s="75"/>
    </row>
    <row r="41" spans="1:23">
      <c r="A41" s="75">
        <v>1927</v>
      </c>
      <c r="B41" s="393"/>
      <c r="C41" s="392">
        <v>6124911</v>
      </c>
      <c r="D41" s="84"/>
      <c r="E41" s="354"/>
      <c r="F41" s="362"/>
      <c r="G41" s="394"/>
      <c r="H41" s="354"/>
      <c r="I41" s="84"/>
      <c r="J41" s="354"/>
      <c r="K41" s="354"/>
      <c r="L41" s="395"/>
      <c r="N41" s="222"/>
      <c r="O41" s="394"/>
      <c r="P41" s="394"/>
      <c r="Q41" s="350"/>
      <c r="S41" s="75"/>
      <c r="T41" s="350"/>
      <c r="U41" s="75"/>
      <c r="V41" s="350"/>
      <c r="W41" s="75"/>
    </row>
    <row r="42" spans="1:23">
      <c r="A42" s="75">
        <v>1928</v>
      </c>
      <c r="B42" s="393"/>
      <c r="C42" s="392">
        <v>8034200</v>
      </c>
      <c r="D42" s="84"/>
      <c r="E42" s="354"/>
      <c r="F42" s="362"/>
      <c r="G42" s="394"/>
      <c r="H42" s="354"/>
      <c r="I42" s="84"/>
      <c r="J42" s="354"/>
      <c r="K42" s="354"/>
      <c r="L42" s="395"/>
      <c r="N42" s="222"/>
      <c r="O42" s="394"/>
      <c r="P42" s="394"/>
      <c r="Q42" s="350"/>
      <c r="S42" s="75"/>
      <c r="T42" s="350"/>
      <c r="U42" s="75"/>
      <c r="V42" s="350"/>
      <c r="W42" s="75"/>
    </row>
    <row r="43" spans="1:23">
      <c r="A43" s="75">
        <v>1929</v>
      </c>
      <c r="B43" s="393"/>
      <c r="C43" s="392">
        <v>9613500</v>
      </c>
      <c r="D43" s="84"/>
      <c r="E43" s="354"/>
      <c r="F43" s="362"/>
      <c r="G43" s="394"/>
      <c r="H43" s="354"/>
      <c r="I43" s="84"/>
      <c r="J43" s="354"/>
      <c r="K43" s="354"/>
      <c r="L43" s="395"/>
      <c r="N43" s="222"/>
      <c r="O43" s="394"/>
      <c r="P43" s="394"/>
      <c r="Q43" s="350"/>
      <c r="S43" s="75"/>
      <c r="T43" s="350"/>
      <c r="U43" s="75"/>
      <c r="V43" s="350"/>
      <c r="W43" s="75"/>
    </row>
    <row r="44" spans="1:23">
      <c r="A44" s="75">
        <v>1930</v>
      </c>
      <c r="B44" s="393"/>
      <c r="C44" s="392">
        <v>6776860</v>
      </c>
      <c r="D44" s="84"/>
      <c r="E44" s="354"/>
      <c r="F44" s="362"/>
      <c r="G44" s="394"/>
      <c r="H44" s="354"/>
      <c r="I44" s="84"/>
      <c r="J44" s="354"/>
      <c r="K44" s="354"/>
      <c r="L44" s="395"/>
      <c r="N44" s="222"/>
      <c r="O44" s="394"/>
      <c r="P44" s="394"/>
      <c r="Q44" s="350"/>
      <c r="S44" s="75"/>
      <c r="T44" s="350"/>
      <c r="U44" s="75"/>
      <c r="V44" s="350"/>
      <c r="W44" s="75"/>
    </row>
    <row r="45" spans="1:23">
      <c r="A45" s="75">
        <v>1931</v>
      </c>
      <c r="B45" s="393"/>
      <c r="C45" s="392">
        <v>6415800</v>
      </c>
      <c r="D45" s="84"/>
      <c r="E45" s="354"/>
      <c r="F45" s="362"/>
      <c r="G45" s="394"/>
      <c r="H45" s="354"/>
      <c r="I45" s="84"/>
      <c r="J45" s="354"/>
      <c r="K45" s="354"/>
      <c r="L45" s="395"/>
      <c r="N45" s="222"/>
      <c r="O45" s="394"/>
      <c r="P45" s="394"/>
      <c r="Q45" s="350"/>
      <c r="S45" s="75"/>
      <c r="T45" s="350"/>
      <c r="U45" s="75"/>
      <c r="V45" s="350"/>
      <c r="W45" s="75"/>
    </row>
    <row r="46" spans="1:23">
      <c r="A46" s="75">
        <v>1932</v>
      </c>
      <c r="B46" s="393"/>
      <c r="C46" s="392">
        <v>3272180</v>
      </c>
      <c r="D46" s="84"/>
      <c r="E46" s="354"/>
      <c r="F46" s="362"/>
      <c r="G46" s="394"/>
      <c r="H46" s="354"/>
      <c r="I46" s="84"/>
      <c r="J46" s="354"/>
      <c r="K46" s="354"/>
      <c r="L46" s="395"/>
      <c r="N46" s="222"/>
      <c r="O46" s="394"/>
      <c r="P46" s="394"/>
      <c r="Q46" s="350"/>
      <c r="S46" s="75"/>
      <c r="T46" s="350"/>
      <c r="U46" s="75"/>
      <c r="V46" s="350"/>
      <c r="W46" s="75"/>
    </row>
    <row r="47" spans="1:23">
      <c r="A47" s="75">
        <v>1933</v>
      </c>
      <c r="B47" s="393"/>
      <c r="C47" s="392">
        <v>3016300</v>
      </c>
      <c r="D47" s="84"/>
      <c r="E47" s="354"/>
      <c r="F47" s="362"/>
      <c r="G47" s="394"/>
      <c r="H47" s="354"/>
      <c r="I47" s="84"/>
      <c r="J47" s="354"/>
      <c r="K47" s="354"/>
      <c r="L47" s="395"/>
      <c r="N47" s="222"/>
      <c r="O47" s="394"/>
      <c r="P47" s="394"/>
      <c r="Q47" s="350"/>
      <c r="S47" s="75"/>
      <c r="T47" s="350"/>
      <c r="U47" s="75"/>
      <c r="V47" s="350"/>
      <c r="W47" s="75"/>
    </row>
    <row r="48" spans="1:23">
      <c r="A48" s="75">
        <v>1934</v>
      </c>
      <c r="B48" s="393"/>
      <c r="C48" s="392">
        <v>6546960</v>
      </c>
      <c r="D48" s="84"/>
      <c r="E48" s="354"/>
      <c r="F48" s="362"/>
      <c r="G48" s="394"/>
      <c r="H48" s="354"/>
      <c r="I48" s="84"/>
      <c r="J48" s="354"/>
      <c r="K48" s="354"/>
      <c r="L48" s="395"/>
      <c r="N48" s="222"/>
      <c r="O48" s="394"/>
      <c r="P48" s="394"/>
      <c r="Q48" s="350"/>
      <c r="S48" s="75"/>
      <c r="T48" s="350"/>
      <c r="U48" s="75"/>
      <c r="V48" s="350"/>
      <c r="W48" s="75"/>
    </row>
    <row r="49" spans="1:23">
      <c r="A49" s="75">
        <v>1935</v>
      </c>
      <c r="B49" s="393"/>
      <c r="C49" s="392">
        <v>3430600</v>
      </c>
      <c r="D49" s="84"/>
      <c r="E49" s="354"/>
      <c r="F49" s="362"/>
      <c r="G49" s="394"/>
      <c r="H49" s="354"/>
      <c r="I49" s="84"/>
      <c r="J49" s="354"/>
      <c r="K49" s="354"/>
      <c r="L49" s="395"/>
      <c r="N49" s="222"/>
      <c r="O49" s="394"/>
      <c r="P49" s="394"/>
      <c r="Q49" s="350"/>
      <c r="S49" s="75"/>
      <c r="T49" s="350"/>
      <c r="U49" s="75"/>
      <c r="V49" s="350"/>
      <c r="W49" s="75"/>
    </row>
    <row r="50" spans="1:23">
      <c r="A50" s="75">
        <v>1936</v>
      </c>
      <c r="B50" s="393"/>
      <c r="C50" s="392">
        <v>9659150</v>
      </c>
      <c r="D50" s="84"/>
      <c r="E50" s="354"/>
      <c r="F50" s="362"/>
      <c r="G50" s="394"/>
      <c r="H50" s="354"/>
      <c r="I50" s="84"/>
      <c r="J50" s="354"/>
      <c r="K50" s="354"/>
      <c r="L50" s="395"/>
      <c r="N50" s="222"/>
      <c r="O50" s="394"/>
      <c r="P50" s="394"/>
      <c r="Q50" s="350"/>
      <c r="S50" s="75"/>
      <c r="T50" s="350"/>
      <c r="U50" s="75"/>
      <c r="V50" s="350"/>
      <c r="W50" s="75"/>
    </row>
    <row r="51" spans="1:23">
      <c r="A51" s="75">
        <v>1937</v>
      </c>
      <c r="B51" s="393"/>
      <c r="C51" s="392">
        <v>3764897</v>
      </c>
      <c r="D51" s="84"/>
      <c r="E51" s="354"/>
      <c r="F51" s="362"/>
      <c r="G51" s="394"/>
      <c r="H51" s="354"/>
      <c r="I51" s="84"/>
      <c r="J51" s="354"/>
      <c r="K51" s="354"/>
      <c r="L51" s="395"/>
      <c r="N51" s="222"/>
      <c r="O51" s="394"/>
      <c r="P51" s="394"/>
      <c r="Q51" s="350"/>
      <c r="S51" s="75"/>
      <c r="T51" s="350"/>
      <c r="U51" s="75"/>
      <c r="V51" s="350"/>
      <c r="W51" s="75"/>
    </row>
    <row r="52" spans="1:23">
      <c r="A52" s="75">
        <v>1938</v>
      </c>
      <c r="B52" s="393"/>
      <c r="C52" s="392">
        <v>7838938</v>
      </c>
      <c r="D52" s="84"/>
      <c r="E52" s="354"/>
      <c r="F52" s="362"/>
      <c r="G52" s="394"/>
      <c r="H52" s="354"/>
      <c r="I52" s="84"/>
      <c r="J52" s="354"/>
      <c r="K52" s="354"/>
      <c r="L52" s="395"/>
      <c r="N52" s="222"/>
      <c r="O52" s="394"/>
      <c r="P52" s="394"/>
      <c r="Q52" s="350"/>
      <c r="S52" s="75"/>
      <c r="T52" s="350"/>
      <c r="U52" s="75"/>
      <c r="V52" s="350"/>
      <c r="W52" s="75"/>
    </row>
    <row r="53" spans="1:23">
      <c r="A53" s="75">
        <v>1939</v>
      </c>
      <c r="B53" s="393"/>
      <c r="C53" s="392">
        <v>2162500</v>
      </c>
      <c r="D53" s="84"/>
      <c r="E53" s="354"/>
      <c r="F53" s="362"/>
      <c r="G53" s="394"/>
      <c r="H53" s="354"/>
      <c r="I53" s="84"/>
      <c r="J53" s="354"/>
      <c r="K53" s="354"/>
      <c r="L53" s="395"/>
      <c r="N53" s="222"/>
      <c r="O53" s="394"/>
      <c r="P53" s="394"/>
      <c r="Q53" s="350"/>
      <c r="S53" s="75"/>
      <c r="T53" s="350"/>
      <c r="U53" s="75"/>
      <c r="V53" s="350"/>
      <c r="W53" s="75"/>
    </row>
    <row r="54" spans="1:23">
      <c r="A54" s="75">
        <v>1940</v>
      </c>
      <c r="B54" s="393"/>
      <c r="C54" s="392">
        <v>11217518</v>
      </c>
      <c r="D54" s="84"/>
      <c r="E54" s="354"/>
      <c r="F54" s="362"/>
      <c r="G54" s="394"/>
      <c r="H54" s="354"/>
      <c r="I54" s="84"/>
      <c r="J54" s="354"/>
      <c r="K54" s="354"/>
      <c r="L54" s="395"/>
      <c r="N54" s="222"/>
      <c r="O54" s="394"/>
      <c r="P54" s="394"/>
      <c r="Q54" s="350"/>
      <c r="S54" s="75"/>
      <c r="T54" s="350"/>
      <c r="U54" s="75"/>
      <c r="V54" s="350"/>
      <c r="W54" s="75"/>
    </row>
    <row r="55" spans="1:23">
      <c r="A55" s="75">
        <v>1941</v>
      </c>
      <c r="B55" s="393"/>
      <c r="C55" s="392">
        <v>3341908</v>
      </c>
      <c r="D55" s="84"/>
      <c r="E55" s="354"/>
      <c r="F55" s="362"/>
      <c r="G55" s="394"/>
      <c r="H55" s="354"/>
      <c r="I55" s="84"/>
      <c r="J55" s="354"/>
      <c r="K55" s="354"/>
      <c r="L55" s="395"/>
      <c r="N55" s="222"/>
      <c r="O55" s="394"/>
      <c r="P55" s="394"/>
      <c r="Q55" s="350"/>
      <c r="S55" s="75"/>
      <c r="T55" s="350"/>
      <c r="U55" s="75"/>
      <c r="V55" s="350"/>
      <c r="W55" s="75"/>
    </row>
    <row r="56" spans="1:23">
      <c r="A56" s="75">
        <v>1942</v>
      </c>
      <c r="B56" s="393"/>
      <c r="C56" s="392">
        <v>7669569</v>
      </c>
      <c r="D56" s="84"/>
      <c r="E56" s="354"/>
      <c r="F56" s="362"/>
      <c r="G56" s="394"/>
      <c r="H56" s="354"/>
      <c r="I56" s="84"/>
      <c r="J56" s="354"/>
      <c r="K56" s="354"/>
      <c r="L56" s="395"/>
      <c r="N56" s="222"/>
      <c r="O56" s="394"/>
      <c r="P56" s="394"/>
      <c r="Q56" s="350"/>
      <c r="S56" s="75"/>
      <c r="T56" s="350"/>
      <c r="U56" s="75"/>
      <c r="V56" s="350"/>
      <c r="W56" s="75"/>
    </row>
    <row r="57" spans="1:23">
      <c r="A57" s="75">
        <v>1943</v>
      </c>
      <c r="B57" s="393"/>
      <c r="C57" s="392">
        <v>11259996</v>
      </c>
      <c r="D57" s="84"/>
      <c r="E57" s="354"/>
      <c r="F57" s="362"/>
      <c r="G57" s="394"/>
      <c r="H57" s="354"/>
      <c r="I57" s="84"/>
      <c r="J57" s="354"/>
      <c r="K57" s="354"/>
      <c r="L57" s="395"/>
      <c r="N57" s="222"/>
      <c r="O57" s="394"/>
      <c r="P57" s="394"/>
      <c r="Q57" s="350"/>
      <c r="S57" s="75"/>
      <c r="T57" s="350"/>
      <c r="U57" s="75"/>
      <c r="V57" s="350"/>
      <c r="W57" s="75"/>
    </row>
    <row r="58" spans="1:23">
      <c r="A58" s="75">
        <v>1944</v>
      </c>
      <c r="B58" s="393"/>
      <c r="C58" s="392">
        <v>8670423</v>
      </c>
      <c r="D58" s="84"/>
      <c r="E58" s="354"/>
      <c r="F58" s="362"/>
      <c r="G58" s="394"/>
      <c r="H58" s="354"/>
      <c r="I58" s="84"/>
      <c r="J58" s="354"/>
      <c r="K58" s="354"/>
      <c r="L58" s="395"/>
      <c r="N58" s="222"/>
      <c r="O58" s="394"/>
      <c r="P58" s="394"/>
      <c r="Q58" s="350"/>
      <c r="S58" s="75"/>
      <c r="T58" s="350"/>
      <c r="U58" s="75"/>
      <c r="V58" s="350"/>
      <c r="W58" s="75"/>
    </row>
    <row r="59" spans="1:23">
      <c r="A59" s="75">
        <v>1945</v>
      </c>
      <c r="B59" s="393"/>
      <c r="C59" s="392">
        <v>12139224</v>
      </c>
      <c r="D59" s="84"/>
      <c r="E59" s="354"/>
      <c r="F59" s="362"/>
      <c r="G59" s="394"/>
      <c r="H59" s="354"/>
      <c r="I59" s="84"/>
      <c r="J59" s="354"/>
      <c r="K59" s="354"/>
      <c r="L59" s="395"/>
      <c r="N59" s="222"/>
      <c r="O59" s="394"/>
      <c r="P59" s="394"/>
      <c r="Q59" s="350"/>
      <c r="S59" s="75"/>
      <c r="T59" s="350"/>
      <c r="U59" s="75"/>
      <c r="V59" s="350"/>
      <c r="W59" s="75"/>
    </row>
    <row r="60" spans="1:23">
      <c r="A60" s="75">
        <v>1946</v>
      </c>
      <c r="B60" s="393"/>
      <c r="C60" s="392">
        <v>8504417</v>
      </c>
      <c r="D60" s="84"/>
      <c r="E60" s="354"/>
      <c r="F60" s="362"/>
      <c r="G60" s="394"/>
      <c r="H60" s="354"/>
      <c r="I60" s="84"/>
      <c r="J60" s="354"/>
      <c r="K60" s="354"/>
      <c r="L60" s="395"/>
      <c r="N60" s="222"/>
      <c r="O60" s="394"/>
      <c r="P60" s="394"/>
      <c r="Q60" s="350"/>
      <c r="S60" s="75"/>
      <c r="T60" s="350"/>
      <c r="U60" s="75"/>
      <c r="V60" s="350"/>
      <c r="W60" s="75"/>
    </row>
    <row r="61" spans="1:23">
      <c r="A61" s="75">
        <v>1947</v>
      </c>
      <c r="B61" s="393"/>
      <c r="C61" s="392">
        <v>8398398</v>
      </c>
      <c r="D61" s="84"/>
      <c r="E61" s="354"/>
      <c r="F61" s="362"/>
      <c r="G61" s="394"/>
      <c r="H61" s="354"/>
      <c r="I61" s="84"/>
      <c r="J61" s="354"/>
      <c r="K61" s="354"/>
      <c r="L61" s="395"/>
      <c r="N61" s="222"/>
      <c r="O61" s="394"/>
      <c r="P61" s="394"/>
      <c r="Q61" s="350"/>
      <c r="S61" s="75"/>
      <c r="T61" s="350"/>
      <c r="U61" s="75"/>
      <c r="V61" s="350"/>
      <c r="W61" s="75"/>
    </row>
    <row r="62" spans="1:23">
      <c r="A62" s="75">
        <v>1948</v>
      </c>
      <c r="B62" s="393"/>
      <c r="C62" s="392">
        <v>2625076</v>
      </c>
      <c r="D62" s="84"/>
      <c r="E62" s="354"/>
      <c r="F62" s="362"/>
      <c r="G62" s="394"/>
      <c r="H62" s="354"/>
      <c r="I62" s="84"/>
      <c r="J62" s="354"/>
      <c r="K62" s="354"/>
      <c r="L62" s="395"/>
      <c r="N62" s="222"/>
      <c r="O62" s="394"/>
      <c r="P62" s="394"/>
      <c r="Q62" s="350"/>
      <c r="S62" s="75"/>
      <c r="T62" s="350"/>
      <c r="U62" s="75"/>
      <c r="V62" s="350"/>
      <c r="W62" s="75"/>
    </row>
    <row r="63" spans="1:23">
      <c r="A63" s="75">
        <v>1949</v>
      </c>
      <c r="B63" s="393"/>
      <c r="C63" s="392">
        <v>6180384</v>
      </c>
      <c r="D63" s="84"/>
      <c r="E63" s="354"/>
      <c r="F63" s="362"/>
      <c r="G63" s="394"/>
      <c r="H63" s="354"/>
      <c r="I63" s="84"/>
      <c r="J63" s="354"/>
      <c r="K63" s="354"/>
      <c r="L63" s="395"/>
      <c r="N63" s="222"/>
      <c r="O63" s="394"/>
      <c r="P63" s="394"/>
      <c r="Q63" s="350"/>
      <c r="S63" s="75"/>
      <c r="T63" s="350"/>
      <c r="U63" s="75"/>
      <c r="V63" s="350"/>
      <c r="W63" s="75"/>
    </row>
    <row r="64" spans="1:23">
      <c r="A64" s="75">
        <v>1950</v>
      </c>
      <c r="B64" s="393"/>
      <c r="C64" s="392">
        <v>1793330</v>
      </c>
      <c r="D64" s="84"/>
      <c r="E64" s="354"/>
      <c r="F64" s="362"/>
      <c r="G64" s="394"/>
      <c r="H64" s="354"/>
      <c r="I64" s="84"/>
      <c r="J64" s="354"/>
      <c r="K64" s="354"/>
      <c r="L64" s="395"/>
      <c r="N64" s="222"/>
      <c r="O64" s="394"/>
      <c r="P64" s="394"/>
      <c r="Q64" s="350"/>
      <c r="S64" s="75"/>
      <c r="T64" s="350"/>
      <c r="U64" s="75"/>
      <c r="V64" s="350"/>
      <c r="W64" s="75"/>
    </row>
    <row r="65" spans="1:35">
      <c r="A65" s="75">
        <v>1951</v>
      </c>
      <c r="B65" s="393"/>
      <c r="C65" s="392">
        <v>802892</v>
      </c>
      <c r="D65" s="84"/>
      <c r="E65" s="354"/>
      <c r="F65" s="362"/>
      <c r="G65" s="394"/>
      <c r="H65" s="354"/>
      <c r="I65" s="84"/>
      <c r="J65" s="354"/>
      <c r="K65" s="354"/>
      <c r="L65" s="395"/>
      <c r="N65" s="222"/>
      <c r="O65" s="394"/>
      <c r="P65" s="394"/>
      <c r="Q65" s="350"/>
      <c r="S65" s="75"/>
      <c r="T65" s="350"/>
      <c r="U65" s="75"/>
      <c r="V65" s="350"/>
      <c r="W65" s="75"/>
    </row>
    <row r="66" spans="1:35">
      <c r="A66" s="75">
        <v>1952</v>
      </c>
      <c r="B66" s="393"/>
      <c r="C66" s="392">
        <v>2161556</v>
      </c>
      <c r="D66" s="84"/>
      <c r="E66" s="354"/>
      <c r="F66" s="362"/>
      <c r="G66" s="394"/>
      <c r="H66" s="354"/>
      <c r="I66" s="84"/>
      <c r="J66" s="354"/>
      <c r="K66" s="354"/>
      <c r="L66" s="395"/>
      <c r="N66" s="222"/>
      <c r="O66" s="394"/>
      <c r="P66" s="394"/>
      <c r="Q66" s="350"/>
      <c r="S66" s="75"/>
      <c r="T66" s="350"/>
      <c r="U66" s="75"/>
      <c r="V66" s="350"/>
      <c r="W66" s="75"/>
    </row>
    <row r="67" spans="1:35">
      <c r="A67" s="75">
        <v>1953</v>
      </c>
      <c r="B67" s="393"/>
      <c r="C67" s="392">
        <v>1996413</v>
      </c>
      <c r="D67" s="84"/>
      <c r="E67" s="354"/>
      <c r="F67" s="362"/>
      <c r="G67" s="394"/>
      <c r="H67" s="354"/>
      <c r="I67" s="84"/>
      <c r="J67" s="354"/>
      <c r="K67" s="354"/>
      <c r="L67" s="395"/>
      <c r="N67" s="222"/>
      <c r="O67" s="394"/>
      <c r="P67" s="394"/>
      <c r="Q67" s="350"/>
      <c r="S67" s="75"/>
      <c r="T67" s="350"/>
      <c r="U67" s="75"/>
      <c r="V67" s="350"/>
      <c r="W67" s="75"/>
    </row>
    <row r="68" spans="1:35">
      <c r="A68" s="75">
        <v>1954</v>
      </c>
      <c r="B68" s="393"/>
      <c r="C68" s="392">
        <v>12142</v>
      </c>
      <c r="D68" s="84"/>
      <c r="E68" s="354"/>
      <c r="F68" s="362"/>
      <c r="G68" s="394"/>
      <c r="H68" s="354"/>
      <c r="I68" s="84"/>
      <c r="J68" s="354"/>
      <c r="K68" s="354"/>
      <c r="L68" s="395"/>
      <c r="N68" s="222"/>
      <c r="O68" s="394"/>
      <c r="P68" s="394"/>
      <c r="Q68" s="350"/>
      <c r="S68" s="75"/>
      <c r="T68" s="350"/>
      <c r="U68" s="75"/>
      <c r="V68" s="350"/>
      <c r="W68" s="75"/>
    </row>
    <row r="69" spans="1:35">
      <c r="A69" s="75">
        <v>1955</v>
      </c>
      <c r="B69" s="393"/>
      <c r="C69" s="392">
        <v>26873</v>
      </c>
      <c r="D69" s="84"/>
      <c r="E69" s="354"/>
      <c r="F69" s="362"/>
      <c r="G69" s="394"/>
      <c r="H69" s="354"/>
      <c r="I69" s="84"/>
      <c r="J69" s="354"/>
      <c r="K69" s="354"/>
      <c r="L69" s="395"/>
      <c r="N69" s="222"/>
      <c r="O69" s="394"/>
      <c r="P69" s="394"/>
      <c r="Q69" s="350"/>
      <c r="S69" s="75"/>
      <c r="T69" s="350"/>
      <c r="U69" s="75"/>
      <c r="V69" s="350"/>
      <c r="W69" s="75"/>
    </row>
    <row r="70" spans="1:35">
      <c r="A70" s="75">
        <v>1956</v>
      </c>
      <c r="B70" s="393"/>
      <c r="C70" s="392">
        <v>4525408</v>
      </c>
      <c r="D70" s="84"/>
      <c r="E70" s="354"/>
      <c r="F70" s="362"/>
      <c r="G70" s="394"/>
      <c r="H70" s="354"/>
      <c r="I70" s="84"/>
      <c r="J70" s="354"/>
      <c r="K70" s="354"/>
      <c r="L70" s="395"/>
      <c r="N70" s="222"/>
      <c r="O70" s="394"/>
      <c r="P70" s="394"/>
      <c r="Q70" s="350"/>
      <c r="S70" s="75"/>
      <c r="T70" s="350"/>
      <c r="U70" s="75"/>
      <c r="V70" s="350"/>
      <c r="W70" s="75"/>
    </row>
    <row r="71" spans="1:35">
      <c r="A71" s="75">
        <v>1957</v>
      </c>
      <c r="B71" s="393"/>
      <c r="C71" s="392">
        <v>649001</v>
      </c>
      <c r="D71" s="84"/>
      <c r="E71" s="354"/>
      <c r="F71" s="362"/>
      <c r="G71" s="394"/>
      <c r="H71" s="354"/>
      <c r="I71" s="84"/>
      <c r="J71" s="354"/>
      <c r="K71" s="354"/>
      <c r="L71" s="395"/>
      <c r="N71" s="222"/>
      <c r="O71" s="394"/>
      <c r="P71" s="394"/>
      <c r="Q71" s="350"/>
      <c r="S71" s="75"/>
      <c r="T71" s="350"/>
      <c r="U71" s="1115" t="s">
        <v>242</v>
      </c>
      <c r="V71" s="1115"/>
      <c r="W71" s="1115"/>
      <c r="X71" s="1115"/>
      <c r="Z71" s="1115" t="s">
        <v>243</v>
      </c>
      <c r="AA71" s="1115"/>
      <c r="AB71" s="1115"/>
      <c r="AC71" s="1115"/>
    </row>
    <row r="72" spans="1:35">
      <c r="A72" s="75">
        <v>1958</v>
      </c>
      <c r="B72" s="393"/>
      <c r="C72" s="392">
        <v>6289924</v>
      </c>
      <c r="D72" s="84"/>
      <c r="E72" s="354"/>
      <c r="F72" s="362"/>
      <c r="G72" s="394"/>
      <c r="H72" s="354"/>
      <c r="I72" s="84"/>
      <c r="J72" s="354"/>
      <c r="K72" s="354"/>
      <c r="L72" s="395"/>
      <c r="N72" s="222"/>
      <c r="O72" s="394"/>
      <c r="P72" s="394"/>
      <c r="Q72" s="350"/>
      <c r="S72" s="75"/>
      <c r="T72" s="350"/>
      <c r="U72" s="75"/>
      <c r="V72" s="350"/>
      <c r="W72" s="75"/>
    </row>
    <row r="73" spans="1:35" ht="17" thickBot="1">
      <c r="A73" s="590">
        <v>1959</v>
      </c>
      <c r="B73" s="393"/>
      <c r="C73" s="392">
        <v>229</v>
      </c>
      <c r="D73" s="84"/>
      <c r="E73" s="354"/>
      <c r="F73" s="362"/>
      <c r="G73" s="394"/>
      <c r="H73" s="354"/>
      <c r="I73" s="84"/>
      <c r="J73" s="354"/>
      <c r="K73" s="354"/>
      <c r="L73" s="395"/>
      <c r="N73" s="222"/>
      <c r="O73" s="394"/>
      <c r="P73" s="394"/>
      <c r="Q73" s="350"/>
      <c r="S73" s="75"/>
      <c r="T73" s="350"/>
      <c r="U73" s="75"/>
      <c r="V73" s="350"/>
      <c r="W73" s="75"/>
      <c r="AG73" s="69" t="s">
        <v>7</v>
      </c>
      <c r="AH73" s="427" t="s">
        <v>86</v>
      </c>
      <c r="AI73" s="427" t="s">
        <v>139</v>
      </c>
    </row>
    <row r="74" spans="1:35">
      <c r="A74" s="75">
        <v>1960</v>
      </c>
      <c r="B74" s="77" t="s">
        <v>86</v>
      </c>
      <c r="C74" s="85">
        <v>1841896</v>
      </c>
      <c r="D74" s="79" t="s">
        <v>138</v>
      </c>
      <c r="E74" s="79" t="s">
        <v>138</v>
      </c>
      <c r="F74" s="85">
        <v>1350722</v>
      </c>
      <c r="G74" s="83">
        <f>F74/$G$5</f>
        <v>3097986.2385321101</v>
      </c>
      <c r="H74" s="83">
        <f>G74/$H$6</f>
        <v>3872482.7981651374</v>
      </c>
      <c r="I74" s="83"/>
      <c r="J74" s="83">
        <f t="shared" ref="J74:J105" si="0">SUM(F74,E74,D74,C74)</f>
        <v>3192618</v>
      </c>
      <c r="K74" s="83">
        <f t="shared" ref="K74:K105" si="1">SUM(G74,E74,D74,C74)</f>
        <v>4939882.2385321101</v>
      </c>
      <c r="L74" s="83">
        <f t="shared" ref="L74:L105" si="2">SUM(H74,E74,D74,C74)</f>
        <v>5714378.7981651369</v>
      </c>
      <c r="R74" s="69">
        <f>RANK(L74,$L$74:$L$127)</f>
        <v>39</v>
      </c>
      <c r="S74" s="75">
        <v>1960</v>
      </c>
      <c r="T74" s="83">
        <f>SUM(C74:D74)</f>
        <v>1841896</v>
      </c>
      <c r="U74" s="75">
        <v>1960</v>
      </c>
      <c r="V74" s="83">
        <f>VLOOKUP(U74,$S$74:$T$130,2,FALSE)</f>
        <v>1841896</v>
      </c>
      <c r="W74" s="83">
        <f t="shared" ref="W74:W101" si="3">VLOOKUP($U74,$A$74:$J$130,10,FALSE)</f>
        <v>3192618</v>
      </c>
      <c r="X74" s="407">
        <f>RANK(W74,$W$74:$W$106)</f>
        <v>21</v>
      </c>
      <c r="AG74" s="1086">
        <v>1960</v>
      </c>
      <c r="AH74" s="1087">
        <v>3192618</v>
      </c>
      <c r="AI74" s="1087"/>
    </row>
    <row r="75" spans="1:35">
      <c r="A75" s="75">
        <v>1961</v>
      </c>
      <c r="B75" s="77" t="s">
        <v>139</v>
      </c>
      <c r="C75" s="86">
        <v>2298218</v>
      </c>
      <c r="D75" s="79" t="s">
        <v>138</v>
      </c>
      <c r="E75" s="79" t="s">
        <v>138</v>
      </c>
      <c r="F75" s="86">
        <v>2198980</v>
      </c>
      <c r="G75" s="83">
        <f t="shared" ref="G75:G79" si="4">F75/$G$5</f>
        <v>5043532.1100917431</v>
      </c>
      <c r="H75" s="83">
        <f t="shared" ref="H75:H105" si="5">G75/$H$6</f>
        <v>6304415.1376146786</v>
      </c>
      <c r="I75" s="83"/>
      <c r="J75" s="83">
        <f t="shared" si="0"/>
        <v>4497198</v>
      </c>
      <c r="K75" s="83">
        <f t="shared" si="1"/>
        <v>7341750.1100917431</v>
      </c>
      <c r="L75" s="83">
        <f t="shared" si="2"/>
        <v>8602633.1376146786</v>
      </c>
      <c r="N75" s="68"/>
      <c r="O75" s="269"/>
      <c r="P75" s="269"/>
      <c r="R75" s="69">
        <f t="shared" ref="R75:R126" si="6">RANK(L75,$L$74:$L$127)</f>
        <v>26</v>
      </c>
      <c r="S75" s="353">
        <f>S74+1</f>
        <v>1961</v>
      </c>
      <c r="T75" s="83">
        <f t="shared" ref="T75:T131" si="7">SUM(C75:D75)</f>
        <v>2298218</v>
      </c>
      <c r="U75" s="353">
        <f>U74+2</f>
        <v>1962</v>
      </c>
      <c r="V75" s="83">
        <f t="shared" ref="V75:V102" si="8">VLOOKUP(U75,$S$74:$T$130,2,FALSE)</f>
        <v>6742316</v>
      </c>
      <c r="W75" s="83">
        <f t="shared" si="3"/>
        <v>8760326</v>
      </c>
      <c r="X75" s="407">
        <f t="shared" ref="X75:X100" si="9">RANK(W75,$W$74:$W$106)</f>
        <v>5</v>
      </c>
      <c r="Z75" s="408">
        <f>S75</f>
        <v>1961</v>
      </c>
      <c r="AA75" s="83">
        <f>VLOOKUP(Z75,$S$74:$T$130,2,FALSE)</f>
        <v>2298218</v>
      </c>
      <c r="AB75" s="83">
        <f>VLOOKUP($Z75,$A$74:$J$130,10,FALSE)</f>
        <v>4497198</v>
      </c>
      <c r="AC75" s="407">
        <f>RANK(AB75,$AB$75:$AB$107)</f>
        <v>22</v>
      </c>
      <c r="AG75" s="1086">
        <v>1961</v>
      </c>
      <c r="AH75" s="1087"/>
      <c r="AI75" s="1087">
        <v>4497198</v>
      </c>
    </row>
    <row r="76" spans="1:35">
      <c r="A76" s="75">
        <v>1962</v>
      </c>
      <c r="B76" s="77" t="s">
        <v>86</v>
      </c>
      <c r="C76" s="81">
        <v>6742316</v>
      </c>
      <c r="D76" s="79" t="s">
        <v>138</v>
      </c>
      <c r="E76" s="79" t="s">
        <v>138</v>
      </c>
      <c r="F76" s="88">
        <v>2018010</v>
      </c>
      <c r="G76" s="83">
        <f t="shared" si="4"/>
        <v>4628463.3027522936</v>
      </c>
      <c r="H76" s="83">
        <f t="shared" si="5"/>
        <v>5785579.1284403671</v>
      </c>
      <c r="I76" s="83"/>
      <c r="J76" s="83">
        <f t="shared" si="0"/>
        <v>8760326</v>
      </c>
      <c r="K76" s="83">
        <f t="shared" si="1"/>
        <v>11370779.302752294</v>
      </c>
      <c r="L76" s="83">
        <f t="shared" si="2"/>
        <v>12527895.128440367</v>
      </c>
      <c r="M76" s="78"/>
      <c r="N76" s="68">
        <f>L76/H74</f>
        <v>3.2351067212942413</v>
      </c>
      <c r="O76" s="269"/>
      <c r="P76" s="269"/>
      <c r="R76" s="69">
        <f t="shared" si="6"/>
        <v>17</v>
      </c>
      <c r="S76" s="353">
        <f t="shared" ref="S76:S131" si="10">S75+1</f>
        <v>1962</v>
      </c>
      <c r="T76" s="83">
        <f t="shared" si="7"/>
        <v>6742316</v>
      </c>
      <c r="U76" s="353">
        <f t="shared" ref="U76:U102" si="11">U75+2</f>
        <v>1964</v>
      </c>
      <c r="V76" s="83">
        <f t="shared" si="8"/>
        <v>4206896</v>
      </c>
      <c r="W76" s="83">
        <f t="shared" si="3"/>
        <v>6048576</v>
      </c>
      <c r="X76" s="407">
        <f t="shared" si="9"/>
        <v>7</v>
      </c>
      <c r="Z76" s="408">
        <f>Z75+2</f>
        <v>1963</v>
      </c>
      <c r="AA76" s="83">
        <f t="shared" ref="AA76:AA103" si="12">VLOOKUP(Z76,$S$74:$T$130,2,FALSE)</f>
        <v>5295378</v>
      </c>
      <c r="AB76" s="83">
        <f t="shared" ref="AB76:AB102" si="13">VLOOKUP($Z76,$A$74:$J$130,10,FALSE)</f>
        <v>6651118</v>
      </c>
      <c r="AC76" s="407">
        <f t="shared" ref="AC76:AC101" si="14">RANK(AB76,$AB$75:$AB$107)</f>
        <v>18</v>
      </c>
      <c r="AG76" s="1086">
        <v>1962</v>
      </c>
      <c r="AH76" s="1087">
        <v>8760326</v>
      </c>
      <c r="AI76" s="1087"/>
    </row>
    <row r="77" spans="1:35">
      <c r="A77" s="75">
        <v>1963</v>
      </c>
      <c r="B77" s="77" t="s">
        <v>139</v>
      </c>
      <c r="C77" s="81">
        <v>5295378</v>
      </c>
      <c r="D77" s="79" t="s">
        <v>138</v>
      </c>
      <c r="E77" s="79" t="s">
        <v>138</v>
      </c>
      <c r="F77" s="89">
        <v>1355740</v>
      </c>
      <c r="G77" s="83">
        <f t="shared" si="4"/>
        <v>3109495.4128440367</v>
      </c>
      <c r="H77" s="83">
        <f t="shared" si="5"/>
        <v>3886869.2660550456</v>
      </c>
      <c r="I77" s="83"/>
      <c r="J77" s="83">
        <f t="shared" si="0"/>
        <v>6651118</v>
      </c>
      <c r="K77" s="83">
        <f t="shared" si="1"/>
        <v>8404873.4128440358</v>
      </c>
      <c r="L77" s="83">
        <f t="shared" si="2"/>
        <v>9182247.2660550456</v>
      </c>
      <c r="N77" s="68">
        <f t="shared" ref="N77:N126" si="15">L77/H75</f>
        <v>1.4564788430999827</v>
      </c>
      <c r="O77" s="269"/>
      <c r="P77" s="269"/>
      <c r="R77" s="69">
        <f t="shared" si="6"/>
        <v>23</v>
      </c>
      <c r="S77" s="353">
        <f t="shared" si="10"/>
        <v>1963</v>
      </c>
      <c r="T77" s="83">
        <f t="shared" si="7"/>
        <v>5295378</v>
      </c>
      <c r="U77" s="353">
        <f t="shared" si="11"/>
        <v>1966</v>
      </c>
      <c r="V77" s="83">
        <f t="shared" si="8"/>
        <v>2699418</v>
      </c>
      <c r="W77" s="83">
        <f t="shared" si="3"/>
        <v>4122588</v>
      </c>
      <c r="X77" s="407">
        <f t="shared" si="9"/>
        <v>15</v>
      </c>
      <c r="Z77" s="408">
        <f t="shared" ref="Z77:Z104" si="16">Z76+2</f>
        <v>1965</v>
      </c>
      <c r="AA77" s="83">
        <f t="shared" si="12"/>
        <v>2460471</v>
      </c>
      <c r="AB77" s="83">
        <f t="shared" si="13"/>
        <v>3436427</v>
      </c>
      <c r="AC77" s="407">
        <f t="shared" si="14"/>
        <v>25</v>
      </c>
      <c r="AG77" s="1086">
        <v>1963</v>
      </c>
      <c r="AH77" s="1087"/>
      <c r="AI77" s="1087">
        <v>6651118</v>
      </c>
    </row>
    <row r="78" spans="1:35">
      <c r="A78" s="75">
        <v>1964</v>
      </c>
      <c r="B78" s="77" t="s">
        <v>86</v>
      </c>
      <c r="C78" s="81">
        <v>4206896</v>
      </c>
      <c r="D78" s="79" t="s">
        <v>138</v>
      </c>
      <c r="E78" s="79" t="s">
        <v>138</v>
      </c>
      <c r="F78" s="89">
        <v>1841680</v>
      </c>
      <c r="G78" s="83">
        <f t="shared" si="4"/>
        <v>4224036.6972477064</v>
      </c>
      <c r="H78" s="83">
        <f t="shared" si="5"/>
        <v>5280045.8715596329</v>
      </c>
      <c r="I78" s="83"/>
      <c r="J78" s="83">
        <f t="shared" si="0"/>
        <v>6048576</v>
      </c>
      <c r="K78" s="83">
        <f t="shared" si="1"/>
        <v>8430932.6972477064</v>
      </c>
      <c r="L78" s="83">
        <f t="shared" si="2"/>
        <v>9486941.8715596329</v>
      </c>
      <c r="N78" s="68">
        <f t="shared" si="15"/>
        <v>1.6397566537331332</v>
      </c>
      <c r="O78" s="269"/>
      <c r="P78" s="269"/>
      <c r="R78" s="69">
        <f t="shared" si="6"/>
        <v>22</v>
      </c>
      <c r="S78" s="353">
        <f t="shared" si="10"/>
        <v>1964</v>
      </c>
      <c r="T78" s="83">
        <f t="shared" si="7"/>
        <v>4206896</v>
      </c>
      <c r="U78" s="353">
        <f t="shared" si="11"/>
        <v>1968</v>
      </c>
      <c r="V78" s="83">
        <f t="shared" si="8"/>
        <v>2452168</v>
      </c>
      <c r="W78" s="83">
        <f t="shared" si="3"/>
        <v>3608678</v>
      </c>
      <c r="X78" s="407">
        <f t="shared" si="9"/>
        <v>18</v>
      </c>
      <c r="Z78" s="408">
        <f t="shared" si="16"/>
        <v>1967</v>
      </c>
      <c r="AA78" s="83">
        <f t="shared" si="12"/>
        <v>2626340</v>
      </c>
      <c r="AB78" s="83">
        <f t="shared" si="13"/>
        <v>3468600</v>
      </c>
      <c r="AC78" s="407">
        <f t="shared" si="14"/>
        <v>24</v>
      </c>
      <c r="AG78" s="1086">
        <v>1964</v>
      </c>
      <c r="AH78" s="1087">
        <v>6048576</v>
      </c>
      <c r="AI78" s="1087"/>
    </row>
    <row r="79" spans="1:35">
      <c r="A79" s="75">
        <v>1965</v>
      </c>
      <c r="B79" s="77" t="s">
        <v>139</v>
      </c>
      <c r="C79" s="81">
        <v>2460471</v>
      </c>
      <c r="D79" s="79" t="s">
        <v>138</v>
      </c>
      <c r="E79" s="79" t="s">
        <v>138</v>
      </c>
      <c r="F79" s="81">
        <v>975956</v>
      </c>
      <c r="G79" s="83">
        <f t="shared" si="4"/>
        <v>2238431.1926605506</v>
      </c>
      <c r="H79" s="83">
        <f t="shared" si="5"/>
        <v>2798038.990825688</v>
      </c>
      <c r="I79" s="83"/>
      <c r="J79" s="83">
        <f t="shared" si="0"/>
        <v>3436427</v>
      </c>
      <c r="K79" s="83">
        <f t="shared" si="1"/>
        <v>4698902.1926605506</v>
      </c>
      <c r="L79" s="83">
        <f t="shared" si="2"/>
        <v>5258509.9908256885</v>
      </c>
      <c r="N79" s="68">
        <f t="shared" si="15"/>
        <v>1.3528908823225694</v>
      </c>
      <c r="O79" s="269"/>
      <c r="P79" s="269"/>
      <c r="R79" s="69">
        <f t="shared" si="6"/>
        <v>44</v>
      </c>
      <c r="S79" s="353">
        <f t="shared" si="10"/>
        <v>1965</v>
      </c>
      <c r="T79" s="83">
        <f t="shared" si="7"/>
        <v>2460471</v>
      </c>
      <c r="U79" s="353">
        <f t="shared" si="11"/>
        <v>1970</v>
      </c>
      <c r="V79" s="83">
        <f t="shared" si="8"/>
        <v>2809996</v>
      </c>
      <c r="W79" s="83">
        <f t="shared" si="3"/>
        <v>3789216</v>
      </c>
      <c r="X79" s="407">
        <f t="shared" si="9"/>
        <v>17</v>
      </c>
      <c r="Z79" s="408">
        <f t="shared" si="16"/>
        <v>1969</v>
      </c>
      <c r="AA79" s="83">
        <f t="shared" si="12"/>
        <v>4828579</v>
      </c>
      <c r="AB79" s="83">
        <f t="shared" si="13"/>
        <v>5233149</v>
      </c>
      <c r="AC79" s="407">
        <f t="shared" si="14"/>
        <v>20</v>
      </c>
      <c r="AG79" s="1086">
        <v>1965</v>
      </c>
      <c r="AH79" s="1087"/>
      <c r="AI79" s="1087">
        <v>3436427</v>
      </c>
    </row>
    <row r="80" spans="1:35">
      <c r="A80" s="75">
        <v>1966</v>
      </c>
      <c r="B80" s="77" t="s">
        <v>86</v>
      </c>
      <c r="C80" s="81">
        <v>2699418</v>
      </c>
      <c r="D80" s="79" t="s">
        <v>138</v>
      </c>
      <c r="E80" s="79" t="s">
        <v>138</v>
      </c>
      <c r="F80" s="81">
        <v>1423170</v>
      </c>
      <c r="G80" s="83">
        <f t="shared" ref="G80:G123" si="17">F80/$G$5</f>
        <v>3264151.3761467892</v>
      </c>
      <c r="H80" s="83">
        <f t="shared" si="5"/>
        <v>4080189.2201834861</v>
      </c>
      <c r="I80" s="83"/>
      <c r="J80" s="83">
        <f t="shared" si="0"/>
        <v>4122588</v>
      </c>
      <c r="K80" s="83">
        <f t="shared" si="1"/>
        <v>5963569.3761467896</v>
      </c>
      <c r="L80" s="83">
        <f t="shared" si="2"/>
        <v>6779607.2201834861</v>
      </c>
      <c r="N80" s="68">
        <f t="shared" si="15"/>
        <v>1.2840053637982711</v>
      </c>
      <c r="O80" s="269"/>
      <c r="P80" s="269"/>
      <c r="R80" s="69">
        <f t="shared" si="6"/>
        <v>33</v>
      </c>
      <c r="S80" s="353">
        <f t="shared" si="10"/>
        <v>1966</v>
      </c>
      <c r="T80" s="83">
        <f t="shared" si="7"/>
        <v>2699418</v>
      </c>
      <c r="U80" s="353">
        <f t="shared" si="11"/>
        <v>1972</v>
      </c>
      <c r="V80" s="83">
        <f t="shared" si="8"/>
        <v>54783</v>
      </c>
      <c r="W80" s="83">
        <f t="shared" si="3"/>
        <v>695963</v>
      </c>
      <c r="X80" s="407">
        <f t="shared" si="9"/>
        <v>29</v>
      </c>
      <c r="Z80" s="408">
        <f t="shared" si="16"/>
        <v>1971</v>
      </c>
      <c r="AA80" s="83">
        <f t="shared" si="12"/>
        <v>7310964</v>
      </c>
      <c r="AB80" s="83">
        <f t="shared" si="13"/>
        <v>8423514</v>
      </c>
      <c r="AC80" s="407">
        <f t="shared" si="14"/>
        <v>15</v>
      </c>
      <c r="AG80" s="1086">
        <v>1966</v>
      </c>
      <c r="AH80" s="1087">
        <v>4122588</v>
      </c>
      <c r="AI80" s="1087"/>
    </row>
    <row r="81" spans="1:35">
      <c r="A81" s="75">
        <v>1967</v>
      </c>
      <c r="B81" s="77" t="s">
        <v>139</v>
      </c>
      <c r="C81" s="81">
        <v>2626340</v>
      </c>
      <c r="D81" s="79" t="s">
        <v>138</v>
      </c>
      <c r="E81" s="79" t="s">
        <v>138</v>
      </c>
      <c r="F81" s="81">
        <v>842260</v>
      </c>
      <c r="G81" s="83">
        <f t="shared" si="17"/>
        <v>1931788.990825688</v>
      </c>
      <c r="H81" s="83">
        <f t="shared" si="5"/>
        <v>2414736.2385321097</v>
      </c>
      <c r="I81" s="83"/>
      <c r="J81" s="83">
        <f t="shared" si="0"/>
        <v>3468600</v>
      </c>
      <c r="K81" s="83">
        <f t="shared" si="1"/>
        <v>4558128.9908256885</v>
      </c>
      <c r="L81" s="83">
        <f t="shared" si="2"/>
        <v>5041076.2385321092</v>
      </c>
      <c r="N81" s="68">
        <f t="shared" si="15"/>
        <v>1.8016461725733535</v>
      </c>
      <c r="O81" s="269"/>
      <c r="P81" s="269"/>
      <c r="R81" s="69">
        <f t="shared" si="6"/>
        <v>46</v>
      </c>
      <c r="S81" s="353">
        <f t="shared" si="10"/>
        <v>1967</v>
      </c>
      <c r="T81" s="83">
        <f t="shared" si="7"/>
        <v>2626340</v>
      </c>
      <c r="U81" s="353">
        <f t="shared" si="11"/>
        <v>1974</v>
      </c>
      <c r="V81" s="83">
        <f t="shared" si="8"/>
        <v>54783</v>
      </c>
      <c r="W81" s="83">
        <f t="shared" si="3"/>
        <v>1012903</v>
      </c>
      <c r="X81" s="407">
        <f t="shared" si="9"/>
        <v>28</v>
      </c>
      <c r="Z81" s="408">
        <f t="shared" si="16"/>
        <v>1973</v>
      </c>
      <c r="AA81" s="83">
        <f t="shared" si="12"/>
        <v>7310964</v>
      </c>
      <c r="AB81" s="83">
        <f t="shared" si="13"/>
        <v>8535974</v>
      </c>
      <c r="AC81" s="407">
        <f t="shared" si="14"/>
        <v>14</v>
      </c>
      <c r="AG81" s="1086">
        <v>1967</v>
      </c>
      <c r="AH81" s="1087"/>
      <c r="AI81" s="1087">
        <v>3468600</v>
      </c>
    </row>
    <row r="82" spans="1:35">
      <c r="A82" s="75">
        <v>1968</v>
      </c>
      <c r="B82" s="77" t="s">
        <v>86</v>
      </c>
      <c r="C82" s="81">
        <v>2452168</v>
      </c>
      <c r="D82" s="79" t="s">
        <v>138</v>
      </c>
      <c r="E82" s="79" t="s">
        <v>138</v>
      </c>
      <c r="F82" s="81">
        <v>1156510</v>
      </c>
      <c r="G82" s="83">
        <f t="shared" si="17"/>
        <v>2652545.8715596329</v>
      </c>
      <c r="H82" s="83">
        <f t="shared" si="5"/>
        <v>3315682.3394495412</v>
      </c>
      <c r="I82" s="83"/>
      <c r="J82" s="83">
        <f t="shared" si="0"/>
        <v>3608678</v>
      </c>
      <c r="K82" s="83">
        <f t="shared" si="1"/>
        <v>5104713.8715596329</v>
      </c>
      <c r="L82" s="83">
        <f t="shared" si="2"/>
        <v>5767850.3394495416</v>
      </c>
      <c r="N82" s="68">
        <f t="shared" si="15"/>
        <v>1.4136232483821329</v>
      </c>
      <c r="O82" s="269"/>
      <c r="P82" s="269"/>
      <c r="R82" s="69">
        <f t="shared" si="6"/>
        <v>38</v>
      </c>
      <c r="S82" s="353">
        <f t="shared" si="10"/>
        <v>1968</v>
      </c>
      <c r="T82" s="83">
        <f>SUM(C82:D82)</f>
        <v>2452168</v>
      </c>
      <c r="U82" s="353">
        <f t="shared" si="11"/>
        <v>1976</v>
      </c>
      <c r="V82" s="83">
        <f t="shared" si="8"/>
        <v>448773</v>
      </c>
      <c r="W82" s="83">
        <f t="shared" si="3"/>
        <v>1161051</v>
      </c>
      <c r="X82" s="407">
        <f t="shared" si="9"/>
        <v>27</v>
      </c>
      <c r="Z82" s="408">
        <f t="shared" si="16"/>
        <v>1975</v>
      </c>
      <c r="AA82" s="83">
        <f t="shared" si="12"/>
        <v>2056878</v>
      </c>
      <c r="AB82" s="83">
        <f t="shared" si="13"/>
        <v>3322438</v>
      </c>
      <c r="AC82" s="407">
        <f t="shared" si="14"/>
        <v>26</v>
      </c>
      <c r="AD82" s="407">
        <f>RANK(AB82,$AB$82:$AB$102)</f>
        <v>18</v>
      </c>
      <c r="AG82" s="1086">
        <v>1968</v>
      </c>
      <c r="AH82" s="1087">
        <v>3608678</v>
      </c>
      <c r="AI82" s="1087"/>
    </row>
    <row r="83" spans="1:35">
      <c r="A83" s="75">
        <v>1969</v>
      </c>
      <c r="B83" s="77" t="s">
        <v>139</v>
      </c>
      <c r="C83" s="81">
        <v>4828579</v>
      </c>
      <c r="D83" s="79" t="s">
        <v>138</v>
      </c>
      <c r="E83" s="79" t="s">
        <v>138</v>
      </c>
      <c r="F83" s="81">
        <v>404570</v>
      </c>
      <c r="G83" s="83">
        <f t="shared" si="17"/>
        <v>927912.84403669729</v>
      </c>
      <c r="H83" s="83">
        <f t="shared" si="5"/>
        <v>1159891.0550458715</v>
      </c>
      <c r="I83" s="83"/>
      <c r="J83" s="83">
        <f t="shared" si="0"/>
        <v>5233149</v>
      </c>
      <c r="K83" s="83">
        <f t="shared" si="1"/>
        <v>5756491.8440366974</v>
      </c>
      <c r="L83" s="83">
        <f t="shared" si="2"/>
        <v>5988470.0550458711</v>
      </c>
      <c r="N83" s="68">
        <f t="shared" si="15"/>
        <v>2.479968602569278</v>
      </c>
      <c r="O83" s="269"/>
      <c r="P83" s="269"/>
      <c r="R83" s="69">
        <f t="shared" si="6"/>
        <v>37</v>
      </c>
      <c r="S83" s="353">
        <f t="shared" si="10"/>
        <v>1969</v>
      </c>
      <c r="T83" s="83">
        <f t="shared" si="7"/>
        <v>4828579</v>
      </c>
      <c r="U83" s="353">
        <f t="shared" si="11"/>
        <v>1978</v>
      </c>
      <c r="V83" s="83">
        <f t="shared" si="8"/>
        <v>3169697</v>
      </c>
      <c r="W83" s="83">
        <f t="shared" si="3"/>
        <v>3925083</v>
      </c>
      <c r="X83" s="407">
        <f t="shared" si="9"/>
        <v>16</v>
      </c>
      <c r="Z83" s="408">
        <f t="shared" si="16"/>
        <v>1977</v>
      </c>
      <c r="AA83" s="83">
        <f t="shared" si="12"/>
        <v>4298734</v>
      </c>
      <c r="AB83" s="83">
        <f t="shared" si="13"/>
        <v>5816401</v>
      </c>
      <c r="AC83" s="407">
        <f t="shared" si="14"/>
        <v>19</v>
      </c>
      <c r="AD83" s="407">
        <f t="shared" ref="AD83:AD102" si="18">RANK(AB83,$AB$82:$AB$102)</f>
        <v>15</v>
      </c>
      <c r="AG83" s="1086">
        <v>1969</v>
      </c>
      <c r="AH83" s="1087"/>
      <c r="AI83" s="1087">
        <v>5233149</v>
      </c>
    </row>
    <row r="84" spans="1:35">
      <c r="A84" s="75">
        <v>1970</v>
      </c>
      <c r="B84" s="77" t="s">
        <v>86</v>
      </c>
      <c r="C84" s="81">
        <v>2809996</v>
      </c>
      <c r="D84" s="79" t="s">
        <v>138</v>
      </c>
      <c r="E84" s="79" t="s">
        <v>138</v>
      </c>
      <c r="F84" s="81">
        <v>979220</v>
      </c>
      <c r="G84" s="83">
        <f t="shared" si="17"/>
        <v>2245917.4311926607</v>
      </c>
      <c r="H84" s="83">
        <f t="shared" si="5"/>
        <v>2807396.7889908259</v>
      </c>
      <c r="I84" s="83"/>
      <c r="J84" s="83">
        <f t="shared" si="0"/>
        <v>3789216</v>
      </c>
      <c r="K84" s="83">
        <f t="shared" si="1"/>
        <v>5055913.4311926607</v>
      </c>
      <c r="L84" s="83">
        <f t="shared" si="2"/>
        <v>5617392.7889908254</v>
      </c>
      <c r="N84" s="68">
        <f t="shared" si="15"/>
        <v>1.694189072986831</v>
      </c>
      <c r="O84" s="269"/>
      <c r="P84" s="269"/>
      <c r="R84" s="69">
        <f t="shared" si="6"/>
        <v>41</v>
      </c>
      <c r="S84" s="353">
        <f t="shared" si="10"/>
        <v>1970</v>
      </c>
      <c r="T84" s="83">
        <f>SUM(C84:D84)</f>
        <v>2809996</v>
      </c>
      <c r="U84" s="353">
        <f t="shared" si="11"/>
        <v>1980</v>
      </c>
      <c r="V84" s="83">
        <f t="shared" si="8"/>
        <v>12918874</v>
      </c>
      <c r="W84" s="83">
        <f t="shared" si="3"/>
        <v>14013916</v>
      </c>
      <c r="X84" s="407">
        <f t="shared" si="9"/>
        <v>3</v>
      </c>
      <c r="Z84" s="408">
        <f t="shared" si="16"/>
        <v>1979</v>
      </c>
      <c r="AA84" s="83">
        <f t="shared" si="12"/>
        <v>14433526</v>
      </c>
      <c r="AB84" s="83">
        <f t="shared" si="13"/>
        <v>17335503</v>
      </c>
      <c r="AC84" s="407">
        <f t="shared" si="14"/>
        <v>6</v>
      </c>
      <c r="AD84" s="407">
        <f t="shared" si="18"/>
        <v>5</v>
      </c>
      <c r="AG84" s="1086">
        <v>1970</v>
      </c>
      <c r="AH84" s="1087">
        <v>3789216</v>
      </c>
      <c r="AI84" s="1087"/>
    </row>
    <row r="85" spans="1:35">
      <c r="A85" s="75">
        <v>1971</v>
      </c>
      <c r="B85" s="77" t="s">
        <v>139</v>
      </c>
      <c r="C85" s="81">
        <v>7310964</v>
      </c>
      <c r="D85" s="79" t="s">
        <v>138</v>
      </c>
      <c r="E85" s="79" t="s">
        <v>138</v>
      </c>
      <c r="F85" s="81">
        <v>1112550</v>
      </c>
      <c r="G85" s="83">
        <f t="shared" si="17"/>
        <v>2551720.1834862386</v>
      </c>
      <c r="H85" s="83">
        <f t="shared" si="5"/>
        <v>3189650.2293577981</v>
      </c>
      <c r="I85" s="83"/>
      <c r="J85" s="83">
        <f t="shared" si="0"/>
        <v>8423514</v>
      </c>
      <c r="K85" s="83">
        <f t="shared" si="1"/>
        <v>9862684.1834862381</v>
      </c>
      <c r="L85" s="83">
        <f t="shared" si="2"/>
        <v>10500614.229357798</v>
      </c>
      <c r="N85" s="68">
        <f t="shared" si="15"/>
        <v>9.0531038959883325</v>
      </c>
      <c r="O85" s="269"/>
      <c r="P85" s="269"/>
      <c r="R85" s="69">
        <f t="shared" si="6"/>
        <v>20</v>
      </c>
      <c r="S85" s="353">
        <f t="shared" si="10"/>
        <v>1971</v>
      </c>
      <c r="T85" s="83">
        <f t="shared" si="7"/>
        <v>7310964</v>
      </c>
      <c r="U85" s="353">
        <f t="shared" si="11"/>
        <v>1982</v>
      </c>
      <c r="V85" s="83">
        <f t="shared" si="8"/>
        <v>14945199</v>
      </c>
      <c r="W85" s="83">
        <f t="shared" si="3"/>
        <v>16794317</v>
      </c>
      <c r="X85" s="407">
        <f t="shared" si="9"/>
        <v>2</v>
      </c>
      <c r="Z85" s="408">
        <f t="shared" si="16"/>
        <v>1981</v>
      </c>
      <c r="AA85" s="83">
        <f t="shared" si="12"/>
        <v>17402547</v>
      </c>
      <c r="AB85" s="83">
        <f t="shared" si="13"/>
        <v>19568866</v>
      </c>
      <c r="AC85" s="407">
        <f t="shared" si="14"/>
        <v>5</v>
      </c>
      <c r="AD85" s="407">
        <f t="shared" si="18"/>
        <v>4</v>
      </c>
      <c r="AG85" s="1086">
        <v>1971</v>
      </c>
      <c r="AH85" s="1087"/>
      <c r="AI85" s="1087">
        <v>8423514</v>
      </c>
    </row>
    <row r="86" spans="1:35" ht="17" thickBot="1">
      <c r="A86" s="75">
        <v>1972</v>
      </c>
      <c r="B86" s="77" t="s">
        <v>86</v>
      </c>
      <c r="C86" s="82">
        <v>54783</v>
      </c>
      <c r="D86" s="79" t="s">
        <v>138</v>
      </c>
      <c r="E86" s="79" t="s">
        <v>138</v>
      </c>
      <c r="F86" s="81">
        <v>641180</v>
      </c>
      <c r="G86" s="83">
        <f t="shared" si="17"/>
        <v>1470596.3302752294</v>
      </c>
      <c r="H86" s="83">
        <f t="shared" si="5"/>
        <v>1838245.4128440367</v>
      </c>
      <c r="I86" s="83"/>
      <c r="J86" s="83">
        <f t="shared" si="0"/>
        <v>695963</v>
      </c>
      <c r="K86" s="83">
        <f t="shared" si="1"/>
        <v>1525379.3302752294</v>
      </c>
      <c r="L86" s="83">
        <f t="shared" si="2"/>
        <v>1893028.4128440367</v>
      </c>
      <c r="N86" s="68">
        <f t="shared" si="15"/>
        <v>0.67430027001082493</v>
      </c>
      <c r="O86" s="269"/>
      <c r="P86" s="269"/>
      <c r="R86" s="69">
        <f t="shared" si="6"/>
        <v>54</v>
      </c>
      <c r="S86" s="353">
        <f t="shared" si="10"/>
        <v>1972</v>
      </c>
      <c r="T86" s="83">
        <f t="shared" si="7"/>
        <v>54783</v>
      </c>
      <c r="U86" s="353">
        <f t="shared" si="11"/>
        <v>1984</v>
      </c>
      <c r="V86" s="83">
        <f t="shared" si="8"/>
        <v>17631675</v>
      </c>
      <c r="W86" s="83">
        <f t="shared" si="3"/>
        <v>21201513</v>
      </c>
      <c r="X86" s="407">
        <f t="shared" si="9"/>
        <v>1</v>
      </c>
      <c r="Z86" s="408">
        <f t="shared" si="16"/>
        <v>1983</v>
      </c>
      <c r="AA86" s="83">
        <f t="shared" si="12"/>
        <v>9564242</v>
      </c>
      <c r="AB86" s="83">
        <f t="shared" si="13"/>
        <v>11567348</v>
      </c>
      <c r="AC86" s="407">
        <f t="shared" si="14"/>
        <v>9</v>
      </c>
      <c r="AD86" s="407">
        <f t="shared" si="18"/>
        <v>8</v>
      </c>
      <c r="AG86" s="1086">
        <v>1972</v>
      </c>
      <c r="AH86" s="1087">
        <v>695963</v>
      </c>
      <c r="AI86" s="1087"/>
    </row>
    <row r="87" spans="1:35">
      <c r="A87" s="75">
        <v>1973</v>
      </c>
      <c r="B87" s="77" t="s">
        <v>139</v>
      </c>
      <c r="C87" s="80">
        <v>7310964</v>
      </c>
      <c r="D87" s="79" t="s">
        <v>138</v>
      </c>
      <c r="E87" s="79" t="s">
        <v>138</v>
      </c>
      <c r="F87" s="81">
        <v>1225010</v>
      </c>
      <c r="G87" s="83">
        <f t="shared" si="17"/>
        <v>2809655.9633027525</v>
      </c>
      <c r="H87" s="83">
        <f t="shared" si="5"/>
        <v>3512069.9541284405</v>
      </c>
      <c r="I87" s="83"/>
      <c r="J87" s="83">
        <f t="shared" si="0"/>
        <v>8535974</v>
      </c>
      <c r="K87" s="83">
        <f t="shared" si="1"/>
        <v>10120619.963302752</v>
      </c>
      <c r="L87" s="83">
        <f t="shared" si="2"/>
        <v>10823033.95412844</v>
      </c>
      <c r="N87" s="68">
        <f t="shared" si="15"/>
        <v>3.393172660284931</v>
      </c>
      <c r="O87" s="269"/>
      <c r="P87" s="269"/>
      <c r="R87" s="69">
        <f t="shared" si="6"/>
        <v>18</v>
      </c>
      <c r="S87" s="353">
        <f t="shared" si="10"/>
        <v>1973</v>
      </c>
      <c r="T87" s="83">
        <f t="shared" si="7"/>
        <v>7310964</v>
      </c>
      <c r="U87" s="353">
        <f t="shared" si="11"/>
        <v>1986</v>
      </c>
      <c r="V87" s="83">
        <f t="shared" si="8"/>
        <v>4578023</v>
      </c>
      <c r="W87" s="83">
        <f t="shared" si="3"/>
        <v>5563957</v>
      </c>
      <c r="X87" s="407">
        <f t="shared" si="9"/>
        <v>8</v>
      </c>
      <c r="Z87" s="408">
        <f t="shared" si="16"/>
        <v>1985</v>
      </c>
      <c r="AA87" s="83">
        <f t="shared" si="12"/>
        <v>17590108</v>
      </c>
      <c r="AB87" s="83">
        <f t="shared" si="13"/>
        <v>19938105</v>
      </c>
      <c r="AC87" s="407">
        <f t="shared" si="14"/>
        <v>4</v>
      </c>
      <c r="AD87" s="407">
        <f t="shared" si="18"/>
        <v>3</v>
      </c>
      <c r="AG87" s="1086">
        <v>1973</v>
      </c>
      <c r="AH87" s="1087"/>
      <c r="AI87" s="1087">
        <v>8535974</v>
      </c>
    </row>
    <row r="88" spans="1:35">
      <c r="A88" s="75">
        <v>1974</v>
      </c>
      <c r="B88" s="77" t="s">
        <v>86</v>
      </c>
      <c r="C88" s="81">
        <v>54783</v>
      </c>
      <c r="D88" s="79" t="s">
        <v>138</v>
      </c>
      <c r="E88" s="79" t="s">
        <v>138</v>
      </c>
      <c r="F88" s="81">
        <v>958120</v>
      </c>
      <c r="G88" s="83">
        <f t="shared" si="17"/>
        <v>2197522.9357798165</v>
      </c>
      <c r="H88" s="83">
        <f t="shared" si="5"/>
        <v>2746903.6697247704</v>
      </c>
      <c r="I88" s="83"/>
      <c r="J88" s="83">
        <f t="shared" si="0"/>
        <v>1012903</v>
      </c>
      <c r="K88" s="83">
        <f t="shared" si="1"/>
        <v>2252305.9357798165</v>
      </c>
      <c r="L88" s="83">
        <f t="shared" si="2"/>
        <v>2801686.6697247704</v>
      </c>
      <c r="N88" s="68">
        <f t="shared" si="15"/>
        <v>1.5241091587385756</v>
      </c>
      <c r="O88" s="269"/>
      <c r="P88" s="269"/>
      <c r="R88" s="69">
        <f t="shared" si="6"/>
        <v>51</v>
      </c>
      <c r="S88" s="353">
        <f t="shared" si="10"/>
        <v>1974</v>
      </c>
      <c r="T88" s="83">
        <f t="shared" si="7"/>
        <v>54783</v>
      </c>
      <c r="U88" s="353">
        <f t="shared" si="11"/>
        <v>1988</v>
      </c>
      <c r="V88" s="83">
        <f t="shared" si="8"/>
        <v>795772</v>
      </c>
      <c r="W88" s="83">
        <f t="shared" si="3"/>
        <v>1766936</v>
      </c>
      <c r="X88" s="407">
        <f t="shared" si="9"/>
        <v>24</v>
      </c>
      <c r="Z88" s="408">
        <f t="shared" si="16"/>
        <v>1987</v>
      </c>
      <c r="AA88" s="83">
        <f t="shared" si="12"/>
        <v>11694727</v>
      </c>
      <c r="AB88" s="83">
        <f t="shared" si="13"/>
        <v>13066944</v>
      </c>
      <c r="AC88" s="407">
        <f t="shared" si="14"/>
        <v>8</v>
      </c>
      <c r="AD88" s="407">
        <f t="shared" si="18"/>
        <v>7</v>
      </c>
      <c r="AG88" s="1086">
        <v>1974</v>
      </c>
      <c r="AH88" s="1087">
        <v>1012903</v>
      </c>
      <c r="AI88" s="1087"/>
    </row>
    <row r="89" spans="1:35">
      <c r="A89" s="75">
        <v>1975</v>
      </c>
      <c r="B89" s="77" t="s">
        <v>139</v>
      </c>
      <c r="C89" s="81">
        <v>2056878</v>
      </c>
      <c r="D89" s="79" t="s">
        <v>138</v>
      </c>
      <c r="E89" s="79" t="s">
        <v>138</v>
      </c>
      <c r="F89" s="81">
        <v>1265560</v>
      </c>
      <c r="G89" s="83">
        <f t="shared" si="17"/>
        <v>2902660.5504587158</v>
      </c>
      <c r="H89" s="83">
        <f t="shared" si="5"/>
        <v>3628325.6880733944</v>
      </c>
      <c r="I89" s="83"/>
      <c r="J89" s="83">
        <f t="shared" si="0"/>
        <v>3322438</v>
      </c>
      <c r="K89" s="83">
        <f t="shared" si="1"/>
        <v>4959538.5504587162</v>
      </c>
      <c r="L89" s="83">
        <f t="shared" si="2"/>
        <v>5685203.6880733948</v>
      </c>
      <c r="N89" s="68">
        <f t="shared" si="15"/>
        <v>1.6187615173753684</v>
      </c>
      <c r="O89" s="269"/>
      <c r="P89" s="269"/>
      <c r="R89" s="69">
        <f t="shared" si="6"/>
        <v>40</v>
      </c>
      <c r="S89" s="353">
        <f t="shared" si="10"/>
        <v>1975</v>
      </c>
      <c r="T89" s="83">
        <f t="shared" si="7"/>
        <v>2056878</v>
      </c>
      <c r="U89" s="353">
        <f t="shared" si="11"/>
        <v>1990</v>
      </c>
      <c r="V89" s="83">
        <f t="shared" si="8"/>
        <v>11687757</v>
      </c>
      <c r="W89" s="83">
        <f t="shared" si="3"/>
        <v>12923662</v>
      </c>
      <c r="X89" s="407">
        <f t="shared" si="9"/>
        <v>4</v>
      </c>
      <c r="Z89" s="408">
        <f t="shared" si="16"/>
        <v>1989</v>
      </c>
      <c r="AA89" s="83">
        <f t="shared" si="12"/>
        <v>3510074</v>
      </c>
      <c r="AB89" s="83">
        <f t="shared" si="13"/>
        <v>4743750</v>
      </c>
      <c r="AC89" s="407">
        <f t="shared" si="14"/>
        <v>21</v>
      </c>
      <c r="AD89" s="407">
        <f t="shared" si="18"/>
        <v>16</v>
      </c>
      <c r="AG89" s="1086">
        <v>1975</v>
      </c>
      <c r="AH89" s="1087"/>
      <c r="AI89" s="1087">
        <v>3322438</v>
      </c>
    </row>
    <row r="90" spans="1:35" ht="17" thickBot="1">
      <c r="A90" s="75">
        <v>1976</v>
      </c>
      <c r="B90" s="77" t="s">
        <v>86</v>
      </c>
      <c r="C90" s="82">
        <v>448773</v>
      </c>
      <c r="D90" s="79" t="s">
        <v>138</v>
      </c>
      <c r="E90" s="79" t="s">
        <v>138</v>
      </c>
      <c r="F90" s="81">
        <v>712278</v>
      </c>
      <c r="G90" s="83">
        <f t="shared" si="17"/>
        <v>1633665.1376146788</v>
      </c>
      <c r="H90" s="83">
        <f t="shared" si="5"/>
        <v>2042081.4220183485</v>
      </c>
      <c r="I90" s="83"/>
      <c r="J90" s="83">
        <f t="shared" si="0"/>
        <v>1161051</v>
      </c>
      <c r="K90" s="83">
        <f t="shared" si="1"/>
        <v>2082438.1376146788</v>
      </c>
      <c r="L90" s="83">
        <f t="shared" si="2"/>
        <v>2490854.4220183482</v>
      </c>
      <c r="N90" s="68">
        <f t="shared" si="15"/>
        <v>0.90678622969982881</v>
      </c>
      <c r="O90" s="269"/>
      <c r="P90" s="269"/>
      <c r="R90" s="69">
        <f t="shared" si="6"/>
        <v>52</v>
      </c>
      <c r="S90" s="353">
        <f t="shared" si="10"/>
        <v>1976</v>
      </c>
      <c r="T90" s="83">
        <f t="shared" si="7"/>
        <v>448773</v>
      </c>
      <c r="U90" s="353">
        <f t="shared" si="11"/>
        <v>1992</v>
      </c>
      <c r="V90" s="83">
        <f t="shared" si="8"/>
        <v>862846</v>
      </c>
      <c r="W90" s="83">
        <f t="shared" si="3"/>
        <v>1405383</v>
      </c>
      <c r="X90" s="407">
        <f t="shared" si="9"/>
        <v>25</v>
      </c>
      <c r="Z90" s="408">
        <f t="shared" si="16"/>
        <v>1991</v>
      </c>
      <c r="AA90" s="83">
        <f t="shared" si="12"/>
        <v>5818984</v>
      </c>
      <c r="AB90" s="83">
        <f t="shared" si="13"/>
        <v>7544776</v>
      </c>
      <c r="AC90" s="407">
        <f t="shared" si="14"/>
        <v>16</v>
      </c>
      <c r="AD90" s="407">
        <f t="shared" si="18"/>
        <v>13</v>
      </c>
      <c r="AG90" s="1086">
        <v>1976</v>
      </c>
      <c r="AH90" s="1087">
        <v>1161051</v>
      </c>
      <c r="AI90" s="1087"/>
    </row>
    <row r="91" spans="1:35">
      <c r="A91" s="75">
        <v>1977</v>
      </c>
      <c r="B91" s="77" t="s">
        <v>139</v>
      </c>
      <c r="C91" s="107">
        <f>M91-F91</f>
        <v>4298734</v>
      </c>
      <c r="D91" s="110">
        <v>0</v>
      </c>
      <c r="E91" s="111">
        <v>0</v>
      </c>
      <c r="F91" s="97">
        <v>1517667</v>
      </c>
      <c r="G91" s="83">
        <f t="shared" si="17"/>
        <v>3480887.6146788993</v>
      </c>
      <c r="H91" s="83">
        <f t="shared" si="5"/>
        <v>4351109.518348624</v>
      </c>
      <c r="I91" s="83"/>
      <c r="J91" s="83">
        <f t="shared" si="0"/>
        <v>5816401</v>
      </c>
      <c r="K91" s="83">
        <f t="shared" si="1"/>
        <v>7779621.6146788988</v>
      </c>
      <c r="L91" s="83">
        <f t="shared" si="2"/>
        <v>8649843.5183486231</v>
      </c>
      <c r="M91" s="80">
        <v>5816401</v>
      </c>
      <c r="N91" s="68">
        <f t="shared" si="15"/>
        <v>2.3839765947090616</v>
      </c>
      <c r="O91" s="266">
        <v>6300000</v>
      </c>
      <c r="P91" s="269"/>
      <c r="R91" s="69">
        <f t="shared" si="6"/>
        <v>25</v>
      </c>
      <c r="S91" s="353">
        <f t="shared" si="10"/>
        <v>1977</v>
      </c>
      <c r="T91" s="83">
        <f t="shared" si="7"/>
        <v>4298734</v>
      </c>
      <c r="U91" s="353">
        <f t="shared" si="11"/>
        <v>1994</v>
      </c>
      <c r="V91" s="83">
        <f t="shared" si="8"/>
        <v>3257358</v>
      </c>
      <c r="W91" s="83">
        <f t="shared" si="3"/>
        <v>4666639</v>
      </c>
      <c r="X91" s="407">
        <f t="shared" si="9"/>
        <v>11</v>
      </c>
      <c r="Z91" s="408">
        <f t="shared" si="16"/>
        <v>1993</v>
      </c>
      <c r="AA91" s="83">
        <f t="shared" si="12"/>
        <v>477302</v>
      </c>
      <c r="AB91" s="83">
        <f t="shared" si="13"/>
        <v>1542942</v>
      </c>
      <c r="AC91" s="407">
        <f t="shared" si="14"/>
        <v>29</v>
      </c>
      <c r="AD91" s="407">
        <f t="shared" si="18"/>
        <v>21</v>
      </c>
      <c r="AG91" s="1086">
        <v>1977</v>
      </c>
      <c r="AH91" s="1087"/>
      <c r="AI91" s="1087">
        <v>5816401</v>
      </c>
    </row>
    <row r="92" spans="1:35">
      <c r="A92" s="75">
        <v>1978</v>
      </c>
      <c r="B92" s="77" t="s">
        <v>86</v>
      </c>
      <c r="C92" s="108">
        <f t="shared" ref="C92:C102" si="19">M92-F92</f>
        <v>3169697</v>
      </c>
      <c r="D92" s="112">
        <v>0</v>
      </c>
      <c r="E92" s="113">
        <v>0</v>
      </c>
      <c r="F92" s="97">
        <v>755386</v>
      </c>
      <c r="G92" s="83">
        <f t="shared" si="17"/>
        <v>1732536.6972477064</v>
      </c>
      <c r="H92" s="83">
        <f t="shared" si="5"/>
        <v>2165670.8715596329</v>
      </c>
      <c r="I92" s="83"/>
      <c r="J92" s="83">
        <f t="shared" si="0"/>
        <v>3925083</v>
      </c>
      <c r="K92" s="83">
        <f t="shared" si="1"/>
        <v>4902233.6972477064</v>
      </c>
      <c r="L92" s="83">
        <f t="shared" si="2"/>
        <v>5335367.8715596329</v>
      </c>
      <c r="M92" s="81">
        <v>3925083</v>
      </c>
      <c r="N92" s="68">
        <f t="shared" si="15"/>
        <v>2.6127106461241256</v>
      </c>
      <c r="O92" s="266">
        <v>4200000</v>
      </c>
      <c r="P92" s="269"/>
      <c r="R92" s="69">
        <f t="shared" si="6"/>
        <v>43</v>
      </c>
      <c r="S92" s="353">
        <f t="shared" si="10"/>
        <v>1978</v>
      </c>
      <c r="T92" s="83">
        <f t="shared" si="7"/>
        <v>3169697</v>
      </c>
      <c r="U92" s="353">
        <f t="shared" si="11"/>
        <v>1996</v>
      </c>
      <c r="V92" s="83">
        <f t="shared" si="8"/>
        <v>3016749</v>
      </c>
      <c r="W92" s="83">
        <f t="shared" si="3"/>
        <v>4500085</v>
      </c>
      <c r="X92" s="407">
        <f t="shared" si="9"/>
        <v>12</v>
      </c>
      <c r="Z92" s="408">
        <f t="shared" si="16"/>
        <v>1995</v>
      </c>
      <c r="AA92" s="83">
        <f t="shared" si="12"/>
        <v>2744024</v>
      </c>
      <c r="AB92" s="83">
        <f t="shared" si="13"/>
        <v>3934208</v>
      </c>
      <c r="AC92" s="407">
        <f t="shared" si="14"/>
        <v>23</v>
      </c>
      <c r="AD92" s="407">
        <f t="shared" si="18"/>
        <v>17</v>
      </c>
      <c r="AG92" s="1086">
        <v>1978</v>
      </c>
      <c r="AH92" s="1087">
        <v>3925083</v>
      </c>
      <c r="AI92" s="1087"/>
    </row>
    <row r="93" spans="1:35">
      <c r="A93" s="75">
        <v>1979</v>
      </c>
      <c r="B93" s="77" t="s">
        <v>139</v>
      </c>
      <c r="C93" s="108">
        <f t="shared" si="19"/>
        <v>14433526</v>
      </c>
      <c r="D93" s="112">
        <v>0</v>
      </c>
      <c r="E93" s="113">
        <v>0</v>
      </c>
      <c r="F93" s="97">
        <v>2901977</v>
      </c>
      <c r="G93" s="83">
        <f t="shared" si="17"/>
        <v>6655910.5504587153</v>
      </c>
      <c r="H93" s="83">
        <f t="shared" si="5"/>
        <v>8319888.1880733939</v>
      </c>
      <c r="I93" s="83"/>
      <c r="J93" s="83">
        <f t="shared" si="0"/>
        <v>17335503</v>
      </c>
      <c r="K93" s="83">
        <f t="shared" si="1"/>
        <v>21089436.550458714</v>
      </c>
      <c r="L93" s="83">
        <f t="shared" si="2"/>
        <v>22753414.188073393</v>
      </c>
      <c r="M93" s="81">
        <v>17335503</v>
      </c>
      <c r="N93" s="68">
        <f t="shared" si="15"/>
        <v>5.229336124986574</v>
      </c>
      <c r="O93" s="266">
        <v>8100000</v>
      </c>
      <c r="P93" s="269"/>
      <c r="R93" s="69">
        <f t="shared" si="6"/>
        <v>6</v>
      </c>
      <c r="S93" s="353">
        <f t="shared" si="10"/>
        <v>1979</v>
      </c>
      <c r="T93" s="83">
        <f t="shared" si="7"/>
        <v>14433526</v>
      </c>
      <c r="U93" s="353">
        <f t="shared" si="11"/>
        <v>1998</v>
      </c>
      <c r="V93" s="83">
        <f t="shared" si="8"/>
        <v>3850410.5</v>
      </c>
      <c r="W93" s="83">
        <f t="shared" si="3"/>
        <v>5274275.5</v>
      </c>
      <c r="X93" s="407">
        <f t="shared" si="9"/>
        <v>9</v>
      </c>
      <c r="Z93" s="408">
        <f t="shared" si="16"/>
        <v>1997</v>
      </c>
      <c r="AA93" s="83">
        <f t="shared" si="12"/>
        <v>1163052</v>
      </c>
      <c r="AB93" s="83">
        <f t="shared" si="13"/>
        <v>2588682</v>
      </c>
      <c r="AC93" s="407">
        <f t="shared" si="14"/>
        <v>28</v>
      </c>
      <c r="AD93" s="407">
        <f t="shared" si="18"/>
        <v>20</v>
      </c>
      <c r="AG93" s="1086">
        <v>1979</v>
      </c>
      <c r="AH93" s="1087"/>
      <c r="AI93" s="1087">
        <v>17335503</v>
      </c>
    </row>
    <row r="94" spans="1:35">
      <c r="A94" s="75">
        <v>1980</v>
      </c>
      <c r="B94" s="77" t="s">
        <v>86</v>
      </c>
      <c r="C94" s="108">
        <f t="shared" si="19"/>
        <v>12918874</v>
      </c>
      <c r="D94" s="112">
        <v>0</v>
      </c>
      <c r="E94" s="113">
        <v>0</v>
      </c>
      <c r="F94" s="97">
        <v>1095042</v>
      </c>
      <c r="G94" s="83">
        <f t="shared" si="17"/>
        <v>2511564.2201834861</v>
      </c>
      <c r="H94" s="83">
        <f t="shared" si="5"/>
        <v>3139455.2752293576</v>
      </c>
      <c r="I94" s="83"/>
      <c r="J94" s="83">
        <f t="shared" si="0"/>
        <v>14013916</v>
      </c>
      <c r="K94" s="83">
        <f t="shared" si="1"/>
        <v>15430438.220183486</v>
      </c>
      <c r="L94" s="83">
        <f t="shared" si="2"/>
        <v>16058329.275229357</v>
      </c>
      <c r="M94" s="81">
        <v>14013916</v>
      </c>
      <c r="N94" s="68">
        <f t="shared" si="15"/>
        <v>7.414944480305433</v>
      </c>
      <c r="O94" s="266">
        <v>5000000</v>
      </c>
      <c r="P94" s="269"/>
      <c r="R94" s="69">
        <f t="shared" si="6"/>
        <v>9</v>
      </c>
      <c r="S94" s="353">
        <f t="shared" si="10"/>
        <v>1980</v>
      </c>
      <c r="T94" s="83">
        <f t="shared" si="7"/>
        <v>12918874</v>
      </c>
      <c r="U94" s="353">
        <f t="shared" si="11"/>
        <v>2000</v>
      </c>
      <c r="V94" s="83">
        <f t="shared" si="8"/>
        <v>5730913</v>
      </c>
      <c r="W94" s="83">
        <f t="shared" si="3"/>
        <v>7389941</v>
      </c>
      <c r="X94" s="407">
        <f t="shared" si="9"/>
        <v>6</v>
      </c>
      <c r="Z94" s="408">
        <f t="shared" si="16"/>
        <v>1999</v>
      </c>
      <c r="AA94" s="83">
        <f t="shared" si="12"/>
        <v>6939831</v>
      </c>
      <c r="AB94" s="83">
        <f t="shared" si="13"/>
        <v>9405198</v>
      </c>
      <c r="AC94" s="407">
        <f t="shared" si="14"/>
        <v>12</v>
      </c>
      <c r="AD94" s="407">
        <f t="shared" si="18"/>
        <v>11</v>
      </c>
      <c r="AG94" s="1086">
        <v>1980</v>
      </c>
      <c r="AH94" s="1087">
        <v>14013916</v>
      </c>
      <c r="AI94" s="1087"/>
    </row>
    <row r="95" spans="1:35">
      <c r="A95" s="75">
        <v>1981</v>
      </c>
      <c r="B95" s="77" t="s">
        <v>139</v>
      </c>
      <c r="C95" s="108">
        <f t="shared" si="19"/>
        <v>17402547</v>
      </c>
      <c r="D95" s="112">
        <v>0</v>
      </c>
      <c r="E95" s="113">
        <v>0</v>
      </c>
      <c r="F95" s="97">
        <v>2166319</v>
      </c>
      <c r="G95" s="83">
        <f t="shared" si="17"/>
        <v>4968621.5596330278</v>
      </c>
      <c r="H95" s="83">
        <f t="shared" si="5"/>
        <v>6210776.9495412847</v>
      </c>
      <c r="I95" s="83"/>
      <c r="J95" s="83">
        <f t="shared" si="0"/>
        <v>19568866</v>
      </c>
      <c r="K95" s="83">
        <f t="shared" si="1"/>
        <v>22371168.559633028</v>
      </c>
      <c r="L95" s="83">
        <f t="shared" si="2"/>
        <v>23613323.949541286</v>
      </c>
      <c r="M95" s="81">
        <v>19568866</v>
      </c>
      <c r="N95" s="68">
        <f t="shared" si="15"/>
        <v>2.8381780398673047</v>
      </c>
      <c r="O95" s="266">
        <v>12100000</v>
      </c>
      <c r="P95" s="269"/>
      <c r="R95" s="69">
        <f t="shared" si="6"/>
        <v>5</v>
      </c>
      <c r="S95" s="353">
        <f t="shared" si="10"/>
        <v>1981</v>
      </c>
      <c r="T95" s="83">
        <f t="shared" si="7"/>
        <v>17402547</v>
      </c>
      <c r="U95" s="353">
        <f t="shared" si="11"/>
        <v>2002</v>
      </c>
      <c r="V95" s="83">
        <f t="shared" si="8"/>
        <v>321468.31020259229</v>
      </c>
      <c r="W95" s="83">
        <f t="shared" si="3"/>
        <v>1264645.3102025923</v>
      </c>
      <c r="X95" s="407">
        <f t="shared" si="9"/>
        <v>26</v>
      </c>
      <c r="Z95" s="408">
        <f>Z94+2</f>
        <v>2001</v>
      </c>
      <c r="AA95" s="83">
        <f t="shared" si="12"/>
        <v>6854290.9808041956</v>
      </c>
      <c r="AB95" s="83">
        <f t="shared" si="13"/>
        <v>8854676.9808041956</v>
      </c>
      <c r="AC95" s="407">
        <f t="shared" si="14"/>
        <v>13</v>
      </c>
      <c r="AD95" s="407">
        <f t="shared" si="18"/>
        <v>12</v>
      </c>
      <c r="AG95" s="1086">
        <v>1981</v>
      </c>
      <c r="AH95" s="1087"/>
      <c r="AI95" s="1087">
        <v>19568866</v>
      </c>
    </row>
    <row r="96" spans="1:35">
      <c r="A96" s="75">
        <v>1982</v>
      </c>
      <c r="B96" s="77" t="s">
        <v>86</v>
      </c>
      <c r="C96" s="108">
        <f>M96-F96</f>
        <v>14945199</v>
      </c>
      <c r="D96" s="112">
        <v>0</v>
      </c>
      <c r="E96" s="113">
        <v>0</v>
      </c>
      <c r="F96" s="97">
        <v>1849118</v>
      </c>
      <c r="G96" s="83">
        <f t="shared" si="17"/>
        <v>4241096.3302752292</v>
      </c>
      <c r="H96" s="83">
        <f t="shared" si="5"/>
        <v>5301370.4128440358</v>
      </c>
      <c r="I96" s="83"/>
      <c r="J96" s="83">
        <f t="shared" si="0"/>
        <v>16794317</v>
      </c>
      <c r="K96" s="83">
        <f t="shared" si="1"/>
        <v>19186295.33027523</v>
      </c>
      <c r="L96" s="83">
        <f t="shared" si="2"/>
        <v>20246569.412844036</v>
      </c>
      <c r="M96" s="81">
        <v>16794317</v>
      </c>
      <c r="N96" s="68">
        <f t="shared" si="15"/>
        <v>6.4490708221237174</v>
      </c>
      <c r="O96" s="266">
        <v>17600000</v>
      </c>
      <c r="P96" s="269"/>
      <c r="R96" s="69">
        <f t="shared" si="6"/>
        <v>7</v>
      </c>
      <c r="S96" s="353">
        <f t="shared" si="10"/>
        <v>1982</v>
      </c>
      <c r="T96" s="83">
        <f t="shared" si="7"/>
        <v>14945199</v>
      </c>
      <c r="U96" s="353">
        <f t="shared" si="11"/>
        <v>2004</v>
      </c>
      <c r="V96" s="83">
        <f t="shared" si="8"/>
        <v>2938308.0563474386</v>
      </c>
      <c r="W96" s="83">
        <f t="shared" si="3"/>
        <v>4939431.0563474381</v>
      </c>
      <c r="X96" s="407">
        <f t="shared" si="9"/>
        <v>10</v>
      </c>
      <c r="Z96" s="408">
        <f t="shared" si="16"/>
        <v>2003</v>
      </c>
      <c r="AA96" s="83">
        <f t="shared" si="12"/>
        <v>4497779.9398193052</v>
      </c>
      <c r="AB96" s="83">
        <f t="shared" si="13"/>
        <v>7344511.9398193061</v>
      </c>
      <c r="AC96" s="407">
        <f t="shared" si="14"/>
        <v>17</v>
      </c>
      <c r="AD96" s="407">
        <f t="shared" si="18"/>
        <v>14</v>
      </c>
      <c r="AG96" s="1086">
        <v>1982</v>
      </c>
      <c r="AH96" s="1087">
        <v>16794317</v>
      </c>
      <c r="AI96" s="1087"/>
    </row>
    <row r="97" spans="1:35">
      <c r="A97" s="75">
        <v>1983</v>
      </c>
      <c r="B97" s="77" t="s">
        <v>139</v>
      </c>
      <c r="C97" s="108">
        <f t="shared" si="19"/>
        <v>9564242</v>
      </c>
      <c r="D97" s="112">
        <v>0</v>
      </c>
      <c r="E97" s="113">
        <v>0</v>
      </c>
      <c r="F97" s="97">
        <v>2003106</v>
      </c>
      <c r="G97" s="83">
        <f t="shared" si="17"/>
        <v>4594279.8165137619</v>
      </c>
      <c r="H97" s="83">
        <f t="shared" si="5"/>
        <v>5742849.7706422023</v>
      </c>
      <c r="I97" s="83"/>
      <c r="J97" s="83">
        <f t="shared" si="0"/>
        <v>11567348</v>
      </c>
      <c r="K97" s="83">
        <f t="shared" si="1"/>
        <v>14158521.816513762</v>
      </c>
      <c r="L97" s="83">
        <f t="shared" si="2"/>
        <v>15307091.770642202</v>
      </c>
      <c r="M97" s="81">
        <v>11567348</v>
      </c>
      <c r="N97" s="68">
        <f t="shared" si="15"/>
        <v>2.4646017551431716</v>
      </c>
      <c r="O97" s="266">
        <v>13700000</v>
      </c>
      <c r="P97" s="269"/>
      <c r="R97" s="69">
        <f t="shared" si="6"/>
        <v>11</v>
      </c>
      <c r="S97" s="353">
        <f t="shared" si="10"/>
        <v>1983</v>
      </c>
      <c r="T97" s="83">
        <f t="shared" si="7"/>
        <v>9564242</v>
      </c>
      <c r="U97" s="353">
        <f t="shared" si="11"/>
        <v>2006</v>
      </c>
      <c r="V97" s="83">
        <f t="shared" si="8"/>
        <v>2123901.1744626728</v>
      </c>
      <c r="W97" s="83">
        <f t="shared" si="3"/>
        <v>3314702.7753436686</v>
      </c>
      <c r="X97" s="407">
        <f t="shared" si="9"/>
        <v>20</v>
      </c>
      <c r="Z97" s="408">
        <f t="shared" si="16"/>
        <v>2005</v>
      </c>
      <c r="AA97" s="83">
        <f t="shared" si="12"/>
        <v>12296371.828178193</v>
      </c>
      <c r="AB97" s="83">
        <f t="shared" si="13"/>
        <v>17032487.685321052</v>
      </c>
      <c r="AC97" s="407">
        <f t="shared" si="14"/>
        <v>7</v>
      </c>
      <c r="AD97" s="407">
        <f t="shared" si="18"/>
        <v>6</v>
      </c>
      <c r="AG97" s="1086">
        <v>1983</v>
      </c>
      <c r="AH97" s="1087"/>
      <c r="AI97" s="1087">
        <v>11567348</v>
      </c>
    </row>
    <row r="98" spans="1:35">
      <c r="A98" s="75">
        <v>1984</v>
      </c>
      <c r="B98" s="77" t="s">
        <v>86</v>
      </c>
      <c r="C98" s="108">
        <f t="shared" si="19"/>
        <v>17631675</v>
      </c>
      <c r="D98" s="112">
        <v>0</v>
      </c>
      <c r="E98" s="113">
        <v>0</v>
      </c>
      <c r="F98" s="97">
        <v>3569838</v>
      </c>
      <c r="G98" s="83">
        <f t="shared" si="17"/>
        <v>8187701.8348623849</v>
      </c>
      <c r="H98" s="83">
        <f t="shared" si="5"/>
        <v>10234627.29357798</v>
      </c>
      <c r="I98" s="83"/>
      <c r="J98" s="83">
        <f t="shared" si="0"/>
        <v>21201513</v>
      </c>
      <c r="K98" s="83">
        <f t="shared" si="1"/>
        <v>25819376.834862385</v>
      </c>
      <c r="L98" s="83">
        <f t="shared" si="2"/>
        <v>27866302.29357798</v>
      </c>
      <c r="M98" s="81">
        <v>21201513</v>
      </c>
      <c r="N98" s="68">
        <f t="shared" si="15"/>
        <v>5.256433737598142</v>
      </c>
      <c r="O98" s="266">
        <v>11800000</v>
      </c>
      <c r="P98" s="269"/>
      <c r="R98" s="69">
        <f t="shared" si="6"/>
        <v>2</v>
      </c>
      <c r="S98" s="353">
        <f t="shared" si="10"/>
        <v>1984</v>
      </c>
      <c r="T98" s="83">
        <f t="shared" si="7"/>
        <v>17631675</v>
      </c>
      <c r="U98" s="353">
        <f t="shared" si="11"/>
        <v>2008</v>
      </c>
      <c r="V98" s="83">
        <f t="shared" si="8"/>
        <v>1428273.1656029599</v>
      </c>
      <c r="W98" s="83">
        <f t="shared" si="3"/>
        <v>2290691.6775990888</v>
      </c>
      <c r="X98" s="407">
        <f t="shared" si="9"/>
        <v>23</v>
      </c>
      <c r="Z98" s="408">
        <f t="shared" si="16"/>
        <v>2007</v>
      </c>
      <c r="AA98" s="83">
        <f t="shared" si="12"/>
        <v>10017854.632119885</v>
      </c>
      <c r="AB98" s="83">
        <f t="shared" si="13"/>
        <v>11526987.795003444</v>
      </c>
      <c r="AC98" s="407">
        <f t="shared" si="14"/>
        <v>10</v>
      </c>
      <c r="AD98" s="407">
        <f t="shared" si="18"/>
        <v>9</v>
      </c>
      <c r="AG98" s="1086">
        <v>1984</v>
      </c>
      <c r="AH98" s="1087">
        <v>21201513</v>
      </c>
      <c r="AI98" s="1087"/>
    </row>
    <row r="99" spans="1:35">
      <c r="A99" s="75">
        <v>1985</v>
      </c>
      <c r="B99" s="77" t="s">
        <v>139</v>
      </c>
      <c r="C99" s="108">
        <f t="shared" si="19"/>
        <v>17590108</v>
      </c>
      <c r="D99" s="112">
        <v>0</v>
      </c>
      <c r="E99" s="113">
        <v>0</v>
      </c>
      <c r="F99" s="97">
        <v>2347997</v>
      </c>
      <c r="G99" s="83">
        <f t="shared" si="17"/>
        <v>5385314.2201834861</v>
      </c>
      <c r="H99" s="83">
        <f t="shared" si="5"/>
        <v>6731642.7752293572</v>
      </c>
      <c r="I99" s="83"/>
      <c r="J99" s="83">
        <f t="shared" si="0"/>
        <v>19938105</v>
      </c>
      <c r="K99" s="83">
        <f t="shared" si="1"/>
        <v>22975422.220183484</v>
      </c>
      <c r="L99" s="83">
        <f t="shared" si="2"/>
        <v>24321750.775229357</v>
      </c>
      <c r="M99" s="81">
        <v>19938105</v>
      </c>
      <c r="N99" s="68">
        <f t="shared" si="15"/>
        <v>4.2351361687299622</v>
      </c>
      <c r="O99" s="266">
        <v>14300000</v>
      </c>
      <c r="P99" s="269"/>
      <c r="R99" s="69">
        <f t="shared" si="6"/>
        <v>4</v>
      </c>
      <c r="S99" s="353">
        <f t="shared" si="10"/>
        <v>1985</v>
      </c>
      <c r="T99" s="83">
        <f t="shared" si="7"/>
        <v>17590108</v>
      </c>
      <c r="U99" s="353">
        <f t="shared" si="11"/>
        <v>2010</v>
      </c>
      <c r="V99" s="83">
        <f t="shared" si="8"/>
        <v>2398982.727217237</v>
      </c>
      <c r="W99" s="83">
        <f t="shared" si="3"/>
        <v>4399390.7272172375</v>
      </c>
      <c r="X99" s="407">
        <f t="shared" si="9"/>
        <v>14</v>
      </c>
      <c r="Z99" s="408">
        <f t="shared" si="16"/>
        <v>2009</v>
      </c>
      <c r="AA99" s="83">
        <f t="shared" si="12"/>
        <v>994707.99790429964</v>
      </c>
      <c r="AB99" s="83">
        <f t="shared" si="13"/>
        <v>2824330.6070667375</v>
      </c>
      <c r="AC99" s="407">
        <f t="shared" si="14"/>
        <v>27</v>
      </c>
      <c r="AD99" s="407">
        <f t="shared" si="18"/>
        <v>19</v>
      </c>
      <c r="AG99" s="1086">
        <v>1985</v>
      </c>
      <c r="AH99" s="1087"/>
      <c r="AI99" s="1087">
        <v>19938105</v>
      </c>
    </row>
    <row r="100" spans="1:35">
      <c r="A100" s="75">
        <v>1986</v>
      </c>
      <c r="B100" s="77" t="s">
        <v>86</v>
      </c>
      <c r="C100" s="108">
        <f t="shared" si="19"/>
        <v>4578023</v>
      </c>
      <c r="D100" s="112">
        <v>0</v>
      </c>
      <c r="E100" s="113">
        <v>0</v>
      </c>
      <c r="F100" s="97">
        <v>985934</v>
      </c>
      <c r="G100" s="83">
        <f t="shared" si="17"/>
        <v>2261316.5137614678</v>
      </c>
      <c r="H100" s="83">
        <f t="shared" si="5"/>
        <v>2826645.6422018344</v>
      </c>
      <c r="I100" s="83"/>
      <c r="J100" s="83">
        <f t="shared" si="0"/>
        <v>5563957</v>
      </c>
      <c r="K100" s="83">
        <f t="shared" si="1"/>
        <v>6839339.5137614682</v>
      </c>
      <c r="L100" s="83">
        <f t="shared" si="2"/>
        <v>7404668.6422018344</v>
      </c>
      <c r="M100" s="81">
        <v>5563957</v>
      </c>
      <c r="N100" s="68">
        <f t="shared" si="15"/>
        <v>0.72349177256783082</v>
      </c>
      <c r="O100" s="266">
        <v>16700000</v>
      </c>
      <c r="P100" s="269"/>
      <c r="R100" s="69">
        <f t="shared" si="6"/>
        <v>29</v>
      </c>
      <c r="S100" s="353">
        <f t="shared" si="10"/>
        <v>1986</v>
      </c>
      <c r="T100" s="83">
        <f t="shared" si="7"/>
        <v>4578023</v>
      </c>
      <c r="U100" s="353">
        <f t="shared" si="11"/>
        <v>2012</v>
      </c>
      <c r="V100" s="83">
        <f t="shared" si="8"/>
        <v>3302575.1008471898</v>
      </c>
      <c r="W100" s="83">
        <f t="shared" si="3"/>
        <v>4428267.5450134957</v>
      </c>
      <c r="X100" s="407">
        <f t="shared" si="9"/>
        <v>13</v>
      </c>
      <c r="Z100" s="408">
        <f t="shared" si="16"/>
        <v>2011</v>
      </c>
      <c r="AA100" s="83">
        <f t="shared" si="12"/>
        <v>5715680</v>
      </c>
      <c r="AB100" s="83">
        <f t="shared" si="13"/>
        <v>9643099</v>
      </c>
      <c r="AC100" s="407">
        <f t="shared" si="14"/>
        <v>11</v>
      </c>
      <c r="AD100" s="407">
        <f t="shared" si="18"/>
        <v>10</v>
      </c>
      <c r="AG100" s="1086">
        <v>1986</v>
      </c>
      <c r="AH100" s="1087">
        <v>5563957</v>
      </c>
      <c r="AI100" s="1087"/>
    </row>
    <row r="101" spans="1:35">
      <c r="A101" s="75">
        <v>1987</v>
      </c>
      <c r="B101" s="77" t="s">
        <v>139</v>
      </c>
      <c r="C101" s="108">
        <f>M101-F101</f>
        <v>11694727</v>
      </c>
      <c r="D101" s="112">
        <v>0</v>
      </c>
      <c r="E101" s="113">
        <v>0</v>
      </c>
      <c r="F101" s="97">
        <v>1372217</v>
      </c>
      <c r="G101" s="83">
        <f t="shared" si="17"/>
        <v>3147286.6972477064</v>
      </c>
      <c r="H101" s="83">
        <f t="shared" si="5"/>
        <v>3934108.3715596329</v>
      </c>
      <c r="I101" s="83"/>
      <c r="J101" s="83">
        <f t="shared" si="0"/>
        <v>13066944</v>
      </c>
      <c r="K101" s="83">
        <f>SUM(G101,E101,D101,C101)</f>
        <v>14842013.697247706</v>
      </c>
      <c r="L101" s="83">
        <f t="shared" si="2"/>
        <v>15628835.371559633</v>
      </c>
      <c r="M101" s="81">
        <v>13066944</v>
      </c>
      <c r="N101" s="68">
        <f t="shared" si="15"/>
        <v>2.321697079510749</v>
      </c>
      <c r="O101" s="266">
        <v>8199999.9999999991</v>
      </c>
      <c r="P101" s="269"/>
      <c r="R101" s="69">
        <f t="shared" si="6"/>
        <v>10</v>
      </c>
      <c r="S101" s="353">
        <f>S100+1</f>
        <v>1987</v>
      </c>
      <c r="T101" s="83">
        <f t="shared" si="7"/>
        <v>11694727</v>
      </c>
      <c r="U101" s="353">
        <f t="shared" si="11"/>
        <v>2014</v>
      </c>
      <c r="V101" s="83">
        <f t="shared" si="8"/>
        <v>1890021</v>
      </c>
      <c r="W101" s="83">
        <f t="shared" si="3"/>
        <v>2702397</v>
      </c>
      <c r="X101" s="407">
        <f>RANK(W101,$W$74:$W$106)</f>
        <v>22</v>
      </c>
      <c r="Z101" s="408">
        <f t="shared" si="16"/>
        <v>2013</v>
      </c>
      <c r="AA101" s="83">
        <f t="shared" si="12"/>
        <v>17281214</v>
      </c>
      <c r="AB101" s="83">
        <f t="shared" si="13"/>
        <v>21965453</v>
      </c>
      <c r="AC101" s="407">
        <f t="shared" si="14"/>
        <v>3</v>
      </c>
      <c r="AD101" s="407">
        <f t="shared" si="18"/>
        <v>2</v>
      </c>
      <c r="AG101" s="1086">
        <v>1987</v>
      </c>
      <c r="AH101" s="1087"/>
      <c r="AI101" s="1087">
        <v>13066944</v>
      </c>
    </row>
    <row r="102" spans="1:35" ht="17" thickBot="1">
      <c r="A102" s="75">
        <v>1988</v>
      </c>
      <c r="B102" s="77" t="s">
        <v>86</v>
      </c>
      <c r="C102" s="109">
        <f t="shared" si="19"/>
        <v>795772</v>
      </c>
      <c r="D102" s="112">
        <v>0</v>
      </c>
      <c r="E102" s="113">
        <v>0</v>
      </c>
      <c r="F102" s="97">
        <v>971164</v>
      </c>
      <c r="G102" s="83">
        <f t="shared" si="17"/>
        <v>2227440.3669724772</v>
      </c>
      <c r="H102" s="83">
        <f t="shared" si="5"/>
        <v>2784300.4587155962</v>
      </c>
      <c r="I102" s="83"/>
      <c r="J102" s="83">
        <f t="shared" si="0"/>
        <v>1766936</v>
      </c>
      <c r="K102" s="83">
        <f t="shared" si="1"/>
        <v>3023212.3669724772</v>
      </c>
      <c r="L102" s="83">
        <f t="shared" si="2"/>
        <v>3580072.4587155962</v>
      </c>
      <c r="M102" s="92">
        <v>1766936</v>
      </c>
      <c r="N102" s="68">
        <f t="shared" si="15"/>
        <v>1.2665444883734613</v>
      </c>
      <c r="O102" s="266">
        <v>7210000</v>
      </c>
      <c r="P102" s="269"/>
      <c r="R102" s="69">
        <f t="shared" si="6"/>
        <v>48</v>
      </c>
      <c r="S102" s="353">
        <f t="shared" si="10"/>
        <v>1988</v>
      </c>
      <c r="T102" s="83">
        <f t="shared" si="7"/>
        <v>795772</v>
      </c>
      <c r="U102" s="353">
        <f t="shared" si="11"/>
        <v>2016</v>
      </c>
      <c r="V102" s="83">
        <f t="shared" si="8"/>
        <v>2182451.5088393101</v>
      </c>
      <c r="W102" s="83">
        <f>VLOOKUP($U102,$A$74:$J$130,10,FALSE)</f>
        <v>3508986.4174955119</v>
      </c>
      <c r="X102" s="407">
        <f>RANK(W102,$W$74:$W$106)</f>
        <v>19</v>
      </c>
      <c r="Z102" s="408">
        <f t="shared" si="16"/>
        <v>2015</v>
      </c>
      <c r="AA102" s="83">
        <f t="shared" si="12"/>
        <v>25535255.567563154</v>
      </c>
      <c r="AB102" s="83">
        <f t="shared" si="13"/>
        <v>31683677.72775621</v>
      </c>
      <c r="AD102" s="409">
        <f t="shared" si="18"/>
        <v>1</v>
      </c>
      <c r="AG102" s="1086">
        <v>1988</v>
      </c>
      <c r="AH102" s="1087">
        <v>1766936</v>
      </c>
      <c r="AI102" s="1087"/>
    </row>
    <row r="103" spans="1:35">
      <c r="A103" s="75">
        <v>1989</v>
      </c>
      <c r="B103" s="77" t="s">
        <v>139</v>
      </c>
      <c r="C103" s="107">
        <f t="shared" ref="C103:C110" si="20">M103-F103</f>
        <v>3510074</v>
      </c>
      <c r="D103" s="112">
        <v>0</v>
      </c>
      <c r="E103" s="113">
        <v>0</v>
      </c>
      <c r="F103" s="97">
        <v>1233676</v>
      </c>
      <c r="G103" s="83">
        <f t="shared" si="17"/>
        <v>2829532.1100917431</v>
      </c>
      <c r="H103" s="83">
        <f t="shared" si="5"/>
        <v>3536915.1376146786</v>
      </c>
      <c r="I103" s="83"/>
      <c r="J103" s="83">
        <f t="shared" si="0"/>
        <v>4743750</v>
      </c>
      <c r="K103" s="83">
        <f t="shared" si="1"/>
        <v>6339606.1100917431</v>
      </c>
      <c r="L103" s="83">
        <f t="shared" si="2"/>
        <v>7046989.1376146786</v>
      </c>
      <c r="M103" s="90">
        <v>4743750</v>
      </c>
      <c r="N103" s="68">
        <f t="shared" si="15"/>
        <v>1.7912544526120868</v>
      </c>
      <c r="O103" s="266">
        <v>20100000</v>
      </c>
      <c r="P103" s="269"/>
      <c r="R103" s="69">
        <f t="shared" si="6"/>
        <v>32</v>
      </c>
      <c r="S103" s="353">
        <f t="shared" si="10"/>
        <v>1989</v>
      </c>
      <c r="T103" s="83">
        <f t="shared" si="7"/>
        <v>3510074</v>
      </c>
      <c r="U103" s="353"/>
      <c r="Z103" s="408">
        <f t="shared" si="16"/>
        <v>2017</v>
      </c>
      <c r="AA103" s="83" t="e">
        <f t="shared" si="12"/>
        <v>#N/A</v>
      </c>
      <c r="AB103" s="83">
        <f>VLOOKUP($Z103,$A$74:$J$131,10,FALSE)</f>
        <v>22432450</v>
      </c>
      <c r="AG103" s="1086">
        <v>1989</v>
      </c>
      <c r="AH103" s="1087"/>
      <c r="AI103" s="1087">
        <v>4743750</v>
      </c>
    </row>
    <row r="104" spans="1:35">
      <c r="A104" s="75">
        <v>1990</v>
      </c>
      <c r="B104" s="77" t="s">
        <v>86</v>
      </c>
      <c r="C104" s="108">
        <f t="shared" si="20"/>
        <v>11687757</v>
      </c>
      <c r="D104" s="112">
        <v>0</v>
      </c>
      <c r="E104" s="113">
        <v>0</v>
      </c>
      <c r="F104" s="97">
        <v>1235905</v>
      </c>
      <c r="G104" s="83">
        <f t="shared" si="17"/>
        <v>2834644.4954128442</v>
      </c>
      <c r="H104" s="83">
        <f t="shared" si="5"/>
        <v>3543305.6192660551</v>
      </c>
      <c r="I104" s="83"/>
      <c r="J104" s="83">
        <f t="shared" si="0"/>
        <v>12923662</v>
      </c>
      <c r="K104" s="83">
        <f t="shared" si="1"/>
        <v>14522401.495412845</v>
      </c>
      <c r="L104" s="83">
        <f t="shared" si="2"/>
        <v>15231062.619266056</v>
      </c>
      <c r="M104" s="87">
        <v>12923662</v>
      </c>
      <c r="N104" s="68">
        <f t="shared" si="15"/>
        <v>5.4703372876259833</v>
      </c>
      <c r="O104" s="266">
        <v>3800000</v>
      </c>
      <c r="P104" s="269"/>
      <c r="R104" s="69">
        <f t="shared" si="6"/>
        <v>12</v>
      </c>
      <c r="S104" s="353">
        <f t="shared" si="10"/>
        <v>1990</v>
      </c>
      <c r="T104" s="83">
        <f t="shared" si="7"/>
        <v>11687757</v>
      </c>
      <c r="U104" s="353"/>
      <c r="Z104" s="408">
        <f t="shared" si="16"/>
        <v>2019</v>
      </c>
      <c r="AG104" s="1086">
        <v>1990</v>
      </c>
      <c r="AH104" s="1087">
        <v>12923662</v>
      </c>
      <c r="AI104" s="1087"/>
    </row>
    <row r="105" spans="1:35">
      <c r="A105" s="75">
        <v>1991</v>
      </c>
      <c r="B105" s="77" t="s">
        <v>139</v>
      </c>
      <c r="C105" s="108">
        <f t="shared" si="20"/>
        <v>5818984</v>
      </c>
      <c r="D105" s="112">
        <v>0</v>
      </c>
      <c r="E105" s="113">
        <v>0</v>
      </c>
      <c r="F105" s="97">
        <v>1725792</v>
      </c>
      <c r="G105" s="83">
        <f t="shared" si="17"/>
        <v>3958238.5321100918</v>
      </c>
      <c r="H105" s="83">
        <f t="shared" si="5"/>
        <v>4947798.1651376141</v>
      </c>
      <c r="I105" s="83"/>
      <c r="J105" s="83">
        <f t="shared" si="0"/>
        <v>7544776</v>
      </c>
      <c r="K105" s="83">
        <f t="shared" si="1"/>
        <v>9777222.5321100913</v>
      </c>
      <c r="L105" s="83">
        <f t="shared" si="2"/>
        <v>10766782.165137615</v>
      </c>
      <c r="M105" s="87">
        <v>7544776</v>
      </c>
      <c r="N105" s="68">
        <f t="shared" si="15"/>
        <v>3.0441166231652397</v>
      </c>
      <c r="O105" s="266">
        <v>7460000</v>
      </c>
      <c r="P105" s="269"/>
      <c r="R105" s="69">
        <f t="shared" si="6"/>
        <v>19</v>
      </c>
      <c r="S105" s="353">
        <f t="shared" si="10"/>
        <v>1991</v>
      </c>
      <c r="T105" s="83">
        <f t="shared" si="7"/>
        <v>5818984</v>
      </c>
      <c r="U105" s="353"/>
      <c r="AG105" s="1086">
        <v>1991</v>
      </c>
      <c r="AH105" s="1087"/>
      <c r="AI105" s="1087">
        <v>7544776</v>
      </c>
    </row>
    <row r="106" spans="1:35">
      <c r="A106" s="75">
        <v>1992</v>
      </c>
      <c r="B106" s="77" t="s">
        <v>86</v>
      </c>
      <c r="C106" s="108">
        <f t="shared" si="20"/>
        <v>862846</v>
      </c>
      <c r="D106" s="112">
        <v>0</v>
      </c>
      <c r="E106" s="113">
        <v>0</v>
      </c>
      <c r="F106" s="97">
        <v>542537</v>
      </c>
      <c r="G106" s="83">
        <f t="shared" si="17"/>
        <v>1244350.9174311927</v>
      </c>
      <c r="H106" s="83">
        <f t="shared" ref="H106:H125" si="21">G106/$H$6</f>
        <v>1555438.6467889908</v>
      </c>
      <c r="I106" s="83"/>
      <c r="J106" s="83">
        <f t="shared" ref="J106:J126" si="22">SUM(F106,E106,D106,C106)</f>
        <v>1405383</v>
      </c>
      <c r="K106" s="83">
        <f t="shared" ref="K106:K126" si="23">SUM(G106,E106,D106,C106)</f>
        <v>2107196.9174311925</v>
      </c>
      <c r="L106" s="83">
        <f t="shared" ref="L106:L126" si="24">SUM(H106,E106,D106,C106)</f>
        <v>2418284.6467889911</v>
      </c>
      <c r="M106" s="87">
        <v>1405383</v>
      </c>
      <c r="N106" s="68">
        <f t="shared" si="15"/>
        <v>0.68249394961586862</v>
      </c>
      <c r="O106" s="266">
        <v>2370000</v>
      </c>
      <c r="P106" s="269"/>
      <c r="R106" s="69">
        <f t="shared" si="6"/>
        <v>53</v>
      </c>
      <c r="S106" s="353">
        <f t="shared" si="10"/>
        <v>1992</v>
      </c>
      <c r="T106" s="83">
        <f t="shared" si="7"/>
        <v>862846</v>
      </c>
      <c r="U106" s="353"/>
      <c r="AG106" s="1086">
        <v>1992</v>
      </c>
      <c r="AH106" s="1087">
        <v>1405383</v>
      </c>
      <c r="AI106" s="1087"/>
    </row>
    <row r="107" spans="1:35">
      <c r="A107" s="75">
        <v>1993</v>
      </c>
      <c r="B107" s="77" t="s">
        <v>139</v>
      </c>
      <c r="C107" s="108">
        <f t="shared" si="20"/>
        <v>477302</v>
      </c>
      <c r="D107" s="112">
        <v>0</v>
      </c>
      <c r="E107" s="113">
        <v>0</v>
      </c>
      <c r="F107" s="97">
        <v>1065640</v>
      </c>
      <c r="G107" s="83">
        <f t="shared" si="17"/>
        <v>2444128.4403669727</v>
      </c>
      <c r="H107" s="83">
        <f t="shared" si="21"/>
        <v>3055160.5504587158</v>
      </c>
      <c r="I107" s="83"/>
      <c r="J107" s="83">
        <f t="shared" si="22"/>
        <v>1542942</v>
      </c>
      <c r="K107" s="83">
        <f t="shared" si="23"/>
        <v>2921430.4403669727</v>
      </c>
      <c r="L107" s="83">
        <f t="shared" si="24"/>
        <v>3532462.5504587158</v>
      </c>
      <c r="M107" s="87">
        <v>1542942</v>
      </c>
      <c r="N107" s="68">
        <f t="shared" si="15"/>
        <v>0.7139463722163506</v>
      </c>
      <c r="O107" s="266">
        <v>5410000</v>
      </c>
      <c r="P107" s="269"/>
      <c r="R107" s="69">
        <f t="shared" si="6"/>
        <v>49</v>
      </c>
      <c r="S107" s="353">
        <f t="shared" si="10"/>
        <v>1993</v>
      </c>
      <c r="T107" s="83">
        <f t="shared" si="7"/>
        <v>477302</v>
      </c>
      <c r="U107" s="75"/>
      <c r="AG107" s="1086">
        <v>1993</v>
      </c>
      <c r="AH107" s="1087"/>
      <c r="AI107" s="1087">
        <v>1542942</v>
      </c>
    </row>
    <row r="108" spans="1:35">
      <c r="A108" s="75">
        <v>1994</v>
      </c>
      <c r="B108" s="77" t="s">
        <v>86</v>
      </c>
      <c r="C108" s="108">
        <f t="shared" si="20"/>
        <v>3257358</v>
      </c>
      <c r="D108" s="112">
        <v>0</v>
      </c>
      <c r="E108" s="113">
        <v>0</v>
      </c>
      <c r="F108" s="97">
        <v>1409281</v>
      </c>
      <c r="G108" s="83">
        <f t="shared" si="17"/>
        <v>3232295.8715596329</v>
      </c>
      <c r="H108" s="83">
        <f t="shared" si="21"/>
        <v>4040369.8394495412</v>
      </c>
      <c r="I108" s="83"/>
      <c r="J108" s="83">
        <f t="shared" si="22"/>
        <v>4666639</v>
      </c>
      <c r="K108" s="83">
        <f t="shared" si="23"/>
        <v>6489653.8715596329</v>
      </c>
      <c r="L108" s="83">
        <f t="shared" si="24"/>
        <v>7297727.8394495416</v>
      </c>
      <c r="M108" s="87">
        <v>4666639</v>
      </c>
      <c r="N108" s="68">
        <f t="shared" si="15"/>
        <v>4.6917490796019443</v>
      </c>
      <c r="O108" s="266">
        <v>1970000</v>
      </c>
      <c r="P108" s="269"/>
      <c r="R108" s="69">
        <f t="shared" si="6"/>
        <v>30</v>
      </c>
      <c r="S108" s="353">
        <f t="shared" si="10"/>
        <v>1994</v>
      </c>
      <c r="T108" s="83">
        <f t="shared" si="7"/>
        <v>3257358</v>
      </c>
      <c r="U108" s="75"/>
      <c r="AG108" s="1086">
        <v>1994</v>
      </c>
      <c r="AH108" s="1087">
        <v>4666639</v>
      </c>
      <c r="AI108" s="1087"/>
    </row>
    <row r="109" spans="1:35">
      <c r="A109" s="75">
        <v>1995</v>
      </c>
      <c r="B109" s="77" t="s">
        <v>139</v>
      </c>
      <c r="C109" s="108">
        <f t="shared" si="20"/>
        <v>2744024</v>
      </c>
      <c r="D109" s="112">
        <v>0</v>
      </c>
      <c r="E109" s="113">
        <v>0</v>
      </c>
      <c r="F109" s="97">
        <v>1190184</v>
      </c>
      <c r="G109" s="83">
        <f t="shared" si="17"/>
        <v>2729779.8165137614</v>
      </c>
      <c r="H109" s="83">
        <f t="shared" si="21"/>
        <v>3412224.7706422014</v>
      </c>
      <c r="I109" s="83"/>
      <c r="J109" s="83">
        <f t="shared" si="22"/>
        <v>3934208</v>
      </c>
      <c r="K109" s="83">
        <f t="shared" si="23"/>
        <v>5473803.8165137619</v>
      </c>
      <c r="L109" s="83">
        <f t="shared" si="24"/>
        <v>6156248.7706422014</v>
      </c>
      <c r="M109" s="87">
        <v>3934208</v>
      </c>
      <c r="N109" s="68">
        <f t="shared" si="15"/>
        <v>2.0150328170864453</v>
      </c>
      <c r="O109" s="266">
        <v>7700000</v>
      </c>
      <c r="P109" s="269"/>
      <c r="R109" s="69">
        <f t="shared" si="6"/>
        <v>36</v>
      </c>
      <c r="S109" s="353">
        <f t="shared" si="10"/>
        <v>1995</v>
      </c>
      <c r="T109" s="83">
        <f t="shared" si="7"/>
        <v>2744024</v>
      </c>
      <c r="U109" s="75"/>
      <c r="AG109" s="1086">
        <v>1995</v>
      </c>
      <c r="AH109" s="1087"/>
      <c r="AI109" s="1087">
        <v>3934208</v>
      </c>
    </row>
    <row r="110" spans="1:35" ht="17" thickBot="1">
      <c r="A110" s="75">
        <v>1996</v>
      </c>
      <c r="B110" s="77" t="s">
        <v>86</v>
      </c>
      <c r="C110" s="109">
        <f t="shared" si="20"/>
        <v>3016749</v>
      </c>
      <c r="D110" s="114">
        <v>0</v>
      </c>
      <c r="E110" s="115">
        <v>0</v>
      </c>
      <c r="F110" s="97">
        <v>1483336</v>
      </c>
      <c r="G110" s="83">
        <f t="shared" si="17"/>
        <v>3402146.7889908259</v>
      </c>
      <c r="H110" s="83">
        <f t="shared" si="21"/>
        <v>4252683.4862385318</v>
      </c>
      <c r="I110" s="83"/>
      <c r="J110" s="83">
        <f t="shared" si="22"/>
        <v>4500085</v>
      </c>
      <c r="K110" s="83">
        <f t="shared" si="23"/>
        <v>6418895.7889908254</v>
      </c>
      <c r="L110" s="83">
        <f t="shared" si="24"/>
        <v>7269432.4862385318</v>
      </c>
      <c r="M110" s="87">
        <v>4500085</v>
      </c>
      <c r="N110" s="68">
        <f t="shared" si="15"/>
        <v>1.7991997700955309</v>
      </c>
      <c r="O110" s="266">
        <v>6000000</v>
      </c>
      <c r="P110" s="269"/>
      <c r="R110" s="69">
        <f t="shared" si="6"/>
        <v>31</v>
      </c>
      <c r="S110" s="353">
        <f t="shared" si="10"/>
        <v>1996</v>
      </c>
      <c r="T110" s="83">
        <f t="shared" si="7"/>
        <v>3016749</v>
      </c>
      <c r="U110" s="75"/>
      <c r="AG110" s="1086">
        <v>1996</v>
      </c>
      <c r="AH110" s="1087">
        <v>4500085</v>
      </c>
      <c r="AI110" s="1087"/>
    </row>
    <row r="111" spans="1:35" ht="17" thickBot="1">
      <c r="A111" s="75">
        <v>1997</v>
      </c>
      <c r="B111" s="77" t="s">
        <v>139</v>
      </c>
      <c r="C111" s="80">
        <v>1088828</v>
      </c>
      <c r="D111" s="99">
        <v>74224</v>
      </c>
      <c r="E111" s="97">
        <v>2942</v>
      </c>
      <c r="F111" s="81">
        <v>1422688</v>
      </c>
      <c r="G111" s="83">
        <f t="shared" si="17"/>
        <v>3263045.8715596329</v>
      </c>
      <c r="H111" s="83">
        <f t="shared" si="21"/>
        <v>4078807.3394495412</v>
      </c>
      <c r="I111" s="83"/>
      <c r="J111" s="83">
        <f t="shared" si="22"/>
        <v>2588682</v>
      </c>
      <c r="K111" s="83">
        <f t="shared" si="23"/>
        <v>4429039.8715596329</v>
      </c>
      <c r="L111" s="83">
        <f t="shared" si="24"/>
        <v>5244801.3394495416</v>
      </c>
      <c r="M111" s="91">
        <v>3688166</v>
      </c>
      <c r="N111" s="68">
        <f t="shared" si="15"/>
        <v>1.5370620905675092</v>
      </c>
      <c r="O111" s="266">
        <v>5200000</v>
      </c>
      <c r="P111" s="269"/>
      <c r="R111" s="69">
        <f t="shared" si="6"/>
        <v>45</v>
      </c>
      <c r="S111" s="353">
        <f t="shared" si="10"/>
        <v>1997</v>
      </c>
      <c r="T111" s="83">
        <f t="shared" si="7"/>
        <v>1163052</v>
      </c>
      <c r="U111" s="75"/>
      <c r="AG111" s="1086">
        <v>1997</v>
      </c>
      <c r="AH111" s="1087"/>
      <c r="AI111" s="1087">
        <v>2588682</v>
      </c>
    </row>
    <row r="112" spans="1:35">
      <c r="A112" s="75">
        <v>1998</v>
      </c>
      <c r="B112" s="77" t="s">
        <v>86</v>
      </c>
      <c r="C112" s="81">
        <v>3692143</v>
      </c>
      <c r="D112" s="99">
        <v>158267.5</v>
      </c>
      <c r="E112" s="97">
        <v>3760</v>
      </c>
      <c r="F112" s="81">
        <v>1420105</v>
      </c>
      <c r="G112" s="83">
        <f t="shared" si="17"/>
        <v>3257121.5596330278</v>
      </c>
      <c r="H112" s="83">
        <f t="shared" si="21"/>
        <v>4071401.9495412847</v>
      </c>
      <c r="I112" s="83"/>
      <c r="J112" s="83">
        <f t="shared" si="22"/>
        <v>5274275.5</v>
      </c>
      <c r="K112" s="83">
        <f t="shared" si="23"/>
        <v>7111292.0596330278</v>
      </c>
      <c r="L112" s="83">
        <f t="shared" si="24"/>
        <v>7925572.4495412847</v>
      </c>
      <c r="N112" s="68">
        <f t="shared" si="15"/>
        <v>1.8636638431211812</v>
      </c>
      <c r="O112" s="266">
        <v>5900000</v>
      </c>
      <c r="P112" s="269"/>
      <c r="R112" s="69">
        <f t="shared" si="6"/>
        <v>28</v>
      </c>
      <c r="S112" s="353">
        <f t="shared" si="10"/>
        <v>1998</v>
      </c>
      <c r="T112" s="83">
        <f t="shared" si="7"/>
        <v>3850410.5</v>
      </c>
      <c r="U112" s="75"/>
      <c r="AG112" s="1086">
        <v>1998</v>
      </c>
      <c r="AH112" s="1087">
        <v>5274275.5</v>
      </c>
      <c r="AI112" s="1087"/>
    </row>
    <row r="113" spans="1:35" ht="17" thickBot="1">
      <c r="A113" s="75">
        <v>1999</v>
      </c>
      <c r="B113" s="77" t="s">
        <v>139</v>
      </c>
      <c r="C113" s="81">
        <v>6793207</v>
      </c>
      <c r="D113" s="100">
        <v>146624</v>
      </c>
      <c r="E113" s="98">
        <v>2505</v>
      </c>
      <c r="F113" s="81">
        <v>2462862</v>
      </c>
      <c r="G113" s="83">
        <f t="shared" si="17"/>
        <v>5648766.055045872</v>
      </c>
      <c r="H113" s="83">
        <f t="shared" si="21"/>
        <v>7060957.5688073393</v>
      </c>
      <c r="I113" s="83"/>
      <c r="J113" s="83">
        <f t="shared" si="22"/>
        <v>9405198</v>
      </c>
      <c r="K113" s="83">
        <f t="shared" si="23"/>
        <v>12591102.055045873</v>
      </c>
      <c r="L113" s="83">
        <f t="shared" si="24"/>
        <v>14003293.568807339</v>
      </c>
      <c r="M113" s="78"/>
      <c r="N113" s="68">
        <f t="shared" si="15"/>
        <v>3.433183380192987</v>
      </c>
      <c r="O113" s="266">
        <v>6800000</v>
      </c>
      <c r="P113" s="266">
        <v>5200000</v>
      </c>
      <c r="R113" s="69">
        <f t="shared" si="6"/>
        <v>14</v>
      </c>
      <c r="S113" s="353">
        <f t="shared" si="10"/>
        <v>1999</v>
      </c>
      <c r="T113" s="83">
        <f t="shared" si="7"/>
        <v>6939831</v>
      </c>
      <c r="U113" s="75"/>
      <c r="AG113" s="1086">
        <v>1999</v>
      </c>
      <c r="AH113" s="1087"/>
      <c r="AI113" s="1087">
        <v>9405198</v>
      </c>
    </row>
    <row r="114" spans="1:35">
      <c r="A114" s="75">
        <v>2000</v>
      </c>
      <c r="B114" s="77" t="s">
        <v>86</v>
      </c>
      <c r="C114" s="81">
        <v>5660513</v>
      </c>
      <c r="D114" s="96">
        <v>70400</v>
      </c>
      <c r="E114" s="80">
        <v>0</v>
      </c>
      <c r="F114" s="81">
        <v>1659028</v>
      </c>
      <c r="G114" s="83">
        <f t="shared" si="17"/>
        <v>3805110.0917431191</v>
      </c>
      <c r="H114" s="83">
        <f t="shared" si="21"/>
        <v>4756387.6146788988</v>
      </c>
      <c r="I114" s="83"/>
      <c r="J114" s="83">
        <f t="shared" si="22"/>
        <v>7389941</v>
      </c>
      <c r="K114" s="83">
        <f t="shared" si="23"/>
        <v>9536023.0917431191</v>
      </c>
      <c r="L114" s="83">
        <f t="shared" si="24"/>
        <v>10487300.614678899</v>
      </c>
      <c r="N114" s="68">
        <f t="shared" si="15"/>
        <v>2.5758450638509123</v>
      </c>
      <c r="O114" s="266">
        <v>6600000</v>
      </c>
      <c r="P114" s="266">
        <v>5200000</v>
      </c>
      <c r="R114" s="69">
        <f t="shared" si="6"/>
        <v>21</v>
      </c>
      <c r="S114" s="353">
        <f t="shared" si="10"/>
        <v>2000</v>
      </c>
      <c r="T114" s="83">
        <f t="shared" si="7"/>
        <v>5730913</v>
      </c>
      <c r="U114" s="75"/>
      <c r="AG114" s="1086">
        <v>2000</v>
      </c>
      <c r="AH114" s="1087">
        <v>7389941</v>
      </c>
      <c r="AI114" s="1087"/>
    </row>
    <row r="115" spans="1:35">
      <c r="A115" s="75">
        <v>2001</v>
      </c>
      <c r="B115" s="77" t="s">
        <v>139</v>
      </c>
      <c r="C115" s="81">
        <v>6705936.700407384</v>
      </c>
      <c r="D115" s="97">
        <v>148354.28039681201</v>
      </c>
      <c r="E115" s="81">
        <v>0</v>
      </c>
      <c r="F115" s="81">
        <v>2000386</v>
      </c>
      <c r="G115" s="83">
        <f t="shared" si="17"/>
        <v>4588041.2844036696</v>
      </c>
      <c r="H115" s="83">
        <f t="shared" si="21"/>
        <v>5735051.6055045864</v>
      </c>
      <c r="I115" s="83"/>
      <c r="J115" s="83">
        <f t="shared" si="22"/>
        <v>8854676.9808041956</v>
      </c>
      <c r="K115" s="83">
        <f t="shared" si="23"/>
        <v>11442332.265207864</v>
      </c>
      <c r="L115" s="83">
        <f t="shared" si="24"/>
        <v>12589342.586308781</v>
      </c>
      <c r="N115" s="68">
        <f t="shared" si="15"/>
        <v>1.782951173920627</v>
      </c>
      <c r="O115" s="266">
        <v>4600000</v>
      </c>
      <c r="P115" s="266">
        <v>3200000</v>
      </c>
      <c r="R115" s="69">
        <f t="shared" si="6"/>
        <v>16</v>
      </c>
      <c r="S115" s="353">
        <f t="shared" si="10"/>
        <v>2001</v>
      </c>
      <c r="T115" s="83">
        <f t="shared" si="7"/>
        <v>6854290.9808041956</v>
      </c>
      <c r="AG115" s="1086">
        <v>2001</v>
      </c>
      <c r="AH115" s="1087"/>
      <c r="AI115" s="1087">
        <v>8854676.9808041956</v>
      </c>
    </row>
    <row r="116" spans="1:35">
      <c r="A116" s="75">
        <v>2002</v>
      </c>
      <c r="B116" s="77" t="s">
        <v>86</v>
      </c>
      <c r="C116" s="81">
        <v>236842.54556606748</v>
      </c>
      <c r="D116" s="97">
        <v>84625.764636524822</v>
      </c>
      <c r="E116" s="81">
        <v>0</v>
      </c>
      <c r="F116" s="81">
        <v>943177</v>
      </c>
      <c r="G116" s="83">
        <f t="shared" si="17"/>
        <v>2163250</v>
      </c>
      <c r="H116" s="83">
        <f t="shared" si="21"/>
        <v>2704062.5</v>
      </c>
      <c r="I116" s="83"/>
      <c r="J116" s="83">
        <f t="shared" si="22"/>
        <v>1264645.3102025923</v>
      </c>
      <c r="K116" s="83">
        <f t="shared" si="23"/>
        <v>2484718.3102025925</v>
      </c>
      <c r="L116" s="83">
        <f t="shared" si="24"/>
        <v>3025530.8102025925</v>
      </c>
      <c r="N116" s="68">
        <f t="shared" si="15"/>
        <v>0.63609845439538348</v>
      </c>
      <c r="O116" s="266">
        <v>5130000</v>
      </c>
      <c r="P116" s="266">
        <v>3130000</v>
      </c>
      <c r="R116" s="69">
        <f t="shared" si="6"/>
        <v>50</v>
      </c>
      <c r="S116" s="353">
        <f t="shared" si="10"/>
        <v>2002</v>
      </c>
      <c r="T116" s="83">
        <f t="shared" si="7"/>
        <v>321468.31020259229</v>
      </c>
      <c r="AG116" s="1086">
        <v>2002</v>
      </c>
      <c r="AH116" s="1087">
        <v>1264645.3102025923</v>
      </c>
      <c r="AI116" s="1087"/>
    </row>
    <row r="117" spans="1:35">
      <c r="A117" s="75">
        <v>2003</v>
      </c>
      <c r="B117" s="77" t="s">
        <v>139</v>
      </c>
      <c r="C117" s="81">
        <v>4493948.7314859722</v>
      </c>
      <c r="D117" s="97">
        <v>3831.208333333333</v>
      </c>
      <c r="E117" s="81">
        <v>0</v>
      </c>
      <c r="F117" s="81">
        <v>2846732</v>
      </c>
      <c r="G117" s="83">
        <f t="shared" si="17"/>
        <v>6529201.8348623849</v>
      </c>
      <c r="H117" s="83">
        <f t="shared" si="21"/>
        <v>8161502.2935779812</v>
      </c>
      <c r="I117" s="83"/>
      <c r="J117" s="83">
        <f t="shared" si="22"/>
        <v>7344511.9398193061</v>
      </c>
      <c r="K117" s="83">
        <f t="shared" si="23"/>
        <v>11026981.774681691</v>
      </c>
      <c r="L117" s="83">
        <f t="shared" si="24"/>
        <v>12659282.233397286</v>
      </c>
      <c r="N117" s="68">
        <f t="shared" si="15"/>
        <v>2.2073528024136211</v>
      </c>
      <c r="O117" s="266">
        <v>4620000</v>
      </c>
      <c r="P117" s="266">
        <v>2620000</v>
      </c>
      <c r="R117" s="69">
        <f t="shared" si="6"/>
        <v>15</v>
      </c>
      <c r="S117" s="353">
        <f t="shared" si="10"/>
        <v>2003</v>
      </c>
      <c r="T117" s="83">
        <f t="shared" si="7"/>
        <v>4497779.9398193052</v>
      </c>
      <c r="AG117" s="1086">
        <v>2003</v>
      </c>
      <c r="AH117" s="1087"/>
      <c r="AI117" s="1087">
        <v>7344511.9398193061</v>
      </c>
    </row>
    <row r="118" spans="1:35">
      <c r="A118" s="75">
        <v>2004</v>
      </c>
      <c r="B118" s="77" t="s">
        <v>86</v>
      </c>
      <c r="C118" s="81">
        <v>2870874.2919837157</v>
      </c>
      <c r="D118" s="97">
        <v>67433.764363722701</v>
      </c>
      <c r="E118" s="81">
        <v>0</v>
      </c>
      <c r="F118" s="81">
        <v>2001123</v>
      </c>
      <c r="G118" s="83">
        <f t="shared" si="17"/>
        <v>4589731.6513761468</v>
      </c>
      <c r="H118" s="83">
        <f t="shared" si="21"/>
        <v>5737164.5642201835</v>
      </c>
      <c r="I118" s="83"/>
      <c r="J118" s="83">
        <f t="shared" si="22"/>
        <v>4939431.0563474381</v>
      </c>
      <c r="K118" s="83">
        <f t="shared" si="23"/>
        <v>7528039.7077235859</v>
      </c>
      <c r="L118" s="83">
        <f t="shared" si="24"/>
        <v>8675472.6205676217</v>
      </c>
      <c r="N118" s="68">
        <f t="shared" si="15"/>
        <v>3.2083106882949717</v>
      </c>
      <c r="O118" s="267">
        <v>5480000</v>
      </c>
      <c r="P118" s="266">
        <v>3480000</v>
      </c>
      <c r="R118" s="69">
        <f t="shared" si="6"/>
        <v>24</v>
      </c>
      <c r="S118" s="353">
        <f t="shared" si="10"/>
        <v>2004</v>
      </c>
      <c r="T118" s="83">
        <f t="shared" si="7"/>
        <v>2938308.0563474386</v>
      </c>
      <c r="AG118" s="1086">
        <v>2004</v>
      </c>
      <c r="AH118" s="1087">
        <v>4939431.0563474381</v>
      </c>
      <c r="AI118" s="1087"/>
    </row>
    <row r="119" spans="1:35">
      <c r="A119" s="75">
        <v>2005</v>
      </c>
      <c r="B119" s="77" t="s">
        <v>139</v>
      </c>
      <c r="C119" s="81">
        <v>12256106.828178193</v>
      </c>
      <c r="D119" s="97">
        <v>40265</v>
      </c>
      <c r="E119" s="81">
        <v>0</v>
      </c>
      <c r="F119" s="81">
        <v>4736115.8571428573</v>
      </c>
      <c r="G119" s="83">
        <f t="shared" si="17"/>
        <v>10862651.048492791</v>
      </c>
      <c r="H119" s="83">
        <f t="shared" si="21"/>
        <v>13578313.810615988</v>
      </c>
      <c r="I119" s="83"/>
      <c r="J119" s="83">
        <f t="shared" si="22"/>
        <v>17032487.685321052</v>
      </c>
      <c r="K119" s="83">
        <f t="shared" si="23"/>
        <v>23159022.876670986</v>
      </c>
      <c r="L119" s="83">
        <f t="shared" si="24"/>
        <v>25874685.638794184</v>
      </c>
      <c r="N119" s="68">
        <f t="shared" si="15"/>
        <v>3.1703336846641736</v>
      </c>
      <c r="O119" s="267">
        <v>4290000</v>
      </c>
      <c r="P119" s="266">
        <v>2290000</v>
      </c>
      <c r="R119" s="69">
        <f t="shared" si="6"/>
        <v>3</v>
      </c>
      <c r="S119" s="353">
        <f t="shared" si="10"/>
        <v>2005</v>
      </c>
      <c r="T119" s="83">
        <f t="shared" si="7"/>
        <v>12296371.828178193</v>
      </c>
      <c r="AG119" s="1086">
        <v>2005</v>
      </c>
      <c r="AH119" s="1087"/>
      <c r="AI119" s="1087">
        <v>17032487.685321052</v>
      </c>
    </row>
    <row r="120" spans="1:35">
      <c r="A120" s="75">
        <v>2006</v>
      </c>
      <c r="B120" s="77" t="s">
        <v>86</v>
      </c>
      <c r="C120" s="81">
        <v>1983120.7161293393</v>
      </c>
      <c r="D120" s="97">
        <v>140780.45833333334</v>
      </c>
      <c r="E120" s="81">
        <v>0</v>
      </c>
      <c r="F120" s="81">
        <v>1190801.6008809961</v>
      </c>
      <c r="G120" s="83">
        <f t="shared" si="17"/>
        <v>2731196.3322958625</v>
      </c>
      <c r="H120" s="83">
        <f t="shared" si="21"/>
        <v>3413995.4153698278</v>
      </c>
      <c r="I120" s="83"/>
      <c r="J120" s="83">
        <f t="shared" si="22"/>
        <v>3314702.7753436686</v>
      </c>
      <c r="K120" s="83">
        <f t="shared" si="23"/>
        <v>4855097.5067585353</v>
      </c>
      <c r="L120" s="83">
        <f t="shared" si="24"/>
        <v>5537896.5898325006</v>
      </c>
      <c r="N120" s="68">
        <f t="shared" si="15"/>
        <v>0.96526716775209531</v>
      </c>
      <c r="O120" s="266">
        <v>4660000</v>
      </c>
      <c r="P120" s="266">
        <v>2660000</v>
      </c>
      <c r="R120" s="69">
        <f t="shared" si="6"/>
        <v>42</v>
      </c>
      <c r="S120" s="353">
        <f t="shared" si="10"/>
        <v>2006</v>
      </c>
      <c r="T120" s="83">
        <f t="shared" si="7"/>
        <v>2123901.1744626728</v>
      </c>
      <c r="AG120" s="1086">
        <v>2006</v>
      </c>
      <c r="AH120" s="1087">
        <v>3314702.7753436686</v>
      </c>
      <c r="AI120" s="1087"/>
    </row>
    <row r="121" spans="1:35" ht="17" thickBot="1">
      <c r="A121" s="75">
        <v>2007</v>
      </c>
      <c r="B121" s="77" t="s">
        <v>139</v>
      </c>
      <c r="C121" s="81">
        <v>9967663.2895603608</v>
      </c>
      <c r="D121" s="97">
        <v>50191.342559523808</v>
      </c>
      <c r="E121" s="81">
        <v>0</v>
      </c>
      <c r="F121" s="81">
        <v>1509133.1628835602</v>
      </c>
      <c r="G121" s="83">
        <f t="shared" si="17"/>
        <v>3461314.5937696332</v>
      </c>
      <c r="H121" s="83">
        <f t="shared" si="21"/>
        <v>4326643.2422120413</v>
      </c>
      <c r="I121" s="83"/>
      <c r="J121" s="83">
        <f t="shared" si="22"/>
        <v>11526987.795003444</v>
      </c>
      <c r="K121" s="83">
        <f t="shared" si="23"/>
        <v>13479169.225889519</v>
      </c>
      <c r="L121" s="83">
        <f t="shared" si="24"/>
        <v>14344497.874331925</v>
      </c>
      <c r="N121" s="68">
        <f t="shared" si="15"/>
        <v>1.0564270405296501</v>
      </c>
      <c r="O121" s="266">
        <v>12900000</v>
      </c>
      <c r="P121" s="266">
        <v>10900000</v>
      </c>
      <c r="R121" s="69">
        <f t="shared" si="6"/>
        <v>13</v>
      </c>
      <c r="S121" s="353">
        <f t="shared" si="10"/>
        <v>2007</v>
      </c>
      <c r="T121" s="83">
        <f t="shared" si="7"/>
        <v>10017854.632119885</v>
      </c>
      <c r="AG121" s="1086">
        <v>2007</v>
      </c>
      <c r="AH121" s="1087"/>
      <c r="AI121" s="1087">
        <v>11526987.795003444</v>
      </c>
    </row>
    <row r="122" spans="1:35">
      <c r="A122" s="75">
        <v>2008</v>
      </c>
      <c r="B122" s="77" t="s">
        <v>86</v>
      </c>
      <c r="C122" s="81">
        <v>1371156.4260196264</v>
      </c>
      <c r="D122" s="97">
        <v>57116.739583333489</v>
      </c>
      <c r="E122" s="80">
        <v>0</v>
      </c>
      <c r="F122" s="81">
        <v>862418.51199612883</v>
      </c>
      <c r="G122" s="83">
        <f t="shared" si="17"/>
        <v>1978024.1100828643</v>
      </c>
      <c r="H122" s="83">
        <f t="shared" si="21"/>
        <v>2472530.13760358</v>
      </c>
      <c r="I122" s="83"/>
      <c r="J122" s="83">
        <f t="shared" si="22"/>
        <v>2290691.6775990888</v>
      </c>
      <c r="K122" s="83">
        <f t="shared" si="23"/>
        <v>3406297.2756858245</v>
      </c>
      <c r="L122" s="83">
        <f t="shared" si="24"/>
        <v>3900803.3032065397</v>
      </c>
      <c r="N122" s="68">
        <f t="shared" si="15"/>
        <v>1.1425918399436332</v>
      </c>
      <c r="O122" s="266">
        <v>3510000</v>
      </c>
      <c r="P122" s="266">
        <v>1510000</v>
      </c>
      <c r="R122" s="69">
        <f t="shared" si="6"/>
        <v>47</v>
      </c>
      <c r="S122" s="353">
        <f t="shared" si="10"/>
        <v>2008</v>
      </c>
      <c r="T122" s="83">
        <f t="shared" si="7"/>
        <v>1428273.1656029599</v>
      </c>
      <c r="AG122" s="1086">
        <v>2008</v>
      </c>
      <c r="AH122" s="1087">
        <v>2290691.6775990888</v>
      </c>
      <c r="AI122" s="1087"/>
    </row>
    <row r="123" spans="1:35" ht="17" thickBot="1">
      <c r="A123" s="75">
        <v>2009</v>
      </c>
      <c r="B123" s="77" t="s">
        <v>139</v>
      </c>
      <c r="C123" s="82">
        <v>910000.69957974285</v>
      </c>
      <c r="D123" s="98">
        <v>84707.298324556832</v>
      </c>
      <c r="E123" s="82">
        <v>0</v>
      </c>
      <c r="F123" s="82">
        <v>1829622.6091624377</v>
      </c>
      <c r="G123" s="83">
        <f t="shared" si="17"/>
        <v>4196382.1311065089</v>
      </c>
      <c r="H123" s="83">
        <f t="shared" si="21"/>
        <v>5245477.6638831357</v>
      </c>
      <c r="I123" s="83"/>
      <c r="J123" s="83">
        <f t="shared" si="22"/>
        <v>2824330.6070667375</v>
      </c>
      <c r="K123" s="83">
        <f t="shared" si="23"/>
        <v>5191090.1290108087</v>
      </c>
      <c r="L123" s="83">
        <f t="shared" si="24"/>
        <v>6240185.6617874354</v>
      </c>
      <c r="N123" s="68">
        <f t="shared" si="15"/>
        <v>1.442269517603461</v>
      </c>
      <c r="O123" s="266">
        <v>14280000</v>
      </c>
      <c r="P123" s="266">
        <v>12280000</v>
      </c>
      <c r="R123" s="69">
        <f t="shared" si="6"/>
        <v>35</v>
      </c>
      <c r="S123" s="353">
        <f t="shared" si="10"/>
        <v>2009</v>
      </c>
      <c r="T123" s="83">
        <f t="shared" si="7"/>
        <v>994707.99790429964</v>
      </c>
      <c r="AG123" s="1086">
        <v>2009</v>
      </c>
      <c r="AH123" s="1087"/>
      <c r="AI123" s="1087">
        <v>2824330.6070667375</v>
      </c>
    </row>
    <row r="124" spans="1:35">
      <c r="A124" s="75">
        <v>2010</v>
      </c>
      <c r="B124" s="77" t="s">
        <v>86</v>
      </c>
      <c r="C124" s="129">
        <v>2325412.6096819355</v>
      </c>
      <c r="D124" s="129">
        <v>73570.117535301673</v>
      </c>
      <c r="E124" s="129">
        <v>0</v>
      </c>
      <c r="F124" s="142">
        <v>2000408</v>
      </c>
      <c r="G124" s="83">
        <f t="shared" ref="G124:G129" si="25">F124/$G$5</f>
        <v>4588091.7431192659</v>
      </c>
      <c r="H124" s="83">
        <f t="shared" si="21"/>
        <v>5735114.6788990824</v>
      </c>
      <c r="I124" s="83"/>
      <c r="J124" s="83">
        <f t="shared" si="22"/>
        <v>4399390.7272172375</v>
      </c>
      <c r="K124" s="83">
        <f t="shared" si="23"/>
        <v>6987074.4703365024</v>
      </c>
      <c r="L124" s="83">
        <f t="shared" si="24"/>
        <v>8134097.4061163198</v>
      </c>
      <c r="N124" s="68">
        <f t="shared" si="15"/>
        <v>3.2897869604938492</v>
      </c>
      <c r="O124" s="266">
        <v>2801000</v>
      </c>
      <c r="P124" s="266">
        <v>801000</v>
      </c>
      <c r="R124" s="69">
        <f t="shared" si="6"/>
        <v>27</v>
      </c>
      <c r="S124" s="353">
        <f t="shared" si="10"/>
        <v>2010</v>
      </c>
      <c r="T124" s="83">
        <f t="shared" si="7"/>
        <v>2398982.727217237</v>
      </c>
      <c r="AG124" s="1086">
        <v>2010</v>
      </c>
      <c r="AH124" s="1087">
        <v>4399390.7272172375</v>
      </c>
      <c r="AI124" s="1087"/>
    </row>
    <row r="125" spans="1:35">
      <c r="A125" s="75">
        <v>2011</v>
      </c>
      <c r="B125" s="77" t="s">
        <v>139</v>
      </c>
      <c r="C125" s="355">
        <v>5564873</v>
      </c>
      <c r="D125" s="355">
        <v>150807</v>
      </c>
      <c r="E125" s="355">
        <v>0</v>
      </c>
      <c r="F125" s="355">
        <v>3927419</v>
      </c>
      <c r="G125" s="356">
        <f t="shared" si="25"/>
        <v>9007841.7431192659</v>
      </c>
      <c r="H125" s="356">
        <f t="shared" si="21"/>
        <v>11259802.178899081</v>
      </c>
      <c r="I125" s="356"/>
      <c r="J125" s="356">
        <f t="shared" si="22"/>
        <v>9643099</v>
      </c>
      <c r="K125" s="356">
        <f t="shared" si="23"/>
        <v>14723521.743119266</v>
      </c>
      <c r="L125" s="356">
        <f t="shared" si="24"/>
        <v>16975482.17889908</v>
      </c>
      <c r="N125" s="68">
        <f t="shared" si="15"/>
        <v>3.2362128421174949</v>
      </c>
      <c r="O125" s="357">
        <v>5550000</v>
      </c>
      <c r="P125" s="357">
        <v>3550000</v>
      </c>
      <c r="R125" s="69">
        <f t="shared" si="6"/>
        <v>8</v>
      </c>
      <c r="S125" s="353">
        <f>S124+1</f>
        <v>2011</v>
      </c>
      <c r="T125" s="83">
        <f t="shared" si="7"/>
        <v>5715680</v>
      </c>
      <c r="AG125" s="1086">
        <v>2011</v>
      </c>
      <c r="AH125" s="1087"/>
      <c r="AI125" s="1087">
        <v>9643099</v>
      </c>
    </row>
    <row r="126" spans="1:35">
      <c r="A126" s="75">
        <v>2012</v>
      </c>
      <c r="B126" s="77" t="s">
        <v>86</v>
      </c>
      <c r="C126" s="129">
        <v>3288580.30084719</v>
      </c>
      <c r="D126" s="129">
        <v>13994.8</v>
      </c>
      <c r="E126" s="129">
        <v>0</v>
      </c>
      <c r="F126" s="129">
        <v>1125692.4441663059</v>
      </c>
      <c r="G126" s="356">
        <f t="shared" si="25"/>
        <v>2581863.4040511604</v>
      </c>
      <c r="H126" s="356">
        <f t="shared" ref="H126:H131" si="26">G126/$H$6</f>
        <v>3227329.2550639505</v>
      </c>
      <c r="I126" s="83"/>
      <c r="J126" s="83">
        <f t="shared" si="22"/>
        <v>4428267.5450134957</v>
      </c>
      <c r="K126" s="83">
        <f t="shared" si="23"/>
        <v>5884438.5048983507</v>
      </c>
      <c r="L126" s="83">
        <f t="shared" si="24"/>
        <v>6529904.3559111403</v>
      </c>
      <c r="N126" s="68">
        <f t="shared" si="15"/>
        <v>1.1385830487289621</v>
      </c>
      <c r="O126" s="357">
        <v>4400000</v>
      </c>
      <c r="P126" s="357">
        <v>3210000</v>
      </c>
      <c r="R126" s="69">
        <f t="shared" si="6"/>
        <v>34</v>
      </c>
      <c r="S126" s="353">
        <f t="shared" si="10"/>
        <v>2012</v>
      </c>
      <c r="T126" s="83">
        <f t="shared" si="7"/>
        <v>3302575.1008471898</v>
      </c>
      <c r="AG126" s="1086">
        <v>2012</v>
      </c>
      <c r="AH126" s="1087">
        <v>4428267.5450134957</v>
      </c>
      <c r="AI126" s="1087"/>
    </row>
    <row r="127" spans="1:35">
      <c r="A127" s="75">
        <v>2013</v>
      </c>
      <c r="B127" s="77" t="s">
        <v>139</v>
      </c>
      <c r="C127" s="129">
        <v>17267227</v>
      </c>
      <c r="D127" s="129">
        <v>13987</v>
      </c>
      <c r="E127" s="129">
        <v>0</v>
      </c>
      <c r="F127" s="129">
        <v>4684239</v>
      </c>
      <c r="G127" s="356">
        <f t="shared" si="25"/>
        <v>10743667.431192661</v>
      </c>
      <c r="H127" s="356">
        <f t="shared" si="26"/>
        <v>13429584.288990825</v>
      </c>
      <c r="I127" s="83"/>
      <c r="J127" s="83">
        <f>SUM(F127,E127,D127,C127)</f>
        <v>21965453</v>
      </c>
      <c r="K127" s="83">
        <f>SUM(G127,E127,D127,C127)</f>
        <v>28024881.431192659</v>
      </c>
      <c r="L127" s="83">
        <f>SUM(H127,E127,D127,C127)</f>
        <v>30710798.288990825</v>
      </c>
      <c r="N127" s="68">
        <f>L127/H125</f>
        <v>2.727472277136715</v>
      </c>
      <c r="O127" s="357">
        <v>6233715</v>
      </c>
      <c r="P127" s="357">
        <v>4751000</v>
      </c>
      <c r="R127" s="69">
        <f>RANK(L127:L128,$L$74:$L$128)</f>
        <v>1</v>
      </c>
      <c r="S127" s="353">
        <f t="shared" si="10"/>
        <v>2013</v>
      </c>
      <c r="T127" s="83">
        <f t="shared" si="7"/>
        <v>17281214</v>
      </c>
      <c r="AG127" s="1086">
        <v>2013</v>
      </c>
      <c r="AH127" s="1087"/>
      <c r="AI127" s="1087">
        <v>21965453</v>
      </c>
    </row>
    <row r="128" spans="1:35">
      <c r="A128" s="75">
        <v>2014</v>
      </c>
      <c r="B128" s="77" t="s">
        <v>86</v>
      </c>
      <c r="C128" s="129">
        <v>1884365</v>
      </c>
      <c r="D128" s="129">
        <v>5656</v>
      </c>
      <c r="E128" s="129">
        <v>0</v>
      </c>
      <c r="F128" s="129">
        <v>812376</v>
      </c>
      <c r="G128" s="83">
        <f t="shared" si="25"/>
        <v>1863247.7064220184</v>
      </c>
      <c r="H128" s="83">
        <f t="shared" si="26"/>
        <v>2329059.6330275228</v>
      </c>
      <c r="I128" s="83"/>
      <c r="J128" s="83">
        <f>SUM(F128,E128,D128,C128)</f>
        <v>2702397</v>
      </c>
      <c r="K128" s="83">
        <f>SUM(G128,E128,D128,C128)</f>
        <v>3753268.7064220184</v>
      </c>
      <c r="L128" s="83">
        <f>SUM(H128,E128,D128,C128)</f>
        <v>4219080.6330275228</v>
      </c>
      <c r="N128" s="68">
        <f>L128/H126</f>
        <v>1.3072978613531394</v>
      </c>
      <c r="O128" s="266">
        <v>4288849</v>
      </c>
      <c r="P128" s="266">
        <v>3140000</v>
      </c>
      <c r="R128" s="69">
        <f>RANK(L128,$L$74:$L$128)</f>
        <v>47</v>
      </c>
      <c r="S128" s="353">
        <f t="shared" si="10"/>
        <v>2014</v>
      </c>
      <c r="T128" s="83">
        <f t="shared" si="7"/>
        <v>1890021</v>
      </c>
      <c r="AG128" s="1086">
        <v>2014</v>
      </c>
      <c r="AH128" s="1087">
        <v>2702397</v>
      </c>
      <c r="AI128" s="1087"/>
    </row>
    <row r="129" spans="1:37">
      <c r="A129" s="75">
        <v>2015</v>
      </c>
      <c r="B129" s="77" t="s">
        <v>139</v>
      </c>
      <c r="C129" s="129">
        <v>25535255.567563154</v>
      </c>
      <c r="D129" s="129">
        <v>0</v>
      </c>
      <c r="E129" s="129">
        <v>0</v>
      </c>
      <c r="F129" s="420">
        <v>6148422.160193054</v>
      </c>
      <c r="G129" s="83">
        <f t="shared" si="25"/>
        <v>14101885.688516179</v>
      </c>
      <c r="H129" s="83">
        <f t="shared" si="26"/>
        <v>17627357.110645223</v>
      </c>
      <c r="I129" s="83"/>
      <c r="J129" s="83">
        <f>SUM(F129,E129,D129,C129)</f>
        <v>31683677.72775621</v>
      </c>
      <c r="K129" s="83">
        <f>SUM(G129,E129,D129,C129)</f>
        <v>39637141.256079331</v>
      </c>
      <c r="L129" s="83">
        <f>SUM(H129,E129,D129,C129)</f>
        <v>43162612.678208381</v>
      </c>
      <c r="N129" s="68">
        <f>L129/H127</f>
        <v>3.2139946962909201</v>
      </c>
      <c r="O129" s="266"/>
      <c r="P129" s="266"/>
      <c r="S129" s="353">
        <f t="shared" si="10"/>
        <v>2015</v>
      </c>
      <c r="T129" s="83">
        <f t="shared" si="7"/>
        <v>25535255.567563154</v>
      </c>
      <c r="AG129" s="1086">
        <v>2015</v>
      </c>
      <c r="AH129" s="1087"/>
      <c r="AI129" s="1087">
        <v>16870000</v>
      </c>
    </row>
    <row r="130" spans="1:37">
      <c r="A130" s="75">
        <v>2016</v>
      </c>
      <c r="B130" s="1085" t="s">
        <v>86</v>
      </c>
      <c r="C130" s="355">
        <v>2164930.6988393101</v>
      </c>
      <c r="D130" s="355">
        <v>17520.809999999998</v>
      </c>
      <c r="E130" s="355">
        <v>0</v>
      </c>
      <c r="F130" s="355">
        <v>1326534.9086562018</v>
      </c>
      <c r="G130" s="83">
        <f>F130/$G$5</f>
        <v>3042511.258385784</v>
      </c>
      <c r="H130" s="83">
        <f t="shared" si="26"/>
        <v>3803139.0729822298</v>
      </c>
      <c r="I130" s="83"/>
      <c r="J130" s="83">
        <f>SUM(F130,E130,D130,C130)</f>
        <v>3508986.4174955119</v>
      </c>
      <c r="K130" s="83">
        <f>SUM(G130,E130,D130,C130)</f>
        <v>5224962.7672250941</v>
      </c>
      <c r="L130" s="83">
        <f>SUM(H130,E130,D130,C130)</f>
        <v>5985590.5818215404</v>
      </c>
      <c r="N130" s="68">
        <f>L130/H128</f>
        <v>2.5699602092372906</v>
      </c>
      <c r="S130" s="353">
        <f t="shared" si="10"/>
        <v>2016</v>
      </c>
      <c r="T130" s="83">
        <f t="shared" si="7"/>
        <v>2182451.5088393101</v>
      </c>
      <c r="AG130" s="1086">
        <v>2016</v>
      </c>
      <c r="AH130" s="1087">
        <v>3508986.4174955119</v>
      </c>
      <c r="AI130" s="1087"/>
    </row>
    <row r="131" spans="1:37">
      <c r="A131" s="75">
        <v>2017</v>
      </c>
      <c r="B131" s="77" t="s">
        <v>139</v>
      </c>
      <c r="C131" s="1113">
        <v>19714358</v>
      </c>
      <c r="D131" s="129">
        <v>218966</v>
      </c>
      <c r="E131" s="129"/>
      <c r="F131" s="129">
        <v>2499126</v>
      </c>
      <c r="G131" s="83">
        <f>F131/$G$5</f>
        <v>5731940.3669724772</v>
      </c>
      <c r="H131" s="83">
        <f t="shared" si="26"/>
        <v>7164925.4587155962</v>
      </c>
      <c r="I131" s="83"/>
      <c r="J131" s="83">
        <f>SUM(F131,E131,D131,C131)</f>
        <v>22432450</v>
      </c>
      <c r="K131" s="83">
        <f>SUM(G131,E131,D131,C131)</f>
        <v>25665264.366972476</v>
      </c>
      <c r="L131" s="83">
        <f>SUM(H131,E131,D131,C131)</f>
        <v>27098249.458715595</v>
      </c>
      <c r="N131" s="68">
        <f>L131/H129</f>
        <v>1.5372837396225931</v>
      </c>
      <c r="S131" s="353">
        <f t="shared" si="10"/>
        <v>2017</v>
      </c>
      <c r="T131" s="83">
        <f t="shared" si="7"/>
        <v>19933324</v>
      </c>
      <c r="AG131" s="1086">
        <v>2017</v>
      </c>
      <c r="AH131" s="1087"/>
      <c r="AI131" s="1088">
        <v>22000000</v>
      </c>
      <c r="AJ131" s="78">
        <f>AI131-AJ140</f>
        <v>10229916.52745707</v>
      </c>
      <c r="AK131" s="78">
        <f>AK140-AI131</f>
        <v>8424736.3459612094</v>
      </c>
    </row>
    <row r="132" spans="1:37">
      <c r="A132" s="75"/>
      <c r="B132" s="77"/>
      <c r="C132" s="129"/>
      <c r="D132" s="129"/>
      <c r="E132" s="129"/>
      <c r="F132" s="129"/>
      <c r="G132" s="83"/>
      <c r="H132" s="83"/>
      <c r="I132" s="83"/>
      <c r="J132" s="83"/>
      <c r="K132" s="83"/>
      <c r="L132" s="83"/>
    </row>
    <row r="133" spans="1:37">
      <c r="A133" s="75"/>
      <c r="B133" s="77"/>
      <c r="C133" s="129"/>
      <c r="D133" s="129"/>
      <c r="E133" s="129"/>
      <c r="F133" s="129"/>
      <c r="G133" s="83"/>
      <c r="H133" s="83"/>
      <c r="I133" s="83"/>
      <c r="J133" s="83"/>
      <c r="K133" s="83"/>
      <c r="L133" s="83"/>
    </row>
    <row r="134" spans="1:37">
      <c r="A134" s="75" t="s">
        <v>382</v>
      </c>
      <c r="B134" s="77" t="s">
        <v>378</v>
      </c>
      <c r="C134" s="129">
        <f>MAX(C130,C128,C126,C124,C122,C120,C118,C116,C114,C112,C110,C108,C106,C104,C102,C100,C98,C96,C94,C92,C90,C88,C86,C84)</f>
        <v>17631675</v>
      </c>
      <c r="D134" s="129"/>
      <c r="E134" s="129"/>
      <c r="F134" s="129"/>
      <c r="G134" s="83"/>
      <c r="H134" s="83"/>
      <c r="I134" s="83"/>
      <c r="J134" s="83"/>
      <c r="K134" s="83"/>
      <c r="L134" s="83"/>
    </row>
    <row r="135" spans="1:37">
      <c r="A135" s="75" t="s">
        <v>382</v>
      </c>
      <c r="B135" s="77" t="s">
        <v>379</v>
      </c>
      <c r="C135" s="129">
        <f>MAX(C131,C129,C127,C125,C123,C121,C119,C117,C115,C113,C111,C109,C107,C105,C103,C101,C99,C97,C95,C93,C91,C89,C87,C85)</f>
        <v>25535255.567563154</v>
      </c>
      <c r="D135" s="129"/>
      <c r="E135" s="129"/>
      <c r="F135" s="129"/>
      <c r="G135" s="83"/>
      <c r="H135" s="83"/>
      <c r="I135" s="83"/>
      <c r="J135" s="83"/>
      <c r="K135" s="83"/>
      <c r="L135" s="83"/>
    </row>
    <row r="136" spans="1:37">
      <c r="A136" s="75" t="s">
        <v>380</v>
      </c>
      <c r="B136" s="77" t="s">
        <v>378</v>
      </c>
      <c r="C136" s="129">
        <f>AVERAGE(C130,C128,C126,C124,C122)</f>
        <v>2206889.0070776124</v>
      </c>
      <c r="D136" s="129"/>
      <c r="E136" s="129"/>
      <c r="F136" s="129"/>
      <c r="G136" s="83"/>
      <c r="H136" s="83"/>
      <c r="I136" s="83"/>
      <c r="J136" s="83"/>
      <c r="K136" s="83"/>
      <c r="L136" s="83"/>
    </row>
    <row r="137" spans="1:37" ht="18.75" customHeight="1">
      <c r="A137" s="75" t="s">
        <v>380</v>
      </c>
      <c r="B137" s="77" t="s">
        <v>379</v>
      </c>
      <c r="C137" s="129">
        <f>AVERAGE(C131,C129,C127,C125,C123)</f>
        <v>13798342.853428578</v>
      </c>
      <c r="D137" s="78"/>
      <c r="E137" s="78"/>
      <c r="F137" s="78"/>
      <c r="G137" s="78"/>
      <c r="H137" s="78"/>
      <c r="I137" s="78"/>
      <c r="J137" s="78"/>
      <c r="K137" s="83"/>
    </row>
    <row r="138" spans="1:37" ht="17.25" customHeight="1">
      <c r="A138" s="75" t="s">
        <v>380</v>
      </c>
      <c r="B138" s="77" t="s">
        <v>381</v>
      </c>
      <c r="C138" s="129">
        <f>AVERAGE(C131,C130,C129,C128,C127)</f>
        <v>13313227.253280494</v>
      </c>
      <c r="D138" s="78"/>
      <c r="E138" s="78"/>
      <c r="F138" s="78"/>
      <c r="G138" s="78"/>
      <c r="H138" s="78"/>
      <c r="I138" s="78"/>
      <c r="J138" s="78"/>
      <c r="K138" s="83"/>
      <c r="AJ138" s="69" t="s">
        <v>367</v>
      </c>
    </row>
    <row r="139" spans="1:37">
      <c r="A139" s="271"/>
      <c r="B139" s="272" t="s">
        <v>121</v>
      </c>
      <c r="C139" s="270">
        <f t="shared" ref="C139:H139" si="27">COUNT(C74:C137)</f>
        <v>62</v>
      </c>
      <c r="D139" s="270">
        <f t="shared" si="27"/>
        <v>41</v>
      </c>
      <c r="E139" s="270">
        <f t="shared" si="27"/>
        <v>40</v>
      </c>
      <c r="F139" s="270">
        <f t="shared" si="27"/>
        <v>58</v>
      </c>
      <c r="G139" s="270">
        <f t="shared" si="27"/>
        <v>58</v>
      </c>
      <c r="H139" s="270">
        <f t="shared" si="27"/>
        <v>58</v>
      </c>
      <c r="I139" s="273"/>
      <c r="J139" s="270">
        <f>COUNT(J74:J137)</f>
        <v>58</v>
      </c>
      <c r="K139" s="270">
        <f>COUNT(K74:K137)</f>
        <v>58</v>
      </c>
      <c r="L139" s="270">
        <f>COUNT(L74:L137)</f>
        <v>58</v>
      </c>
      <c r="M139" s="270"/>
      <c r="N139" s="270"/>
      <c r="O139" s="270">
        <f>COUNT(O74:O137)</f>
        <v>38</v>
      </c>
      <c r="P139" s="270">
        <f>COUNT(P74:P137)</f>
        <v>16</v>
      </c>
    </row>
    <row r="140" spans="1:37">
      <c r="A140" s="117"/>
      <c r="B140" s="93" t="s">
        <v>56</v>
      </c>
      <c r="C140" s="122">
        <f t="shared" ref="C140:H140" si="28">AVERAGE(C74:C137)</f>
        <v>6626524.9166759904</v>
      </c>
      <c r="D140" s="122">
        <f t="shared" si="28"/>
        <v>39544.465465035173</v>
      </c>
      <c r="E140" s="122">
        <f t="shared" si="28"/>
        <v>230.17500000000001</v>
      </c>
      <c r="F140" s="122">
        <f t="shared" si="28"/>
        <v>1711931.7630186472</v>
      </c>
      <c r="G140" s="122">
        <f t="shared" si="28"/>
        <v>3926448.9977491912</v>
      </c>
      <c r="H140" s="122">
        <f t="shared" si="28"/>
        <v>4908061.2471864903</v>
      </c>
      <c r="I140" s="72"/>
      <c r="J140" s="122">
        <f>AVERAGE(J74:J137)</f>
        <v>7803361.2887067227</v>
      </c>
      <c r="K140" s="122">
        <f>AVERAGE(K74:K137)</f>
        <v>10017878.523437265</v>
      </c>
      <c r="L140" s="122">
        <f>AVERAGE(L74:L137)</f>
        <v>10999490.772874566</v>
      </c>
      <c r="M140" s="122"/>
      <c r="N140" s="122"/>
      <c r="O140" s="122">
        <f>AVERAGE(O74:O137)</f>
        <v>7559567.4736842103</v>
      </c>
      <c r="P140" s="122">
        <f>AVERAGE(P74:P137)</f>
        <v>4245125</v>
      </c>
      <c r="AJ140" s="1087">
        <v>11770083.47254293</v>
      </c>
      <c r="AK140" s="1087">
        <v>30424736.345961209</v>
      </c>
    </row>
    <row r="141" spans="1:37">
      <c r="A141" s="72"/>
      <c r="B141" s="93" t="s">
        <v>141</v>
      </c>
      <c r="C141" s="122">
        <f t="shared" ref="C141:H141" si="29">MEDIAN(C74:C137)</f>
        <v>3949519.5</v>
      </c>
      <c r="D141" s="122">
        <f t="shared" si="29"/>
        <v>0</v>
      </c>
      <c r="E141" s="122">
        <f t="shared" si="29"/>
        <v>0</v>
      </c>
      <c r="F141" s="122">
        <f>MEDIAN(F74:F137)</f>
        <v>1390749</v>
      </c>
      <c r="G141" s="122">
        <f t="shared" si="29"/>
        <v>3189791.2844036696</v>
      </c>
      <c r="H141" s="122">
        <f t="shared" si="29"/>
        <v>3987239.1055045873</v>
      </c>
      <c r="I141" s="72"/>
      <c r="J141" s="122">
        <f>MEDIAN(J74:J137)</f>
        <v>5086290.0281737186</v>
      </c>
      <c r="K141" s="122">
        <f>MEDIAN(K74:K137)</f>
        <v>7049183.2649847651</v>
      </c>
      <c r="L141" s="122">
        <f>MEDIAN(L74:L137)</f>
        <v>8029834.9278288018</v>
      </c>
      <c r="M141" s="122"/>
      <c r="N141" s="122"/>
      <c r="O141" s="122">
        <f>MEDIAN(O74:O137)</f>
        <v>5950000</v>
      </c>
      <c r="P141" s="122">
        <f>MEDIAN(P74:P137)</f>
        <v>3205000</v>
      </c>
    </row>
    <row r="142" spans="1:37">
      <c r="A142" s="72"/>
      <c r="B142" s="93" t="s">
        <v>119</v>
      </c>
      <c r="C142" s="122">
        <f t="shared" ref="C142:H142" si="30">STDEV(C74:C137)</f>
        <v>6443239.6734613245</v>
      </c>
      <c r="D142" s="122">
        <f t="shared" si="30"/>
        <v>58706.860517840876</v>
      </c>
      <c r="E142" s="122">
        <f t="shared" si="30"/>
        <v>831.26051603141866</v>
      </c>
      <c r="F142" s="122">
        <f t="shared" si="30"/>
        <v>1085949.8276324391</v>
      </c>
      <c r="G142" s="122">
        <f t="shared" si="30"/>
        <v>2490710.6138358661</v>
      </c>
      <c r="H142" s="122">
        <f t="shared" si="30"/>
        <v>3113388.2672948339</v>
      </c>
      <c r="I142" s="72"/>
      <c r="J142" s="122">
        <f>STDEV(J74:J137)</f>
        <v>6673971.1302500609</v>
      </c>
      <c r="K142" s="122">
        <f>STDEV(K74:K137)</f>
        <v>7813487.6936061634</v>
      </c>
      <c r="L142" s="122">
        <f>STDEV(L74:L137)</f>
        <v>8344502.1663424326</v>
      </c>
      <c r="M142" s="122"/>
      <c r="N142" s="122"/>
      <c r="O142" s="122">
        <f>STDEV(O74:O137)</f>
        <v>4528422.9539862797</v>
      </c>
      <c r="P142" s="122">
        <f>STDEV(P74:P137)</f>
        <v>3108507.9137747101</v>
      </c>
    </row>
    <row r="143" spans="1:37">
      <c r="A143" s="72"/>
      <c r="B143" s="93" t="s">
        <v>142</v>
      </c>
      <c r="C143" s="122">
        <f t="shared" ref="C143:H143" si="31">MIN(C74:C137)</f>
        <v>54783</v>
      </c>
      <c r="D143" s="122">
        <f t="shared" si="31"/>
        <v>0</v>
      </c>
      <c r="E143" s="122">
        <f t="shared" si="31"/>
        <v>0</v>
      </c>
      <c r="F143" s="122">
        <f t="shared" si="31"/>
        <v>404570</v>
      </c>
      <c r="G143" s="122">
        <f t="shared" si="31"/>
        <v>927912.84403669729</v>
      </c>
      <c r="H143" s="122">
        <f t="shared" si="31"/>
        <v>1159891.0550458715</v>
      </c>
      <c r="I143" s="72"/>
      <c r="J143" s="122">
        <f>MIN(J74:J137)</f>
        <v>695963</v>
      </c>
      <c r="K143" s="122">
        <f>MIN(K74:K137)</f>
        <v>1525379.3302752294</v>
      </c>
      <c r="L143" s="122">
        <f>MIN(L74:L137)</f>
        <v>1893028.4128440367</v>
      </c>
      <c r="M143" s="122"/>
      <c r="N143" s="122"/>
      <c r="O143" s="122">
        <f>MIN(O74:O137)</f>
        <v>1970000</v>
      </c>
      <c r="P143" s="122">
        <f>MIN(P74:P137)</f>
        <v>801000</v>
      </c>
    </row>
    <row r="144" spans="1:37">
      <c r="A144" s="274"/>
      <c r="B144" s="95" t="s">
        <v>143</v>
      </c>
      <c r="C144" s="275">
        <f t="shared" ref="C144:H144" si="32">MAX(C74:C137)</f>
        <v>25535255.567563154</v>
      </c>
      <c r="D144" s="275">
        <f t="shared" si="32"/>
        <v>218966</v>
      </c>
      <c r="E144" s="275">
        <f t="shared" si="32"/>
        <v>3760</v>
      </c>
      <c r="F144" s="275">
        <f t="shared" si="32"/>
        <v>6148422.160193054</v>
      </c>
      <c r="G144" s="275">
        <f t="shared" si="32"/>
        <v>14101885.688516179</v>
      </c>
      <c r="H144" s="275">
        <f t="shared" si="32"/>
        <v>17627357.110645223</v>
      </c>
      <c r="I144" s="274"/>
      <c r="J144" s="275">
        <f>MAX(J74:J137)</f>
        <v>31683677.72775621</v>
      </c>
      <c r="K144" s="275">
        <f>MAX(K74:K137)</f>
        <v>39637141.256079331</v>
      </c>
      <c r="L144" s="275">
        <f>MAX(L74:L137)</f>
        <v>43162612.678208381</v>
      </c>
      <c r="M144" s="275"/>
      <c r="N144" s="275"/>
      <c r="O144" s="275">
        <f>MAX(O74:O137)</f>
        <v>20100000</v>
      </c>
      <c r="P144" s="275">
        <f>MAX(P74:P137)</f>
        <v>12280000</v>
      </c>
    </row>
    <row r="145" spans="3:12" ht="17" thickBot="1"/>
    <row r="146" spans="3:12">
      <c r="G146" s="126" t="s">
        <v>56</v>
      </c>
      <c r="H146" s="135"/>
      <c r="I146" s="116"/>
      <c r="J146" s="268">
        <f>AVERAGE(J123,J121)</f>
        <v>7175659.2010350907</v>
      </c>
      <c r="K146" s="127"/>
    </row>
    <row r="147" spans="3:12">
      <c r="G147" s="128" t="s">
        <v>145</v>
      </c>
      <c r="H147" s="131"/>
      <c r="I147" s="72"/>
      <c r="J147" s="122">
        <f>STDEV(J123,J121)</f>
        <v>6153707.9119318947</v>
      </c>
      <c r="K147" s="130"/>
    </row>
    <row r="148" spans="3:12">
      <c r="G148" s="118"/>
      <c r="H148" s="72"/>
      <c r="I148" s="72"/>
      <c r="J148" s="122">
        <f>1.96*J147</f>
        <v>12061267.507386513</v>
      </c>
      <c r="K148" s="130"/>
    </row>
    <row r="149" spans="3:12">
      <c r="C149" s="68"/>
      <c r="G149" s="128" t="s">
        <v>9</v>
      </c>
      <c r="H149" s="131"/>
      <c r="I149" s="72"/>
      <c r="J149" s="131" t="s">
        <v>28</v>
      </c>
      <c r="K149" s="132" t="s">
        <v>10</v>
      </c>
    </row>
    <row r="150" spans="3:12" ht="17" thickBot="1">
      <c r="G150" s="109">
        <f>J150-J148</f>
        <v>-4885608.3063514223</v>
      </c>
      <c r="H150" s="133"/>
      <c r="I150" s="120"/>
      <c r="J150" s="123">
        <f>J146</f>
        <v>7175659.2010350907</v>
      </c>
      <c r="K150" s="124">
        <f>J150+J148</f>
        <v>19236926.708421603</v>
      </c>
    </row>
    <row r="154" spans="3:12">
      <c r="L154" s="78"/>
    </row>
    <row r="155" spans="3:12">
      <c r="C155" s="362"/>
    </row>
    <row r="156" spans="3:12">
      <c r="C156" s="392"/>
    </row>
    <row r="157" spans="3:12">
      <c r="C157" s="392"/>
    </row>
    <row r="158" spans="3:12">
      <c r="C158" s="392"/>
      <c r="E158" s="69">
        <v>1960</v>
      </c>
      <c r="F158" s="426">
        <v>1350722</v>
      </c>
      <c r="G158" s="69">
        <f>RANK(F158,$F$158:$F$185)</f>
        <v>12</v>
      </c>
      <c r="J158" s="426">
        <v>3192618</v>
      </c>
    </row>
    <row r="159" spans="3:12">
      <c r="C159" s="392"/>
      <c r="E159" s="69">
        <v>1962</v>
      </c>
      <c r="F159" s="426">
        <v>2018010</v>
      </c>
      <c r="G159" s="69">
        <f t="shared" ref="G159:G185" si="33">RANK(F159,$F$158:$F$185)</f>
        <v>2</v>
      </c>
      <c r="J159" s="426">
        <v>8760326</v>
      </c>
    </row>
    <row r="160" spans="3:12">
      <c r="C160" s="392"/>
      <c r="E160" s="69">
        <v>1964</v>
      </c>
      <c r="F160" s="426">
        <v>1841680</v>
      </c>
      <c r="G160" s="69">
        <f t="shared" si="33"/>
        <v>6</v>
      </c>
      <c r="J160" s="426">
        <v>6048576</v>
      </c>
    </row>
    <row r="161" spans="3:10">
      <c r="C161" s="392"/>
      <c r="E161" s="69">
        <v>1966</v>
      </c>
      <c r="F161" s="426">
        <v>1423170</v>
      </c>
      <c r="G161" s="69">
        <f t="shared" si="33"/>
        <v>9</v>
      </c>
      <c r="J161" s="426">
        <v>4122588</v>
      </c>
    </row>
    <row r="162" spans="3:10">
      <c r="C162" s="392"/>
      <c r="E162" s="69">
        <v>1968</v>
      </c>
      <c r="F162" s="426">
        <v>1156510</v>
      </c>
      <c r="G162" s="69">
        <f t="shared" si="33"/>
        <v>15</v>
      </c>
      <c r="J162" s="426">
        <v>3608678</v>
      </c>
    </row>
    <row r="163" spans="3:10">
      <c r="C163" s="392"/>
      <c r="E163" s="69">
        <v>1970</v>
      </c>
      <c r="F163" s="426">
        <v>979220</v>
      </c>
      <c r="G163" s="69">
        <f t="shared" si="33"/>
        <v>19</v>
      </c>
      <c r="J163" s="426">
        <v>3789216</v>
      </c>
    </row>
    <row r="164" spans="3:10">
      <c r="C164" s="392"/>
      <c r="E164" s="69">
        <v>1972</v>
      </c>
      <c r="F164" s="426">
        <v>641180</v>
      </c>
      <c r="G164" s="69">
        <f t="shared" si="33"/>
        <v>27</v>
      </c>
      <c r="J164" s="426">
        <v>695963</v>
      </c>
    </row>
    <row r="165" spans="3:10">
      <c r="C165" s="392"/>
      <c r="E165" s="69">
        <v>1974</v>
      </c>
      <c r="F165" s="426">
        <v>958120</v>
      </c>
      <c r="G165" s="69">
        <f t="shared" si="33"/>
        <v>21</v>
      </c>
      <c r="J165" s="426">
        <v>1012903</v>
      </c>
    </row>
    <row r="166" spans="3:10">
      <c r="C166" s="392"/>
      <c r="E166" s="69">
        <v>1976</v>
      </c>
      <c r="F166" s="426">
        <v>712278</v>
      </c>
      <c r="G166" s="69">
        <f t="shared" si="33"/>
        <v>26</v>
      </c>
      <c r="J166" s="426">
        <v>1161051</v>
      </c>
    </row>
    <row r="167" spans="3:10">
      <c r="C167" s="392"/>
      <c r="E167" s="69">
        <v>1978</v>
      </c>
      <c r="F167" s="426">
        <v>755386</v>
      </c>
      <c r="G167" s="69">
        <f t="shared" si="33"/>
        <v>25</v>
      </c>
      <c r="J167" s="426">
        <v>3925083</v>
      </c>
    </row>
    <row r="168" spans="3:10">
      <c r="C168" s="392"/>
      <c r="E168" s="69">
        <v>1980</v>
      </c>
      <c r="F168" s="426">
        <v>1095042</v>
      </c>
      <c r="G168" s="69">
        <f t="shared" si="33"/>
        <v>17</v>
      </c>
      <c r="J168" s="426">
        <v>14013916</v>
      </c>
    </row>
    <row r="169" spans="3:10">
      <c r="C169" s="392"/>
      <c r="E169" s="69">
        <v>1982</v>
      </c>
      <c r="F169" s="426">
        <v>1849118</v>
      </c>
      <c r="G169" s="69">
        <f t="shared" si="33"/>
        <v>5</v>
      </c>
      <c r="J169" s="426">
        <v>16794317</v>
      </c>
    </row>
    <row r="170" spans="3:10">
      <c r="C170" s="392"/>
      <c r="E170" s="69">
        <v>1984</v>
      </c>
      <c r="F170" s="426">
        <v>3569838</v>
      </c>
      <c r="G170" s="69">
        <f t="shared" si="33"/>
        <v>1</v>
      </c>
      <c r="J170" s="426">
        <v>21201513</v>
      </c>
    </row>
    <row r="171" spans="3:10">
      <c r="C171" s="78"/>
      <c r="E171" s="69">
        <v>1986</v>
      </c>
      <c r="F171" s="426">
        <v>985934</v>
      </c>
      <c r="G171" s="69">
        <f t="shared" si="33"/>
        <v>18</v>
      </c>
      <c r="J171" s="426">
        <v>5563957</v>
      </c>
    </row>
    <row r="172" spans="3:10">
      <c r="E172" s="69">
        <v>1988</v>
      </c>
      <c r="F172" s="426">
        <v>971164</v>
      </c>
      <c r="G172" s="69">
        <f t="shared" si="33"/>
        <v>20</v>
      </c>
      <c r="J172" s="426">
        <v>1766936</v>
      </c>
    </row>
    <row r="173" spans="3:10">
      <c r="E173" s="69">
        <v>1990</v>
      </c>
      <c r="F173" s="426">
        <v>1235905</v>
      </c>
      <c r="G173" s="69">
        <f t="shared" si="33"/>
        <v>13</v>
      </c>
      <c r="J173" s="426">
        <v>12923662</v>
      </c>
    </row>
    <row r="174" spans="3:10">
      <c r="E174" s="69">
        <v>1992</v>
      </c>
      <c r="F174" s="426">
        <v>542537</v>
      </c>
      <c r="G174" s="69">
        <f t="shared" si="33"/>
        <v>28</v>
      </c>
      <c r="J174" s="426">
        <v>1405383</v>
      </c>
    </row>
    <row r="175" spans="3:10">
      <c r="E175" s="69">
        <v>1994</v>
      </c>
      <c r="F175" s="426">
        <v>1409281</v>
      </c>
      <c r="G175" s="69">
        <f t="shared" si="33"/>
        <v>11</v>
      </c>
      <c r="J175" s="426">
        <v>4666639</v>
      </c>
    </row>
    <row r="176" spans="3:10">
      <c r="E176" s="69">
        <v>1996</v>
      </c>
      <c r="F176" s="426">
        <v>1483336</v>
      </c>
      <c r="G176" s="69">
        <f t="shared" si="33"/>
        <v>8</v>
      </c>
      <c r="J176" s="426">
        <v>4500085</v>
      </c>
    </row>
    <row r="177" spans="5:10">
      <c r="E177" s="69">
        <v>1998</v>
      </c>
      <c r="F177" s="426">
        <v>1420105</v>
      </c>
      <c r="G177" s="69">
        <f t="shared" si="33"/>
        <v>10</v>
      </c>
      <c r="J177" s="426">
        <v>5274275.5</v>
      </c>
    </row>
    <row r="178" spans="5:10">
      <c r="E178" s="69">
        <v>2000</v>
      </c>
      <c r="F178" s="426">
        <v>1659028</v>
      </c>
      <c r="G178" s="69">
        <f t="shared" si="33"/>
        <v>7</v>
      </c>
      <c r="J178" s="426">
        <v>7389941</v>
      </c>
    </row>
    <row r="179" spans="5:10">
      <c r="E179" s="69">
        <v>2002</v>
      </c>
      <c r="F179" s="426">
        <v>943177</v>
      </c>
      <c r="G179" s="69">
        <f t="shared" si="33"/>
        <v>22</v>
      </c>
      <c r="J179" s="426">
        <v>1264645.3102025923</v>
      </c>
    </row>
    <row r="180" spans="5:10">
      <c r="E180" s="69">
        <v>2004</v>
      </c>
      <c r="F180" s="426">
        <v>2001123</v>
      </c>
      <c r="G180" s="69">
        <f t="shared" si="33"/>
        <v>3</v>
      </c>
      <c r="J180" s="426">
        <v>4939431.0563474381</v>
      </c>
    </row>
    <row r="181" spans="5:10">
      <c r="E181" s="69">
        <v>2006</v>
      </c>
      <c r="F181" s="426">
        <v>1190801.6008809961</v>
      </c>
      <c r="G181" s="69">
        <f t="shared" si="33"/>
        <v>14</v>
      </c>
      <c r="J181" s="426">
        <v>3314702.7753436686</v>
      </c>
    </row>
    <row r="182" spans="5:10">
      <c r="E182" s="69">
        <v>2008</v>
      </c>
      <c r="F182" s="426">
        <v>862418.51199612883</v>
      </c>
      <c r="G182" s="69">
        <f t="shared" si="33"/>
        <v>23</v>
      </c>
      <c r="J182" s="426">
        <v>2290691.6775990888</v>
      </c>
    </row>
    <row r="183" spans="5:10">
      <c r="E183" s="69">
        <v>2010</v>
      </c>
      <c r="F183" s="426">
        <v>2000408</v>
      </c>
      <c r="G183" s="69">
        <f t="shared" si="33"/>
        <v>4</v>
      </c>
      <c r="J183" s="426">
        <v>4399390.7272172375</v>
      </c>
    </row>
    <row r="184" spans="5:10">
      <c r="E184" s="69">
        <v>2012</v>
      </c>
      <c r="F184" s="426">
        <v>1125692.4441663059</v>
      </c>
      <c r="G184" s="69">
        <f t="shared" si="33"/>
        <v>16</v>
      </c>
      <c r="J184" s="426">
        <v>4428267.5450134957</v>
      </c>
    </row>
    <row r="185" spans="5:10">
      <c r="E185" s="69">
        <v>2014</v>
      </c>
      <c r="F185" s="426">
        <v>812376</v>
      </c>
      <c r="G185" s="69">
        <f t="shared" si="33"/>
        <v>24</v>
      </c>
      <c r="J185" s="426">
        <v>2702397</v>
      </c>
    </row>
    <row r="186" spans="5:10">
      <c r="E186" s="69">
        <v>2016</v>
      </c>
      <c r="J186" s="1114">
        <v>3508986.4174955119</v>
      </c>
    </row>
    <row r="187" spans="5:10">
      <c r="E187" s="69">
        <v>2018</v>
      </c>
      <c r="J187" s="83">
        <v>3546550.3208363359</v>
      </c>
    </row>
    <row r="189" spans="5:10">
      <c r="E189" s="427" t="s">
        <v>56</v>
      </c>
      <c r="F189" s="428">
        <f>AVERAGE(F158:F185)</f>
        <v>1321198.5913229794</v>
      </c>
      <c r="J189" s="428">
        <f>AVERAGE(J158:J185)</f>
        <v>5541326.8782758396</v>
      </c>
    </row>
    <row r="190" spans="5:10">
      <c r="E190" s="427" t="s">
        <v>141</v>
      </c>
      <c r="F190" s="428">
        <f>MEDIAN(F158:F185)</f>
        <v>1173655.8004404982</v>
      </c>
      <c r="J190" s="428">
        <f>MEDIAN(J158:J185)</f>
        <v>4260989.3636086192</v>
      </c>
    </row>
    <row r="191" spans="5:10">
      <c r="E191" s="427" t="s">
        <v>250</v>
      </c>
      <c r="F191" s="428">
        <f>MIN(F158:F185)</f>
        <v>542537</v>
      </c>
      <c r="J191" s="428">
        <f>MIN(J158:J185)</f>
        <v>695963</v>
      </c>
    </row>
    <row r="192" spans="5:10">
      <c r="E192" s="427" t="s">
        <v>251</v>
      </c>
      <c r="F192" s="428">
        <f>MAX(F158:F185)</f>
        <v>3569838</v>
      </c>
      <c r="J192" s="428">
        <f>MAX(J158:J185)</f>
        <v>21201513</v>
      </c>
    </row>
    <row r="195" spans="5:7">
      <c r="E195" s="75"/>
    </row>
    <row r="196" spans="5:7">
      <c r="E196" s="75"/>
    </row>
    <row r="197" spans="5:7">
      <c r="E197" s="427">
        <v>1977</v>
      </c>
      <c r="F197" s="69">
        <v>4298734</v>
      </c>
      <c r="G197" s="69">
        <f>RANK(F197,F197:F216)</f>
        <v>15</v>
      </c>
    </row>
    <row r="198" spans="5:7">
      <c r="E198" s="427">
        <v>1979</v>
      </c>
      <c r="F198" s="69">
        <v>14433526</v>
      </c>
      <c r="G198" s="69">
        <f>RANK(F198,F197:F216)</f>
        <v>5</v>
      </c>
    </row>
    <row r="199" spans="5:7">
      <c r="E199" s="427">
        <v>1981</v>
      </c>
      <c r="F199" s="69">
        <v>17402547</v>
      </c>
      <c r="G199" s="69">
        <f>RANK(F199,F197:F216)</f>
        <v>3</v>
      </c>
    </row>
    <row r="200" spans="5:7">
      <c r="E200" s="427">
        <v>1983</v>
      </c>
      <c r="F200" s="69">
        <v>9564242</v>
      </c>
      <c r="G200" s="69">
        <f>RANK(F200,F197:F216)</f>
        <v>9</v>
      </c>
    </row>
    <row r="201" spans="5:7">
      <c r="E201" s="427">
        <v>1985</v>
      </c>
      <c r="F201" s="69">
        <v>17590108</v>
      </c>
      <c r="G201" s="69">
        <f>RANK(F201,F197:F216)</f>
        <v>2</v>
      </c>
    </row>
    <row r="202" spans="5:7">
      <c r="E202" s="427">
        <v>1987</v>
      </c>
      <c r="F202" s="69">
        <v>11694727</v>
      </c>
      <c r="G202" s="69">
        <f>RANK(F202,F197:F216)</f>
        <v>7</v>
      </c>
    </row>
    <row r="203" spans="5:7">
      <c r="E203" s="427">
        <v>1989</v>
      </c>
      <c r="F203" s="69">
        <v>3510074</v>
      </c>
      <c r="G203" s="69">
        <f>RANK(F203,F197:F216)</f>
        <v>16</v>
      </c>
    </row>
    <row r="204" spans="5:7">
      <c r="E204" s="427">
        <v>1991</v>
      </c>
      <c r="F204" s="69">
        <v>5818984</v>
      </c>
      <c r="G204" s="69">
        <f>RANK(F204,F197:F216)</f>
        <v>12</v>
      </c>
    </row>
    <row r="205" spans="5:7">
      <c r="E205" s="427">
        <v>1993</v>
      </c>
      <c r="F205" s="69">
        <v>477302</v>
      </c>
      <c r="G205" s="69">
        <f>RANK(F205,F197:F216)</f>
        <v>20</v>
      </c>
    </row>
    <row r="206" spans="5:7">
      <c r="E206" s="427">
        <v>1995</v>
      </c>
      <c r="F206" s="69">
        <v>2744024</v>
      </c>
      <c r="G206" s="69">
        <f>RANK(F206,F197:F216)</f>
        <v>17</v>
      </c>
    </row>
    <row r="207" spans="5:7">
      <c r="E207" s="427">
        <v>1997</v>
      </c>
      <c r="F207" s="69">
        <v>1088828</v>
      </c>
      <c r="G207" s="69">
        <f>RANK(F207,F197:F216)</f>
        <v>18</v>
      </c>
    </row>
    <row r="208" spans="5:7">
      <c r="E208" s="427">
        <v>1999</v>
      </c>
      <c r="F208" s="69">
        <v>6793207</v>
      </c>
      <c r="G208" s="69">
        <f>RANK(F208,F197:F216)</f>
        <v>10</v>
      </c>
    </row>
    <row r="209" spans="5:7">
      <c r="E209" s="427">
        <v>2001</v>
      </c>
      <c r="F209" s="69">
        <v>6705936.700407384</v>
      </c>
      <c r="G209" s="69">
        <f>RANK(F209,F197:F216)</f>
        <v>11</v>
      </c>
    </row>
    <row r="210" spans="5:7">
      <c r="E210" s="427">
        <v>2003</v>
      </c>
      <c r="F210" s="69">
        <v>4493948.7314859722</v>
      </c>
      <c r="G210" s="69">
        <f>RANK(F210,F197:F216)</f>
        <v>14</v>
      </c>
    </row>
    <row r="211" spans="5:7">
      <c r="E211" s="427">
        <v>2005</v>
      </c>
      <c r="F211" s="69">
        <v>12256106.828178193</v>
      </c>
      <c r="G211" s="69">
        <f>RANK(F211,F197:F216)</f>
        <v>6</v>
      </c>
    </row>
    <row r="212" spans="5:7">
      <c r="E212" s="427">
        <v>2007</v>
      </c>
      <c r="F212" s="69">
        <v>9967663.2895603608</v>
      </c>
      <c r="G212" s="69">
        <f>RANK(F212,F197:F216)</f>
        <v>8</v>
      </c>
    </row>
    <row r="213" spans="5:7">
      <c r="E213" s="427">
        <v>2009</v>
      </c>
      <c r="F213" s="69">
        <v>910000.69957974285</v>
      </c>
      <c r="G213" s="69">
        <f>RANK(F213,F197:F216)</f>
        <v>19</v>
      </c>
    </row>
    <row r="214" spans="5:7">
      <c r="E214" s="427">
        <v>2011</v>
      </c>
      <c r="F214" s="69">
        <v>5564873</v>
      </c>
      <c r="G214" s="69">
        <f>RANK(F214,F197:F216)</f>
        <v>13</v>
      </c>
    </row>
    <row r="215" spans="5:7">
      <c r="E215" s="427">
        <v>2013</v>
      </c>
      <c r="F215" s="69">
        <v>17267227</v>
      </c>
      <c r="G215" s="69">
        <f>RANK(F215,F197:F216)</f>
        <v>4</v>
      </c>
    </row>
    <row r="216" spans="5:7">
      <c r="E216" s="427">
        <v>2015</v>
      </c>
      <c r="F216" s="69">
        <v>25535255.567563154</v>
      </c>
      <c r="G216" s="69">
        <f>RANK(F216,F197:F216)</f>
        <v>1</v>
      </c>
    </row>
    <row r="218" spans="5:7">
      <c r="E218" s="427" t="s">
        <v>56</v>
      </c>
      <c r="F218" s="428">
        <f>AVERAGE(F189:F216)</f>
        <v>7696856.0086890953</v>
      </c>
    </row>
    <row r="219" spans="5:7">
      <c r="E219" s="427" t="s">
        <v>141</v>
      </c>
      <c r="F219" s="428">
        <f>MEDIAN(F189:F216)</f>
        <v>5691928.5</v>
      </c>
    </row>
    <row r="220" spans="5:7">
      <c r="E220" s="427" t="s">
        <v>250</v>
      </c>
      <c r="F220" s="428">
        <f>MIN(F189:F216)</f>
        <v>477302</v>
      </c>
    </row>
    <row r="221" spans="5:7">
      <c r="E221" s="427" t="s">
        <v>251</v>
      </c>
      <c r="F221" s="428">
        <f>MAX(F189:F216)</f>
        <v>25535255.567563154</v>
      </c>
    </row>
  </sheetData>
  <mergeCells count="2">
    <mergeCell ref="U71:X71"/>
    <mergeCell ref="Z71:AC71"/>
  </mergeCells>
  <phoneticPr fontId="37" type="noConversion"/>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CC3300"/>
  </sheetPr>
  <dimension ref="A1:AA53"/>
  <sheetViews>
    <sheetView topLeftCell="A4" zoomScale="85" zoomScaleNormal="85" zoomScaleSheetLayoutView="100" workbookViewId="0">
      <selection activeCell="Y39" sqref="Y39"/>
    </sheetView>
  </sheetViews>
  <sheetFormatPr baseColWidth="10" defaultColWidth="8.7109375" defaultRowHeight="16"/>
  <cols>
    <col min="1" max="1" width="25.140625" customWidth="1"/>
    <col min="2" max="2" width="10.7109375" customWidth="1"/>
    <col min="3" max="3" width="9.7109375" customWidth="1"/>
    <col min="4" max="4" width="10.7109375" customWidth="1"/>
    <col min="5" max="5" width="8.42578125" customWidth="1"/>
    <col min="6" max="6" width="8.28515625" customWidth="1"/>
    <col min="7" max="7" width="10.7109375" customWidth="1"/>
    <col min="8" max="8" width="4.140625" customWidth="1"/>
    <col min="9" max="9" width="25.7109375" customWidth="1"/>
    <col min="10" max="12" width="10.7109375" customWidth="1"/>
    <col min="13" max="13" width="5.7109375" customWidth="1"/>
    <col min="14" max="14" width="7.7109375" customWidth="1"/>
    <col min="15" max="15" width="10.7109375" customWidth="1"/>
    <col min="22" max="22" width="5.7109375" customWidth="1"/>
    <col min="23" max="23" width="37.42578125" customWidth="1"/>
    <col min="24" max="24" width="14.42578125" customWidth="1"/>
    <col min="25" max="25" width="16" customWidth="1"/>
    <col min="26" max="26" width="16.28515625" customWidth="1"/>
    <col min="27" max="27" width="19.28515625" customWidth="1"/>
  </cols>
  <sheetData>
    <row r="1" spans="1:15">
      <c r="A1" s="240" t="str">
        <f ca="1">CELL("filename",A1)</f>
        <v>/Users/janohlberger/Work/UW/Thresholds/Data/Rich/[2018_PWS_Wild_Pink_forecast_DRAFT.xlsm]Forecasts_Sum_2018</v>
      </c>
      <c r="B1" s="12"/>
      <c r="C1" s="12"/>
      <c r="D1" s="12"/>
      <c r="E1" s="12"/>
      <c r="F1" s="12"/>
      <c r="G1" s="12"/>
      <c r="H1" s="12"/>
      <c r="I1" s="240" t="str">
        <f ca="1">CELL("filename",I1)</f>
        <v>/Users/janohlberger/Work/UW/Thresholds/Data/Rich/[2018_PWS_Wild_Pink_forecast_DRAFT.xlsm]Forecasts_Sum_2018</v>
      </c>
      <c r="J1" s="12"/>
      <c r="K1" s="12"/>
      <c r="L1" s="12"/>
      <c r="M1" s="12"/>
      <c r="N1" s="12"/>
      <c r="O1" s="12"/>
    </row>
    <row r="2" spans="1:15" ht="8.25" customHeight="1">
      <c r="A2" s="23"/>
      <c r="B2" s="12"/>
      <c r="C2" s="12"/>
      <c r="D2" s="12"/>
      <c r="E2" s="12"/>
      <c r="F2" s="12"/>
      <c r="G2" s="12"/>
      <c r="H2" s="12"/>
      <c r="I2" s="23"/>
      <c r="J2" s="12"/>
      <c r="K2" s="12"/>
      <c r="L2" s="12"/>
      <c r="M2" s="12"/>
      <c r="N2" s="12"/>
      <c r="O2" s="12"/>
    </row>
    <row r="3" spans="1:15" ht="18">
      <c r="A3" s="239" t="s">
        <v>221</v>
      </c>
      <c r="B3" s="12"/>
      <c r="C3" s="12"/>
      <c r="D3" s="12"/>
      <c r="E3" s="12"/>
      <c r="G3" s="12"/>
      <c r="H3" s="12"/>
      <c r="I3" s="239" t="s">
        <v>221</v>
      </c>
      <c r="J3" s="12"/>
      <c r="K3" s="12"/>
      <c r="L3" s="12"/>
      <c r="M3" s="12"/>
      <c r="N3" s="12"/>
      <c r="O3" s="12"/>
    </row>
    <row r="4" spans="1:15">
      <c r="A4" s="12" t="s">
        <v>377</v>
      </c>
      <c r="B4" s="12"/>
      <c r="C4" s="12"/>
      <c r="D4" s="12"/>
      <c r="E4" s="12"/>
      <c r="F4" s="12"/>
      <c r="G4" s="12"/>
      <c r="H4" s="12"/>
      <c r="I4" s="12" t="s">
        <v>377</v>
      </c>
      <c r="J4" s="12"/>
      <c r="K4" s="12"/>
      <c r="L4" s="12"/>
      <c r="M4" s="12"/>
      <c r="N4" s="12"/>
      <c r="O4" s="12"/>
    </row>
    <row r="5" spans="1:15" ht="15" customHeight="1">
      <c r="A5" s="22" t="s">
        <v>190</v>
      </c>
      <c r="B5" s="284">
        <f>Forecast_Year</f>
        <v>2018</v>
      </c>
      <c r="C5" s="12"/>
      <c r="D5" s="12"/>
      <c r="E5" s="12"/>
      <c r="F5" s="12"/>
      <c r="G5" s="12"/>
      <c r="H5" s="12"/>
      <c r="I5" s="22" t="s">
        <v>190</v>
      </c>
      <c r="J5" s="221">
        <f>Forecast_Year</f>
        <v>2018</v>
      </c>
      <c r="K5" s="12"/>
      <c r="L5" s="12"/>
      <c r="M5" s="12"/>
      <c r="N5" s="12"/>
      <c r="O5" s="12"/>
    </row>
    <row r="6" spans="1:15" ht="16.5" customHeight="1">
      <c r="A6" s="22"/>
      <c r="B6" s="31"/>
      <c r="C6" s="12"/>
      <c r="D6" s="12"/>
      <c r="E6" s="12"/>
      <c r="F6" s="12"/>
      <c r="G6" s="12"/>
      <c r="H6" s="12"/>
      <c r="I6" s="22"/>
      <c r="J6" s="31"/>
      <c r="K6" s="12"/>
      <c r="L6" s="12"/>
      <c r="M6" s="12"/>
      <c r="N6" s="12"/>
      <c r="O6" s="12"/>
    </row>
    <row r="7" spans="1:15">
      <c r="A7" s="226"/>
      <c r="B7" s="1116" t="s">
        <v>135</v>
      </c>
      <c r="C7" s="1116"/>
      <c r="D7" s="1116"/>
      <c r="E7" s="226"/>
      <c r="F7" s="226"/>
      <c r="G7" s="226"/>
      <c r="H7" s="12"/>
      <c r="I7" s="226"/>
      <c r="J7" s="1116" t="s">
        <v>135</v>
      </c>
      <c r="K7" s="1116"/>
      <c r="L7" s="1116"/>
      <c r="M7" s="226"/>
      <c r="N7" s="226"/>
      <c r="O7" s="226"/>
    </row>
    <row r="8" spans="1:15">
      <c r="A8" s="227" t="s">
        <v>188</v>
      </c>
      <c r="B8" s="227" t="s">
        <v>189</v>
      </c>
      <c r="C8" s="249" t="s">
        <v>191</v>
      </c>
      <c r="D8" s="249" t="s">
        <v>192</v>
      </c>
      <c r="E8" s="227" t="s">
        <v>118</v>
      </c>
      <c r="F8" s="227" t="s">
        <v>193</v>
      </c>
      <c r="G8" s="227" t="s">
        <v>194</v>
      </c>
      <c r="I8" s="227" t="s">
        <v>188</v>
      </c>
      <c r="J8" s="227" t="s">
        <v>189</v>
      </c>
      <c r="K8" s="249" t="s">
        <v>191</v>
      </c>
      <c r="L8" s="249" t="s">
        <v>192</v>
      </c>
      <c r="M8" s="227" t="s">
        <v>118</v>
      </c>
      <c r="N8" s="227" t="s">
        <v>193</v>
      </c>
      <c r="O8" s="227" t="s">
        <v>194</v>
      </c>
    </row>
    <row r="9" spans="1:15">
      <c r="A9" s="229" t="s">
        <v>204</v>
      </c>
      <c r="B9" s="280"/>
      <c r="C9" s="22"/>
      <c r="D9" s="22"/>
      <c r="E9" s="22"/>
      <c r="F9" s="22"/>
      <c r="G9" s="22"/>
      <c r="I9" s="229" t="s">
        <v>204</v>
      </c>
      <c r="J9" s="22"/>
      <c r="K9" s="22"/>
      <c r="L9" s="22"/>
      <c r="M9" s="22"/>
      <c r="N9" s="22"/>
      <c r="O9" s="22"/>
    </row>
    <row r="10" spans="1:15" ht="15" customHeight="1">
      <c r="A10" s="219" t="s">
        <v>108</v>
      </c>
      <c r="B10" s="281">
        <f>MeanRuns_EvenOrOdd!J57</f>
        <v>3508986.4174955119</v>
      </c>
      <c r="C10" s="281">
        <f>MeanRuns_EvenOrOdd!K57</f>
        <v>0</v>
      </c>
      <c r="D10" s="281">
        <f>MeanRuns_EvenOrOdd!L57</f>
        <v>7084346.4679803513</v>
      </c>
      <c r="E10" s="281">
        <f>MeanRuns_EvenOrOdd!M57</f>
        <v>10</v>
      </c>
      <c r="F10" s="255">
        <f>MeanRuns_EvenOrOdd!N57</f>
        <v>0.83120694077617208</v>
      </c>
      <c r="G10" s="255">
        <f>MeanRuns_EvenOrOdd!O57</f>
        <v>1.4274264852276013</v>
      </c>
      <c r="H10" s="12"/>
      <c r="I10" s="219" t="s">
        <v>108</v>
      </c>
      <c r="J10" s="372">
        <f>MROUND(B10,10000)</f>
        <v>3510000</v>
      </c>
      <c r="K10" s="372">
        <f t="shared" ref="J10:L15" si="0">MROUND(C10,10000)</f>
        <v>0</v>
      </c>
      <c r="L10" s="372">
        <f t="shared" si="0"/>
        <v>7080000</v>
      </c>
      <c r="M10" s="372">
        <f>E10</f>
        <v>10</v>
      </c>
      <c r="N10" s="373">
        <f>F10</f>
        <v>0.83120694077617208</v>
      </c>
      <c r="O10" s="373">
        <f>G10</f>
        <v>1.4274264852276013</v>
      </c>
    </row>
    <row r="11" spans="1:15" ht="15" customHeight="1">
      <c r="A11" s="219" t="s">
        <v>109</v>
      </c>
      <c r="B11" s="281">
        <f>MeanRuns_EvenOrOdd!J58</f>
        <v>3105691.7087477557</v>
      </c>
      <c r="C11" s="281">
        <f>MeanRuns_EvenOrOdd!K58</f>
        <v>194492.83546541631</v>
      </c>
      <c r="D11" s="281">
        <f>MeanRuns_EvenOrOdd!L58</f>
        <v>6016890.5820300952</v>
      </c>
      <c r="E11" s="281">
        <f>MeanRuns_EvenOrOdd!M58</f>
        <v>10</v>
      </c>
      <c r="F11" s="255">
        <f>MeanRuns_EvenOrOdd!N58</f>
        <v>0.67233569820496808</v>
      </c>
      <c r="G11" s="255">
        <f>MeanRuns_EvenOrOdd!O58</f>
        <v>1.1982753360194875</v>
      </c>
      <c r="H11" s="12"/>
      <c r="I11" s="219" t="s">
        <v>109</v>
      </c>
      <c r="J11" s="372">
        <f t="shared" si="0"/>
        <v>3110000</v>
      </c>
      <c r="K11" s="372">
        <f t="shared" si="0"/>
        <v>190000</v>
      </c>
      <c r="L11" s="372">
        <f t="shared" si="0"/>
        <v>6020000</v>
      </c>
      <c r="M11" s="372">
        <f t="shared" ref="M11:O21" si="1">E11</f>
        <v>10</v>
      </c>
      <c r="N11" s="373">
        <f t="shared" si="1"/>
        <v>0.67233569820496808</v>
      </c>
      <c r="O11" s="373">
        <f t="shared" si="1"/>
        <v>1.1982753360194875</v>
      </c>
    </row>
    <row r="12" spans="1:15" ht="15" customHeight="1">
      <c r="A12" s="983" t="s">
        <v>110</v>
      </c>
      <c r="B12" s="984">
        <f>MeanRuns_EvenOrOdd!J59</f>
        <v>3546550.3208363359</v>
      </c>
      <c r="C12" s="984">
        <f>MeanRuns_EvenOrOdd!K59</f>
        <v>1530849.235942268</v>
      </c>
      <c r="D12" s="984">
        <f>MeanRuns_EvenOrOdd!L59</f>
        <v>5562251.405730404</v>
      </c>
      <c r="E12" s="984">
        <f>MeanRuns_EvenOrOdd!M59</f>
        <v>10</v>
      </c>
      <c r="F12" s="985">
        <f>MeanRuns_EvenOrOdd!N59</f>
        <v>0.44485906411346193</v>
      </c>
      <c r="G12" s="985">
        <f>MeanRuns_EvenOrOdd!O59</f>
        <v>0.77733817753548418</v>
      </c>
      <c r="H12" s="12"/>
      <c r="I12" s="983" t="s">
        <v>110</v>
      </c>
      <c r="J12" s="391">
        <f t="shared" si="0"/>
        <v>3550000</v>
      </c>
      <c r="K12" s="391">
        <f t="shared" si="0"/>
        <v>1530000</v>
      </c>
      <c r="L12" s="391">
        <f t="shared" si="0"/>
        <v>5560000</v>
      </c>
      <c r="M12" s="391">
        <f t="shared" si="1"/>
        <v>10</v>
      </c>
      <c r="N12" s="390">
        <f t="shared" si="1"/>
        <v>0.44485906411346193</v>
      </c>
      <c r="O12" s="390">
        <f t="shared" si="1"/>
        <v>0.77733817753548418</v>
      </c>
    </row>
    <row r="13" spans="1:15" ht="15" customHeight="1">
      <c r="A13" s="219" t="s">
        <v>111</v>
      </c>
      <c r="B13" s="281">
        <f>MeanRuns_EvenOrOdd!J60</f>
        <v>3759760.4224315612</v>
      </c>
      <c r="C13" s="281">
        <f>MeanRuns_EvenOrOdd!K60</f>
        <v>1036207.567785922</v>
      </c>
      <c r="D13" s="281">
        <f>MeanRuns_EvenOrOdd!L60</f>
        <v>6483313.2770771999</v>
      </c>
      <c r="E13" s="281">
        <f>MeanRuns_EvenOrOdd!M60</f>
        <v>10</v>
      </c>
      <c r="F13" s="255">
        <f>MeanRuns_EvenOrOdd!N60</f>
        <v>0.60647161053053356</v>
      </c>
      <c r="G13" s="255">
        <f>MeanRuns_EvenOrOdd!O60</f>
        <v>0.98244773400533225</v>
      </c>
      <c r="H13" s="12"/>
      <c r="I13" s="219" t="s">
        <v>111</v>
      </c>
      <c r="J13" s="372">
        <f t="shared" si="0"/>
        <v>3760000</v>
      </c>
      <c r="K13" s="372">
        <f t="shared" si="0"/>
        <v>1040000</v>
      </c>
      <c r="L13" s="372">
        <f t="shared" si="0"/>
        <v>6480000</v>
      </c>
      <c r="M13" s="372">
        <f t="shared" si="1"/>
        <v>10</v>
      </c>
      <c r="N13" s="373">
        <f t="shared" si="1"/>
        <v>0.60647161053053356</v>
      </c>
      <c r="O13" s="373">
        <f t="shared" si="1"/>
        <v>0.98244773400533225</v>
      </c>
    </row>
    <row r="14" spans="1:15" ht="15" customHeight="1">
      <c r="A14" s="219" t="s">
        <v>112</v>
      </c>
      <c r="B14" s="281">
        <f>MeanRuns_EvenOrOdd!J61</f>
        <v>3465946.6734650666</v>
      </c>
      <c r="C14" s="281">
        <f>MeanRuns_EvenOrOdd!K61</f>
        <v>1322140.6558296657</v>
      </c>
      <c r="D14" s="281">
        <f>MeanRuns_EvenOrOdd!L61</f>
        <v>5609752.691100467</v>
      </c>
      <c r="E14" s="281">
        <f>MeanRuns_EvenOrOdd!M61</f>
        <v>10</v>
      </c>
      <c r="F14" s="255">
        <f>MeanRuns_EvenOrOdd!N61</f>
        <v>0.52019774472510993</v>
      </c>
      <c r="G14" s="255">
        <f>MeanRuns_EvenOrOdd!O61</f>
        <v>0.80453896506511091</v>
      </c>
      <c r="H14" s="12"/>
      <c r="I14" s="219" t="s">
        <v>112</v>
      </c>
      <c r="J14" s="372">
        <f t="shared" si="0"/>
        <v>3470000</v>
      </c>
      <c r="K14" s="372">
        <f t="shared" si="0"/>
        <v>1320000</v>
      </c>
      <c r="L14" s="372">
        <f t="shared" si="0"/>
        <v>5610000</v>
      </c>
      <c r="M14" s="372">
        <f t="shared" si="1"/>
        <v>10</v>
      </c>
      <c r="N14" s="373">
        <f t="shared" si="1"/>
        <v>0.52019774472510993</v>
      </c>
      <c r="O14" s="373">
        <f t="shared" si="1"/>
        <v>0.80453896506511091</v>
      </c>
    </row>
    <row r="15" spans="1:15" ht="15" customHeight="1">
      <c r="A15" s="219" t="s">
        <v>120</v>
      </c>
      <c r="B15" s="281">
        <f>MeanRuns_EvenOrOdd!J62</f>
        <v>3951272.9009219026</v>
      </c>
      <c r="C15" s="281">
        <f>MeanRuns_EvenOrOdd!K62</f>
        <v>0</v>
      </c>
      <c r="D15" s="281">
        <f>MeanRuns_EvenOrOdd!L62</f>
        <v>8075086.0040081535</v>
      </c>
      <c r="E15" s="281">
        <f>MeanRuns_EvenOrOdd!M62</f>
        <v>10</v>
      </c>
      <c r="F15" s="255">
        <f>MeanRuns_EvenOrOdd!N62</f>
        <v>0.91119183905122925</v>
      </c>
      <c r="G15" s="255">
        <f>MeanRuns_EvenOrOdd!O62</f>
        <v>1.6214226694821698</v>
      </c>
      <c r="H15" s="12"/>
      <c r="I15" s="219" t="s">
        <v>120</v>
      </c>
      <c r="J15" s="372">
        <f t="shared" si="0"/>
        <v>3950000</v>
      </c>
      <c r="K15" s="372">
        <f t="shared" si="0"/>
        <v>0</v>
      </c>
      <c r="L15" s="372">
        <f t="shared" si="0"/>
        <v>8080000</v>
      </c>
      <c r="M15" s="372">
        <f t="shared" si="1"/>
        <v>10</v>
      </c>
      <c r="N15" s="373">
        <f t="shared" si="1"/>
        <v>0.91119183905122925</v>
      </c>
      <c r="O15" s="373">
        <f t="shared" si="1"/>
        <v>1.6214226694821698</v>
      </c>
    </row>
    <row r="16" spans="1:15" ht="9" customHeight="1">
      <c r="A16" s="12"/>
      <c r="B16" s="12"/>
      <c r="C16" s="26"/>
      <c r="D16" s="12"/>
      <c r="E16" s="12"/>
      <c r="F16" s="12"/>
      <c r="G16" s="258"/>
      <c r="H16" s="12"/>
      <c r="I16" s="12"/>
      <c r="J16" s="376"/>
      <c r="K16" s="372"/>
      <c r="L16" s="376"/>
      <c r="M16" s="372"/>
      <c r="N16" s="373"/>
      <c r="O16" s="373"/>
    </row>
    <row r="17" spans="1:15">
      <c r="A17" s="228" t="s">
        <v>195</v>
      </c>
      <c r="B17" s="12"/>
      <c r="C17" s="26"/>
      <c r="D17" s="12"/>
      <c r="E17" s="12"/>
      <c r="F17" s="12"/>
      <c r="G17" s="258"/>
      <c r="H17" s="12"/>
      <c r="I17" s="228" t="s">
        <v>195</v>
      </c>
      <c r="J17" s="376"/>
      <c r="K17" s="372"/>
      <c r="L17" s="376"/>
      <c r="M17" s="372"/>
      <c r="N17" s="373"/>
      <c r="O17" s="373"/>
    </row>
    <row r="18" spans="1:15">
      <c r="A18" s="12" t="s">
        <v>196</v>
      </c>
      <c r="B18" s="254">
        <f>'Exp_smoothing_w_damping_Total R'!C70</f>
        <v>8399050.0346322432</v>
      </c>
      <c r="C18" s="995" t="e">
        <f>IF($B18-(#REF!*Forecasts_Sum_2018!$B18)&lt;0,0,$B18-(#REF!*Forecasts_Sum_2018!$B18))</f>
        <v>#REF!</v>
      </c>
      <c r="D18" s="995" t="e">
        <f>$B18+(#REF!*Forecasts_Sum_2018!$B18)</f>
        <v>#REF!</v>
      </c>
      <c r="E18" s="995">
        <f>'Exp_smoothing_w_damping_Total R'!G69</f>
        <v>52</v>
      </c>
      <c r="F18" s="996">
        <f>'Exp_smoothing_w_damping_Total R'!G72</f>
        <v>1.1469751983981153</v>
      </c>
      <c r="G18" s="997">
        <f>'Exp_smoothing_w_damping_Total R'!G76</f>
        <v>1.7015308742180115</v>
      </c>
      <c r="H18" s="12"/>
      <c r="I18" s="12" t="s">
        <v>196</v>
      </c>
      <c r="J18" s="995">
        <f t="shared" ref="J18:L21" si="2">MROUND(B18,10000)</f>
        <v>8400000</v>
      </c>
      <c r="K18" s="995" t="e">
        <f t="shared" si="2"/>
        <v>#REF!</v>
      </c>
      <c r="L18" s="995" t="e">
        <f t="shared" si="2"/>
        <v>#REF!</v>
      </c>
      <c r="M18" s="995">
        <f t="shared" si="1"/>
        <v>52</v>
      </c>
      <c r="N18" s="996">
        <f t="shared" si="1"/>
        <v>1.1469751983981153</v>
      </c>
      <c r="O18" s="996">
        <f t="shared" si="1"/>
        <v>1.7015308742180115</v>
      </c>
    </row>
    <row r="19" spans="1:15">
      <c r="A19" s="12" t="s">
        <v>226</v>
      </c>
      <c r="B19" s="254">
        <f>'Exp_smoothing damp_Tot_even'!C43</f>
        <v>4385798.0914238207</v>
      </c>
      <c r="C19" s="995" t="e">
        <f>IF($B19-(#REF!*Forecasts_Sum_2018!$B19)&lt;0,0,$B19-(#REF!*Forecasts_Sum_2018!$B19))</f>
        <v>#REF!</v>
      </c>
      <c r="D19" s="995" t="e">
        <f>$B19+(#REF!*Forecasts_Sum_2018!$B19)</f>
        <v>#REF!</v>
      </c>
      <c r="E19" s="254">
        <f>'Exp_smoothing damp_Tot_even'!G42</f>
        <v>22</v>
      </c>
      <c r="F19" s="260">
        <f>'Exp_smoothing damp_Tot_even'!G45</f>
        <v>1.2772932939525947</v>
      </c>
      <c r="G19" s="260">
        <f>'Exp_smoothing damp_Tot_even'!G49</f>
        <v>1.9258995677841422</v>
      </c>
      <c r="H19" s="12"/>
      <c r="I19" s="12" t="s">
        <v>197</v>
      </c>
      <c r="J19" s="995">
        <f t="shared" si="2"/>
        <v>4390000</v>
      </c>
      <c r="K19" s="995" t="e">
        <f t="shared" si="2"/>
        <v>#REF!</v>
      </c>
      <c r="L19" s="995" t="e">
        <f t="shared" si="2"/>
        <v>#REF!</v>
      </c>
      <c r="M19" s="995">
        <f t="shared" si="1"/>
        <v>22</v>
      </c>
      <c r="N19" s="996">
        <f t="shared" si="1"/>
        <v>1.2772932939525947</v>
      </c>
      <c r="O19" s="996">
        <f t="shared" si="1"/>
        <v>1.9258995677841422</v>
      </c>
    </row>
    <row r="20" spans="1:15">
      <c r="A20" s="12" t="s">
        <v>209</v>
      </c>
      <c r="B20" s="995">
        <f>'Lag1_Exp_smoothing_Total Run'!C67</f>
        <v>0</v>
      </c>
      <c r="C20" s="995" t="e">
        <f>IF($B20-(#REF!*Forecasts_Sum_2018!$B20)&lt;0,0,$B20-(#REF!*Forecasts_Sum_2018!$B20))</f>
        <v>#REF!</v>
      </c>
      <c r="D20" s="995" t="e">
        <f>$B20+(#REF!*Forecasts_Sum_2018!$B20)</f>
        <v>#REF!</v>
      </c>
      <c r="E20" s="995">
        <f>'Lag1_Exp_smoothing_Total Run'!G66</f>
        <v>51</v>
      </c>
      <c r="F20" s="996">
        <f>'Lag1_Exp_smoothing_Total Run'!$G69</f>
        <v>1.1814329911551615</v>
      </c>
      <c r="G20" s="997">
        <f>'Lag1_Exp_smoothing_Total Run'!G73</f>
        <v>1.8019926392450698</v>
      </c>
      <c r="H20" s="12"/>
      <c r="I20" s="12" t="s">
        <v>209</v>
      </c>
      <c r="J20" s="995">
        <f t="shared" si="2"/>
        <v>0</v>
      </c>
      <c r="K20" s="995" t="e">
        <f t="shared" si="2"/>
        <v>#REF!</v>
      </c>
      <c r="L20" s="995" t="e">
        <f t="shared" si="2"/>
        <v>#REF!</v>
      </c>
      <c r="M20" s="995">
        <f t="shared" si="1"/>
        <v>51</v>
      </c>
      <c r="N20" s="996">
        <f t="shared" si="1"/>
        <v>1.1814329911551615</v>
      </c>
      <c r="O20" s="996">
        <f t="shared" si="1"/>
        <v>1.8019926392450698</v>
      </c>
    </row>
    <row r="21" spans="1:15">
      <c r="A21" s="374" t="s">
        <v>227</v>
      </c>
      <c r="B21" s="995">
        <f>'Lag1_Exp_smooth_Total Run Even'!C41</f>
        <v>3137196.7467880594</v>
      </c>
      <c r="C21" s="995">
        <f>B21-'Performance Lag1_Even'!F48</f>
        <v>1323186.5040645928</v>
      </c>
      <c r="D21" s="995">
        <f>B21+'Performance Lag1_Even'!F48</f>
        <v>4951206.9895115262</v>
      </c>
      <c r="E21" s="995">
        <f>'Lag1_Exp_smooth_Total Run Even'!I40</f>
        <v>26</v>
      </c>
      <c r="F21" s="997">
        <f>'Lag1_Exp_smooth_Total Run Even'!I43</f>
        <v>1.1380569114556678</v>
      </c>
      <c r="G21" s="997">
        <f>'Lag1_Exp_smooth_Total Run Even'!I47</f>
        <v>1.7372822898252973</v>
      </c>
      <c r="H21" s="12"/>
      <c r="I21" s="374" t="s">
        <v>208</v>
      </c>
      <c r="J21" s="995">
        <f t="shared" si="2"/>
        <v>3140000</v>
      </c>
      <c r="K21" s="995">
        <f t="shared" si="2"/>
        <v>1320000</v>
      </c>
      <c r="L21" s="995">
        <f t="shared" si="2"/>
        <v>4950000</v>
      </c>
      <c r="M21" s="995">
        <f t="shared" si="1"/>
        <v>26</v>
      </c>
      <c r="N21" s="996">
        <f t="shared" si="1"/>
        <v>1.1380569114556678</v>
      </c>
      <c r="O21" s="996">
        <f t="shared" si="1"/>
        <v>1.7372822898252973</v>
      </c>
    </row>
    <row r="22" spans="1:15" ht="9" customHeight="1">
      <c r="A22" s="12"/>
      <c r="B22" s="12"/>
      <c r="C22" s="12"/>
      <c r="D22" s="12"/>
      <c r="E22" s="12"/>
      <c r="F22" s="12"/>
      <c r="G22" s="12"/>
      <c r="H22" s="12"/>
      <c r="I22" s="12"/>
      <c r="J22" s="376"/>
      <c r="K22" s="376"/>
      <c r="L22" s="376"/>
      <c r="M22" s="376"/>
      <c r="N22" s="376"/>
      <c r="O22" s="376"/>
    </row>
    <row r="23" spans="1:15">
      <c r="A23" s="251" t="s">
        <v>205</v>
      </c>
      <c r="B23" s="252"/>
      <c r="C23" s="226"/>
      <c r="D23" s="226"/>
      <c r="E23" s="226"/>
      <c r="F23" s="226"/>
      <c r="G23" s="226"/>
      <c r="H23" s="12"/>
      <c r="I23" s="251" t="s">
        <v>205</v>
      </c>
      <c r="J23" s="377"/>
      <c r="K23" s="378"/>
      <c r="L23" s="378"/>
      <c r="M23" s="378"/>
      <c r="N23" s="378"/>
      <c r="O23" s="378"/>
    </row>
    <row r="24" spans="1:15" ht="18">
      <c r="A24" s="234"/>
      <c r="B24" s="224" t="s">
        <v>189</v>
      </c>
      <c r="C24" s="993" t="s">
        <v>191</v>
      </c>
      <c r="D24" s="993" t="s">
        <v>192</v>
      </c>
      <c r="E24" s="993" t="s">
        <v>118</v>
      </c>
      <c r="F24" s="993" t="s">
        <v>202</v>
      </c>
      <c r="G24" s="1082" t="s">
        <v>76</v>
      </c>
      <c r="H24" s="12"/>
      <c r="I24" s="256"/>
      <c r="J24" s="379" t="s">
        <v>189</v>
      </c>
      <c r="K24" s="379" t="s">
        <v>191</v>
      </c>
      <c r="L24" s="379" t="s">
        <v>192</v>
      </c>
      <c r="M24" s="379" t="s">
        <v>118</v>
      </c>
      <c r="N24" s="379" t="s">
        <v>236</v>
      </c>
      <c r="O24" s="1079" t="s">
        <v>76</v>
      </c>
    </row>
    <row r="25" spans="1:15">
      <c r="A25" s="226" t="s">
        <v>206</v>
      </c>
      <c r="B25" s="380">
        <f>'Esc-Return_Regression'!C46</f>
        <v>30041783.778372854</v>
      </c>
      <c r="C25" s="380">
        <f>B25-Regression_Performance!$J$49</f>
        <v>21897806.934191544</v>
      </c>
      <c r="D25" s="380">
        <f>B25+Regression_Performance!$J$49</f>
        <v>38185760.622554161</v>
      </c>
      <c r="E25" s="380">
        <f>'Esc-Return_Regression'!F46</f>
        <v>27</v>
      </c>
      <c r="F25" s="1075">
        <f>'Esc-Return_Regression'!G46</f>
        <v>0.51938870605568199</v>
      </c>
      <c r="G25" s="1083">
        <f>'Esc-Return_Regression'!H46</f>
        <v>2.2358872451044465E-5</v>
      </c>
      <c r="H25" s="12"/>
      <c r="I25" s="13" t="s">
        <v>206</v>
      </c>
      <c r="J25" s="380">
        <f t="shared" ref="J25:L26" si="3">MROUND(B25,10000)</f>
        <v>30040000</v>
      </c>
      <c r="K25" s="380">
        <f t="shared" si="3"/>
        <v>21900000</v>
      </c>
      <c r="L25" s="380">
        <f t="shared" si="3"/>
        <v>38190000</v>
      </c>
      <c r="M25" s="378">
        <f t="shared" ref="M25:O26" si="4">E25</f>
        <v>27</v>
      </c>
      <c r="N25" s="1077">
        <f t="shared" si="4"/>
        <v>0.51938870605568199</v>
      </c>
      <c r="O25" s="1080">
        <f t="shared" si="4"/>
        <v>2.2358872451044465E-5</v>
      </c>
    </row>
    <row r="26" spans="1:15">
      <c r="A26" s="231" t="s">
        <v>207</v>
      </c>
      <c r="B26" s="381">
        <f>'Esc-Return_Regression'!C47</f>
        <v>21074336.548820641</v>
      </c>
      <c r="C26" s="381">
        <f>B26-Regression_Performance!$J$51</f>
        <v>14401011.980793558</v>
      </c>
      <c r="D26" s="381">
        <f>B26+Regression_Performance!$J$51</f>
        <v>27747661.116847724</v>
      </c>
      <c r="E26" s="381">
        <f>'Esc-Return_Regression'!F47</f>
        <v>27</v>
      </c>
      <c r="F26" s="1076">
        <f>'Esc-Return_Regression'!G47</f>
        <v>0.31828800567287485</v>
      </c>
      <c r="G26" s="1084">
        <f>'Esc-Return_Regression'!H47</f>
        <v>2.1755681915448569E-3</v>
      </c>
      <c r="H26" s="12"/>
      <c r="I26" s="231" t="s">
        <v>207</v>
      </c>
      <c r="J26" s="381">
        <f t="shared" si="3"/>
        <v>21070000</v>
      </c>
      <c r="K26" s="381">
        <f t="shared" si="3"/>
        <v>14400000</v>
      </c>
      <c r="L26" s="381">
        <f t="shared" si="3"/>
        <v>27750000</v>
      </c>
      <c r="M26" s="382">
        <f t="shared" si="4"/>
        <v>27</v>
      </c>
      <c r="N26" s="1078">
        <f t="shared" si="4"/>
        <v>0.31828800567287485</v>
      </c>
      <c r="O26" s="1081">
        <f t="shared" si="4"/>
        <v>2.1755681915448569E-3</v>
      </c>
    </row>
    <row r="27" spans="1:15">
      <c r="A27" s="12"/>
      <c r="B27" s="12"/>
      <c r="C27" s="12"/>
      <c r="D27" s="12"/>
      <c r="E27" s="12"/>
      <c r="F27" s="12"/>
      <c r="G27" s="12"/>
      <c r="H27" s="12"/>
      <c r="I27" s="12"/>
      <c r="J27" s="12"/>
      <c r="K27" s="12"/>
      <c r="L27" s="12"/>
      <c r="M27" s="12"/>
      <c r="N27" s="12"/>
      <c r="O27" s="12"/>
    </row>
    <row r="28" spans="1:15">
      <c r="A28" s="12" t="s">
        <v>366</v>
      </c>
      <c r="B28" s="12"/>
      <c r="C28" s="12"/>
      <c r="D28" s="12"/>
      <c r="E28" s="12"/>
      <c r="F28" s="12"/>
      <c r="G28" s="12"/>
      <c r="H28" s="12"/>
      <c r="I28" s="12" t="s">
        <v>366</v>
      </c>
      <c r="J28" s="12"/>
      <c r="K28" s="12"/>
      <c r="L28" s="12"/>
      <c r="M28" s="12"/>
      <c r="N28" s="12"/>
      <c r="O28" s="12"/>
    </row>
    <row r="29" spans="1:15">
      <c r="A29" s="12"/>
      <c r="B29" s="12"/>
      <c r="C29" s="374"/>
      <c r="D29" s="374"/>
      <c r="E29" s="12"/>
      <c r="F29" s="12"/>
      <c r="G29" s="12"/>
      <c r="H29" s="12"/>
      <c r="I29" s="12"/>
      <c r="J29" s="12"/>
      <c r="K29" s="12"/>
      <c r="L29" s="12"/>
      <c r="M29" s="12"/>
      <c r="N29" s="12"/>
      <c r="O29" s="12"/>
    </row>
    <row r="30" spans="1:15">
      <c r="A30" s="12"/>
      <c r="B30" s="12"/>
      <c r="C30" s="994"/>
      <c r="D30" s="994"/>
      <c r="E30" s="12"/>
      <c r="F30" s="374"/>
      <c r="G30" s="374"/>
      <c r="H30" s="12"/>
      <c r="I30" s="12"/>
      <c r="J30" s="12"/>
      <c r="K30" s="12"/>
      <c r="L30" s="12"/>
      <c r="M30" s="12"/>
      <c r="N30" s="12"/>
      <c r="O30" s="12"/>
    </row>
    <row r="31" spans="1:15">
      <c r="A31" s="12"/>
      <c r="B31" s="12"/>
      <c r="C31" s="374"/>
      <c r="D31" s="374"/>
      <c r="E31" s="12"/>
      <c r="F31" s="374"/>
      <c r="G31" s="374"/>
      <c r="H31" s="12"/>
      <c r="I31" s="12"/>
      <c r="J31" s="12"/>
      <c r="K31" s="12"/>
      <c r="L31" s="12"/>
      <c r="M31" s="12"/>
      <c r="N31" s="12"/>
      <c r="O31" s="12"/>
    </row>
    <row r="32" spans="1:15">
      <c r="A32" s="983"/>
      <c r="B32" s="24"/>
      <c r="C32" s="12"/>
      <c r="D32" s="12"/>
      <c r="E32" s="12"/>
      <c r="F32" s="374"/>
      <c r="G32" s="374">
        <v>1700</v>
      </c>
      <c r="H32" s="12">
        <v>5980</v>
      </c>
      <c r="I32" s="12"/>
      <c r="J32" s="24"/>
      <c r="K32" s="12"/>
      <c r="L32" s="12"/>
      <c r="M32" s="12"/>
      <c r="N32" s="12"/>
      <c r="O32" s="12"/>
    </row>
    <row r="33" spans="1:27">
      <c r="A33" s="12"/>
      <c r="E33" s="12"/>
      <c r="F33" s="374"/>
      <c r="G33" s="374">
        <v>1160</v>
      </c>
      <c r="H33" s="374">
        <v>1160</v>
      </c>
      <c r="I33" s="12"/>
      <c r="J33" s="24"/>
      <c r="K33" s="12"/>
      <c r="L33" s="12"/>
      <c r="M33" s="12"/>
      <c r="N33" s="12"/>
      <c r="O33" s="12"/>
    </row>
    <row r="34" spans="1:27">
      <c r="A34" s="12"/>
      <c r="B34" s="13"/>
      <c r="C34" s="13"/>
      <c r="D34" s="13"/>
      <c r="E34" s="13"/>
      <c r="F34" s="12"/>
      <c r="G34" s="12">
        <f>G32-G33</f>
        <v>540</v>
      </c>
      <c r="H34" s="12">
        <f>H32-H33</f>
        <v>4820</v>
      </c>
      <c r="I34" s="12"/>
      <c r="J34" s="24"/>
      <c r="K34" s="24"/>
      <c r="L34" s="24"/>
      <c r="M34" s="12"/>
      <c r="N34" s="12"/>
      <c r="O34" s="12"/>
    </row>
    <row r="35" spans="1:27">
      <c r="A35" s="12"/>
      <c r="B35" s="13"/>
      <c r="C35" s="369"/>
      <c r="D35" s="368"/>
      <c r="E35" s="13"/>
      <c r="F35" s="12"/>
      <c r="G35" s="12"/>
      <c r="H35" s="12"/>
      <c r="I35" s="12"/>
      <c r="J35" s="12"/>
      <c r="K35" s="24"/>
      <c r="L35" s="24"/>
      <c r="M35" s="12"/>
      <c r="N35" s="12"/>
      <c r="O35" s="12"/>
    </row>
    <row r="36" spans="1:27">
      <c r="A36" s="12"/>
      <c r="B36" s="13"/>
      <c r="C36" s="13"/>
      <c r="D36" s="13"/>
      <c r="E36" s="13"/>
      <c r="F36" s="12"/>
      <c r="G36" s="12"/>
      <c r="H36" s="12"/>
      <c r="I36" s="12"/>
      <c r="J36" s="12"/>
      <c r="K36" s="12"/>
      <c r="L36" s="12"/>
      <c r="M36" s="12"/>
      <c r="N36" s="12"/>
      <c r="O36" s="12"/>
    </row>
    <row r="37" spans="1:27" ht="23">
      <c r="A37" s="12"/>
      <c r="B37" s="13"/>
      <c r="C37" s="13"/>
      <c r="D37" s="13"/>
      <c r="E37" s="13"/>
      <c r="F37" s="12"/>
      <c r="G37" s="12"/>
      <c r="H37" s="12"/>
      <c r="I37" s="12"/>
      <c r="J37" s="12"/>
      <c r="K37" s="12"/>
      <c r="L37" s="12"/>
      <c r="M37" s="12"/>
      <c r="N37" s="12"/>
      <c r="O37" s="12"/>
      <c r="X37" s="1090"/>
      <c r="Y37" s="1090"/>
      <c r="Z37" s="1090"/>
      <c r="AA37" s="1090"/>
    </row>
    <row r="38" spans="1:27" ht="48">
      <c r="A38" s="12"/>
      <c r="B38" s="13"/>
      <c r="C38" s="13"/>
      <c r="D38" s="13"/>
      <c r="E38" s="13"/>
      <c r="F38" s="12"/>
      <c r="G38" s="12"/>
      <c r="H38" s="12"/>
      <c r="I38" s="12"/>
      <c r="J38" s="12"/>
      <c r="K38" s="12"/>
      <c r="L38" s="12"/>
      <c r="M38" s="12"/>
      <c r="N38" s="12"/>
      <c r="O38" s="12"/>
      <c r="W38" s="1100" t="s">
        <v>375</v>
      </c>
      <c r="X38" s="1111" t="s">
        <v>369</v>
      </c>
      <c r="Y38" s="1110" t="s">
        <v>368</v>
      </c>
      <c r="Z38" s="1112" t="s">
        <v>370</v>
      </c>
      <c r="AA38" s="1092" t="s">
        <v>373</v>
      </c>
    </row>
    <row r="39" spans="1:27" ht="25">
      <c r="A39" s="12"/>
      <c r="B39" s="12"/>
      <c r="C39" s="12"/>
      <c r="D39" s="12"/>
      <c r="E39" s="12"/>
      <c r="F39" s="12"/>
      <c r="G39" s="12"/>
      <c r="H39" s="12"/>
      <c r="I39" s="12"/>
      <c r="J39" s="12"/>
      <c r="K39" s="12"/>
      <c r="L39" s="12"/>
      <c r="M39" s="12"/>
      <c r="N39" s="12"/>
      <c r="O39" s="12"/>
      <c r="W39" s="1093" t="s">
        <v>371</v>
      </c>
      <c r="X39" s="1094">
        <f>K12</f>
        <v>1530000</v>
      </c>
      <c r="Y39" s="1107">
        <f>J12</f>
        <v>3550000</v>
      </c>
      <c r="Z39" s="1094">
        <f>L12</f>
        <v>5560000</v>
      </c>
      <c r="AA39" s="1095">
        <f>N12</f>
        <v>0.44485906411346193</v>
      </c>
    </row>
    <row r="40" spans="1:27" ht="23">
      <c r="A40" s="12"/>
      <c r="B40" s="12"/>
      <c r="C40" s="12"/>
      <c r="D40" s="12"/>
      <c r="E40" s="12"/>
      <c r="F40" s="12"/>
      <c r="G40" s="12"/>
      <c r="H40" s="12"/>
      <c r="I40" s="12"/>
      <c r="J40" s="12"/>
      <c r="K40" s="12"/>
      <c r="L40" s="12"/>
      <c r="M40" s="12"/>
      <c r="N40" s="12"/>
      <c r="O40" s="12"/>
      <c r="W40" s="1099" t="s">
        <v>374</v>
      </c>
      <c r="X40" s="1097"/>
      <c r="Y40" s="1108"/>
      <c r="Z40" s="1097"/>
      <c r="AA40" s="1098"/>
    </row>
    <row r="41" spans="1:27" ht="25">
      <c r="A41" s="12"/>
      <c r="B41" s="12"/>
      <c r="C41" s="12"/>
      <c r="D41" s="12"/>
      <c r="E41" s="12"/>
      <c r="F41" s="12"/>
      <c r="G41" s="12"/>
      <c r="H41" s="12"/>
      <c r="I41" s="12"/>
      <c r="J41" s="12"/>
      <c r="K41" s="12"/>
      <c r="L41" s="12"/>
      <c r="M41" s="12"/>
      <c r="N41" s="12"/>
      <c r="O41" s="12"/>
      <c r="W41" s="1096"/>
      <c r="X41" s="1097"/>
      <c r="Y41" s="1108"/>
      <c r="Z41" s="1097"/>
      <c r="AA41" s="1098"/>
    </row>
    <row r="42" spans="1:27" ht="25">
      <c r="A42" s="12"/>
      <c r="B42" s="12"/>
      <c r="C42" s="12"/>
      <c r="D42" s="12"/>
      <c r="E42" s="12"/>
      <c r="F42" s="12"/>
      <c r="G42" s="12"/>
      <c r="H42" s="12"/>
      <c r="I42" s="12"/>
      <c r="J42" s="12"/>
      <c r="K42" s="12"/>
      <c r="L42" s="12"/>
      <c r="M42" s="12"/>
      <c r="N42" s="12"/>
      <c r="O42" s="12"/>
      <c r="W42" s="1096" t="s">
        <v>372</v>
      </c>
      <c r="X42" s="1097">
        <v>994000</v>
      </c>
      <c r="Y42" s="1108">
        <v>1449000</v>
      </c>
      <c r="Z42" s="1097">
        <v>2281000</v>
      </c>
      <c r="AA42" s="1098"/>
    </row>
    <row r="43" spans="1:27" ht="25">
      <c r="A43" s="12"/>
      <c r="B43" s="12"/>
      <c r="C43" s="12"/>
      <c r="D43" s="12"/>
      <c r="E43" s="12"/>
      <c r="F43" s="12"/>
      <c r="G43" s="12"/>
      <c r="H43" s="12"/>
      <c r="I43" s="12"/>
      <c r="J43" s="12"/>
      <c r="K43" s="12"/>
      <c r="L43" s="12"/>
      <c r="M43" s="12"/>
      <c r="N43" s="12"/>
      <c r="O43" s="12"/>
      <c r="W43" s="1096"/>
      <c r="X43" s="1097"/>
      <c r="Y43" s="1108"/>
      <c r="Z43" s="1097"/>
      <c r="AA43" s="1098"/>
    </row>
    <row r="44" spans="1:27" ht="25">
      <c r="A44" s="12"/>
      <c r="B44" s="12"/>
      <c r="C44" s="12"/>
      <c r="D44" s="12"/>
      <c r="E44" s="12"/>
      <c r="F44" s="12"/>
      <c r="G44" s="12"/>
      <c r="H44" s="12"/>
      <c r="I44" s="12"/>
      <c r="J44" s="12"/>
      <c r="K44" s="12"/>
      <c r="L44" s="12"/>
      <c r="M44" s="12"/>
      <c r="N44" s="12"/>
      <c r="O44" s="12"/>
      <c r="W44" s="1104" t="s">
        <v>376</v>
      </c>
      <c r="X44" s="1105">
        <f>Y44-Mean_Harvest_Performance!N46</f>
        <v>315296.14583239262</v>
      </c>
      <c r="Y44" s="1109">
        <f>Y39-Y42</f>
        <v>2101000</v>
      </c>
      <c r="Z44" s="1105">
        <f>Y44+Mean_Harvest_Performance!N46</f>
        <v>3886703.8541676076</v>
      </c>
      <c r="AA44" s="1106"/>
    </row>
    <row r="45" spans="1:27" ht="25">
      <c r="A45" s="12"/>
      <c r="B45" s="12"/>
      <c r="C45" s="12"/>
      <c r="D45" s="12"/>
      <c r="E45" s="12"/>
      <c r="F45" s="12"/>
      <c r="G45" s="12"/>
      <c r="H45" s="12"/>
      <c r="I45" s="12"/>
      <c r="J45" s="12"/>
      <c r="K45" s="12"/>
      <c r="L45" s="12"/>
      <c r="M45" s="12"/>
      <c r="N45" s="12"/>
      <c r="O45" s="12"/>
      <c r="W45" s="1101"/>
      <c r="X45" s="1102"/>
      <c r="Y45" s="1102"/>
      <c r="Z45" s="1102"/>
      <c r="AA45" s="1103"/>
    </row>
    <row r="46" spans="1:27" ht="25">
      <c r="A46" s="12"/>
      <c r="B46" s="12"/>
      <c r="C46" s="12"/>
      <c r="D46" s="12"/>
      <c r="E46" s="12"/>
      <c r="F46" s="12"/>
      <c r="G46" s="12"/>
      <c r="H46" s="12"/>
      <c r="I46" s="12"/>
      <c r="J46" s="12"/>
      <c r="K46" s="12"/>
      <c r="L46" s="12"/>
      <c r="M46" s="12"/>
      <c r="N46" s="12"/>
      <c r="O46" s="12"/>
      <c r="W46" s="1091"/>
      <c r="X46" s="1089"/>
      <c r="Y46" s="1089"/>
      <c r="Z46" s="1089"/>
    </row>
    <row r="47" spans="1:27" ht="25">
      <c r="A47" s="12"/>
      <c r="B47" s="12"/>
      <c r="C47" s="12"/>
      <c r="D47" s="12"/>
      <c r="E47" s="12"/>
      <c r="F47" s="12"/>
      <c r="G47" s="12"/>
      <c r="H47" s="12"/>
      <c r="I47" s="12"/>
      <c r="J47" s="12"/>
      <c r="K47" s="12"/>
      <c r="L47" s="12"/>
      <c r="M47" s="12"/>
      <c r="N47" s="12"/>
      <c r="O47" s="12"/>
      <c r="W47" s="1091"/>
      <c r="X47" s="1089"/>
      <c r="Y47" s="1089"/>
      <c r="Z47" s="1089"/>
    </row>
    <row r="48" spans="1:27" ht="25">
      <c r="A48" s="12"/>
      <c r="B48" s="12"/>
      <c r="C48" s="12"/>
      <c r="D48" s="12"/>
      <c r="E48" s="12"/>
      <c r="F48" s="12"/>
      <c r="G48" s="12"/>
      <c r="H48" s="12"/>
      <c r="I48" s="12"/>
      <c r="J48" s="12"/>
      <c r="K48" s="12"/>
      <c r="L48" s="12"/>
      <c r="M48" s="12"/>
      <c r="N48" s="12"/>
      <c r="O48" s="12"/>
      <c r="W48" s="1091"/>
      <c r="X48" s="1089"/>
      <c r="Y48" s="1089"/>
      <c r="Z48" s="1089"/>
    </row>
    <row r="49" spans="1:15">
      <c r="A49" s="12"/>
      <c r="B49" s="12"/>
      <c r="C49" s="12"/>
      <c r="D49" s="12"/>
      <c r="E49" s="12"/>
      <c r="F49" s="12"/>
      <c r="G49" s="12"/>
      <c r="H49" s="12"/>
      <c r="I49" s="12"/>
      <c r="J49" s="12"/>
      <c r="K49" s="12"/>
      <c r="L49" s="12"/>
      <c r="M49" s="12"/>
      <c r="N49" s="12"/>
      <c r="O49" s="12"/>
    </row>
    <row r="50" spans="1:15">
      <c r="A50" s="12"/>
      <c r="B50" s="12"/>
      <c r="C50" s="12"/>
      <c r="D50" s="12"/>
      <c r="E50" s="12"/>
      <c r="F50" s="12"/>
      <c r="G50" s="12"/>
      <c r="H50" s="12"/>
      <c r="I50" s="12"/>
      <c r="J50" s="12"/>
      <c r="K50" s="12"/>
      <c r="L50" s="12"/>
      <c r="M50" s="12"/>
      <c r="N50" s="12"/>
      <c r="O50" s="12"/>
    </row>
    <row r="51" spans="1:15">
      <c r="A51" s="12"/>
      <c r="B51" s="12"/>
      <c r="C51" s="12"/>
      <c r="D51" s="12"/>
      <c r="E51" s="12"/>
      <c r="F51" s="12"/>
      <c r="G51" s="12"/>
      <c r="H51" s="12"/>
      <c r="I51" s="12"/>
      <c r="J51" s="12"/>
      <c r="K51" s="12"/>
      <c r="L51" s="12"/>
      <c r="M51" s="12"/>
      <c r="N51" s="12"/>
      <c r="O51" s="12"/>
    </row>
    <row r="52" spans="1:15">
      <c r="A52" s="12"/>
      <c r="B52" s="12"/>
      <c r="C52" s="12"/>
      <c r="D52" s="12"/>
      <c r="E52" s="12"/>
      <c r="F52" s="12"/>
      <c r="G52" s="12"/>
      <c r="H52" s="12"/>
      <c r="I52" s="12"/>
      <c r="J52" s="12"/>
      <c r="K52" s="12"/>
      <c r="L52" s="12"/>
      <c r="M52" s="12"/>
      <c r="N52" s="12"/>
      <c r="O52" s="12"/>
    </row>
    <row r="53" spans="1:15">
      <c r="A53" s="12"/>
      <c r="B53" s="12"/>
      <c r="C53" s="12"/>
      <c r="D53" s="12"/>
      <c r="E53" s="12"/>
      <c r="F53" s="12"/>
      <c r="G53" s="12"/>
      <c r="H53" s="12"/>
      <c r="I53" s="12"/>
      <c r="J53" s="12"/>
      <c r="K53" s="12"/>
      <c r="L53" s="12"/>
      <c r="M53" s="12"/>
      <c r="N53" s="12"/>
      <c r="O53" s="12"/>
    </row>
  </sheetData>
  <mergeCells count="2">
    <mergeCell ref="B7:D7"/>
    <mergeCell ref="J7:L7"/>
  </mergeCells>
  <printOptions horizontalCentered="1"/>
  <pageMargins left="1" right="1" top="1" bottom="1" header="0.3" footer="0.3"/>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FFFF00"/>
  </sheetPr>
  <dimension ref="A1:O52"/>
  <sheetViews>
    <sheetView view="pageBreakPreview" zoomScale="75" zoomScaleNormal="85" zoomScaleSheetLayoutView="75" workbookViewId="0"/>
  </sheetViews>
  <sheetFormatPr baseColWidth="10" defaultColWidth="8.7109375" defaultRowHeight="16"/>
  <cols>
    <col min="1" max="1" width="25.140625" customWidth="1"/>
    <col min="2" max="2" width="10.7109375" customWidth="1"/>
    <col min="3" max="3" width="9.7109375" customWidth="1"/>
    <col min="4" max="4" width="10.7109375" customWidth="1"/>
    <col min="5" max="5" width="8.42578125" customWidth="1"/>
    <col min="6" max="6" width="8.28515625" customWidth="1"/>
    <col min="7" max="7" width="10.7109375" customWidth="1"/>
    <col min="8" max="8" width="4.140625" customWidth="1"/>
    <col min="9" max="9" width="25.7109375" customWidth="1"/>
    <col min="10" max="12" width="10.7109375" customWidth="1"/>
    <col min="13" max="13" width="5.7109375" customWidth="1"/>
    <col min="14" max="14" width="7.7109375" customWidth="1"/>
    <col min="15" max="15" width="10.7109375" customWidth="1"/>
  </cols>
  <sheetData>
    <row r="1" spans="1:15">
      <c r="A1" s="240" t="str">
        <f ca="1">CELL("filename",A1)</f>
        <v>/Users/janohlberger/Work/UW/Thresholds/Data/Rich/[2018_PWS_Wild_Pink_forecast_DRAFT.xlsm]Forecasts_Sum_Odd</v>
      </c>
      <c r="B1" s="12"/>
      <c r="C1" s="12"/>
      <c r="D1" s="12"/>
      <c r="E1" s="12"/>
      <c r="F1" s="12"/>
      <c r="G1" s="12"/>
      <c r="H1" s="12"/>
      <c r="I1" s="240" t="str">
        <f ca="1">CELL("filename",I1)</f>
        <v>/Users/janohlberger/Work/UW/Thresholds/Data/Rich/[2018_PWS_Wild_Pink_forecast_DRAFT.xlsm]Forecasts_Sum_Odd</v>
      </c>
      <c r="J1" s="12"/>
      <c r="K1" s="12"/>
      <c r="L1" s="12"/>
      <c r="M1" s="12"/>
      <c r="N1" s="12"/>
      <c r="O1" s="12"/>
    </row>
    <row r="2" spans="1:15" ht="8.25" customHeight="1">
      <c r="A2" s="23"/>
      <c r="B2" s="12"/>
      <c r="C2" s="12"/>
      <c r="D2" s="12"/>
      <c r="E2" s="12"/>
      <c r="F2" s="12"/>
      <c r="G2" s="12"/>
      <c r="H2" s="12"/>
      <c r="I2" s="23"/>
      <c r="J2" s="12"/>
      <c r="K2" s="12"/>
      <c r="L2" s="12"/>
      <c r="M2" s="12"/>
      <c r="N2" s="12"/>
      <c r="O2" s="12"/>
    </row>
    <row r="3" spans="1:15" ht="18">
      <c r="A3" s="239" t="s">
        <v>221</v>
      </c>
      <c r="B3" s="12"/>
      <c r="C3" s="12"/>
      <c r="D3" s="12"/>
      <c r="E3" s="12"/>
      <c r="G3" s="12"/>
      <c r="H3" s="12"/>
      <c r="I3" s="239" t="s">
        <v>221</v>
      </c>
      <c r="J3" s="12"/>
      <c r="K3" s="12"/>
      <c r="L3" s="12"/>
      <c r="M3" s="12"/>
      <c r="N3" s="12"/>
      <c r="O3" s="12"/>
    </row>
    <row r="4" spans="1:15">
      <c r="A4" s="12"/>
      <c r="B4" s="12"/>
      <c r="C4" s="12"/>
      <c r="D4" s="12"/>
      <c r="E4" s="12"/>
      <c r="F4" s="12"/>
      <c r="G4" s="12"/>
      <c r="H4" s="12"/>
      <c r="I4" s="12"/>
      <c r="J4" s="12"/>
      <c r="K4" s="12"/>
      <c r="L4" s="12"/>
      <c r="M4" s="12"/>
      <c r="N4" s="12"/>
      <c r="O4" s="12"/>
    </row>
    <row r="5" spans="1:15" ht="15" customHeight="1">
      <c r="A5" s="22" t="s">
        <v>190</v>
      </c>
      <c r="B5" s="284">
        <f>Forecast_Year</f>
        <v>2018</v>
      </c>
      <c r="C5" s="12"/>
      <c r="D5" s="12"/>
      <c r="E5" s="12"/>
      <c r="F5" s="12"/>
      <c r="G5" s="12"/>
      <c r="H5" s="12"/>
      <c r="I5" s="22" t="s">
        <v>190</v>
      </c>
      <c r="J5" s="221">
        <f>Forecast_Year</f>
        <v>2018</v>
      </c>
      <c r="K5" s="12"/>
      <c r="L5" s="12"/>
      <c r="M5" s="12"/>
      <c r="N5" s="12"/>
      <c r="O5" s="12"/>
    </row>
    <row r="6" spans="1:15" ht="16.5" customHeight="1">
      <c r="A6" s="22"/>
      <c r="B6" s="31"/>
      <c r="C6" s="12"/>
      <c r="D6" s="12"/>
      <c r="E6" s="12"/>
      <c r="F6" s="12"/>
      <c r="G6" s="12"/>
      <c r="H6" s="12"/>
      <c r="I6" s="22"/>
      <c r="J6" s="31"/>
      <c r="K6" s="12"/>
      <c r="L6" s="12"/>
      <c r="M6" s="12"/>
      <c r="N6" s="12"/>
      <c r="O6" s="12"/>
    </row>
    <row r="7" spans="1:15">
      <c r="A7" s="226"/>
      <c r="B7" s="1116" t="s">
        <v>135</v>
      </c>
      <c r="C7" s="1116"/>
      <c r="D7" s="1116"/>
      <c r="E7" s="226"/>
      <c r="F7" s="226"/>
      <c r="G7" s="226"/>
      <c r="H7" s="12"/>
      <c r="I7" s="226"/>
      <c r="J7" s="1116" t="s">
        <v>135</v>
      </c>
      <c r="K7" s="1116"/>
      <c r="L7" s="1116"/>
      <c r="M7" s="226"/>
      <c r="N7" s="226"/>
      <c r="O7" s="226"/>
    </row>
    <row r="8" spans="1:15">
      <c r="A8" s="227" t="s">
        <v>188</v>
      </c>
      <c r="B8" s="227" t="s">
        <v>189</v>
      </c>
      <c r="C8" s="249" t="s">
        <v>191</v>
      </c>
      <c r="D8" s="249" t="s">
        <v>192</v>
      </c>
      <c r="E8" s="227" t="s">
        <v>118</v>
      </c>
      <c r="F8" s="227" t="s">
        <v>193</v>
      </c>
      <c r="G8" s="227" t="s">
        <v>194</v>
      </c>
      <c r="I8" s="227" t="s">
        <v>188</v>
      </c>
      <c r="J8" s="227" t="s">
        <v>189</v>
      </c>
      <c r="K8" s="249" t="s">
        <v>191</v>
      </c>
      <c r="L8" s="249" t="s">
        <v>192</v>
      </c>
      <c r="M8" s="227" t="s">
        <v>118</v>
      </c>
      <c r="N8" s="227" t="s">
        <v>193</v>
      </c>
      <c r="O8" s="227" t="s">
        <v>194</v>
      </c>
    </row>
    <row r="9" spans="1:15">
      <c r="A9" s="229" t="s">
        <v>204</v>
      </c>
      <c r="B9" s="280"/>
      <c r="C9" s="22"/>
      <c r="D9" s="22"/>
      <c r="E9" s="22"/>
      <c r="F9" s="22"/>
      <c r="G9" s="22"/>
      <c r="I9" s="229" t="s">
        <v>204</v>
      </c>
      <c r="J9" s="22"/>
      <c r="K9" s="22"/>
      <c r="L9" s="22"/>
      <c r="M9" s="22"/>
      <c r="N9" s="22"/>
      <c r="O9" s="22"/>
    </row>
    <row r="10" spans="1:15" ht="15" customHeight="1">
      <c r="A10" s="219" t="s">
        <v>108</v>
      </c>
      <c r="B10" s="281" t="e">
        <f>#REF!</f>
        <v>#REF!</v>
      </c>
      <c r="C10" s="400" t="e">
        <f>IF($B10-(#REF!*Forecasts_Sum_Odd!$B10)&lt;0,0,$B10-(#REF!*Forecasts_Sum_Odd!$B10))</f>
        <v>#REF!</v>
      </c>
      <c r="D10" s="400" t="e">
        <f>$B10+(#REF!*Forecasts_Sum_Odd!$B10)</f>
        <v>#REF!</v>
      </c>
      <c r="E10" s="26" t="e">
        <f>#REF!</f>
        <v>#REF!</v>
      </c>
      <c r="F10" s="220" t="e">
        <f>#REF!</f>
        <v>#REF!</v>
      </c>
      <c r="G10" s="257" t="e">
        <f>#REF!</f>
        <v>#REF!</v>
      </c>
      <c r="H10" s="12"/>
      <c r="I10" s="219" t="s">
        <v>108</v>
      </c>
      <c r="J10" s="26" t="e">
        <f t="shared" ref="J10:L15" si="0">MROUND(B10,10000)</f>
        <v>#REF!</v>
      </c>
      <c r="K10" s="400" t="e">
        <f t="shared" si="0"/>
        <v>#REF!</v>
      </c>
      <c r="L10" s="400" t="e">
        <f t="shared" si="0"/>
        <v>#REF!</v>
      </c>
      <c r="M10" s="26" t="e">
        <f>E10</f>
        <v>#REF!</v>
      </c>
      <c r="N10" s="220" t="e">
        <f>F10</f>
        <v>#REF!</v>
      </c>
      <c r="O10" s="220" t="e">
        <f>G10</f>
        <v>#REF!</v>
      </c>
    </row>
    <row r="11" spans="1:15" ht="15" customHeight="1">
      <c r="A11" s="219" t="s">
        <v>109</v>
      </c>
      <c r="B11" s="281" t="e">
        <f>#REF!</f>
        <v>#REF!</v>
      </c>
      <c r="C11" s="400" t="e">
        <f>IF($B11-(#REF!*Forecasts_Sum_Odd!$B11)&lt;0,0,$B11-(#REF!*Forecasts_Sum_Odd!$B11))</f>
        <v>#REF!</v>
      </c>
      <c r="D11" s="400" t="e">
        <f>$B11+(#REF!*Forecasts_Sum_Odd!$B11)</f>
        <v>#REF!</v>
      </c>
      <c r="E11" s="26" t="e">
        <f>#REF!</f>
        <v>#REF!</v>
      </c>
      <c r="F11" s="220" t="e">
        <f>#REF!</f>
        <v>#REF!</v>
      </c>
      <c r="G11" s="257" t="e">
        <f>#REF!</f>
        <v>#REF!</v>
      </c>
      <c r="H11" s="12"/>
      <c r="I11" s="219" t="s">
        <v>109</v>
      </c>
      <c r="J11" s="26" t="e">
        <f t="shared" si="0"/>
        <v>#REF!</v>
      </c>
      <c r="K11" s="400" t="e">
        <f t="shared" si="0"/>
        <v>#REF!</v>
      </c>
      <c r="L11" s="400" t="e">
        <f t="shared" si="0"/>
        <v>#REF!</v>
      </c>
      <c r="M11" s="26" t="e">
        <f t="shared" ref="M11:M21" si="1">E11</f>
        <v>#REF!</v>
      </c>
      <c r="N11" s="220" t="e">
        <f t="shared" ref="N11:N21" si="2">F11</f>
        <v>#REF!</v>
      </c>
      <c r="O11" s="220" t="e">
        <f t="shared" ref="O11:O21" si="3">G11</f>
        <v>#REF!</v>
      </c>
    </row>
    <row r="12" spans="1:15" ht="15" customHeight="1">
      <c r="A12" s="219" t="s">
        <v>110</v>
      </c>
      <c r="B12" s="281" t="e">
        <f>#REF!</f>
        <v>#REF!</v>
      </c>
      <c r="C12" s="400" t="e">
        <f>IF($B12-(#REF!*Forecasts_Sum_Odd!$B12)&lt;0,0,$B12-(#REF!*Forecasts_Sum_Odd!$B12))</f>
        <v>#REF!</v>
      </c>
      <c r="D12" s="400" t="e">
        <f>$B12+(#REF!*Forecasts_Sum_Odd!$B12)</f>
        <v>#REF!</v>
      </c>
      <c r="E12" s="26" t="e">
        <f>#REF!</f>
        <v>#REF!</v>
      </c>
      <c r="F12" s="220" t="e">
        <f>#REF!</f>
        <v>#REF!</v>
      </c>
      <c r="G12" s="257" t="e">
        <f>#REF!</f>
        <v>#REF!</v>
      </c>
      <c r="H12" s="12"/>
      <c r="I12" s="219" t="s">
        <v>110</v>
      </c>
      <c r="J12" s="26" t="e">
        <f t="shared" si="0"/>
        <v>#REF!</v>
      </c>
      <c r="K12" s="400" t="e">
        <f t="shared" si="0"/>
        <v>#REF!</v>
      </c>
      <c r="L12" s="400" t="e">
        <f t="shared" si="0"/>
        <v>#REF!</v>
      </c>
      <c r="M12" s="26" t="e">
        <f t="shared" si="1"/>
        <v>#REF!</v>
      </c>
      <c r="N12" s="220" t="e">
        <f t="shared" si="2"/>
        <v>#REF!</v>
      </c>
      <c r="O12" s="220" t="e">
        <f t="shared" si="3"/>
        <v>#REF!</v>
      </c>
    </row>
    <row r="13" spans="1:15" ht="15" customHeight="1">
      <c r="A13" s="219" t="s">
        <v>111</v>
      </c>
      <c r="B13" s="281" t="e">
        <f>#REF!</f>
        <v>#REF!</v>
      </c>
      <c r="C13" s="400" t="e">
        <f>IF($B13-(#REF!*Forecasts_Sum_Odd!$B13)&lt;0,0,$B13-(#REF!*Forecasts_Sum_Odd!$B13))</f>
        <v>#REF!</v>
      </c>
      <c r="D13" s="400" t="e">
        <f>$B13+(#REF!*Forecasts_Sum_Odd!$B13)</f>
        <v>#REF!</v>
      </c>
      <c r="E13" s="26" t="e">
        <f>#REF!</f>
        <v>#REF!</v>
      </c>
      <c r="F13" s="220" t="e">
        <f>#REF!</f>
        <v>#REF!</v>
      </c>
      <c r="G13" s="257" t="e">
        <f>#REF!</f>
        <v>#REF!</v>
      </c>
      <c r="H13" s="12"/>
      <c r="I13" s="219" t="s">
        <v>111</v>
      </c>
      <c r="J13" s="26" t="e">
        <f t="shared" si="0"/>
        <v>#REF!</v>
      </c>
      <c r="K13" s="400" t="e">
        <f t="shared" si="0"/>
        <v>#REF!</v>
      </c>
      <c r="L13" s="400" t="e">
        <f t="shared" si="0"/>
        <v>#REF!</v>
      </c>
      <c r="M13" s="26" t="e">
        <f t="shared" si="1"/>
        <v>#REF!</v>
      </c>
      <c r="N13" s="220" t="e">
        <f t="shared" si="2"/>
        <v>#REF!</v>
      </c>
      <c r="O13" s="220" t="e">
        <f t="shared" si="3"/>
        <v>#REF!</v>
      </c>
    </row>
    <row r="14" spans="1:15" ht="15" customHeight="1">
      <c r="A14" s="219" t="s">
        <v>112</v>
      </c>
      <c r="B14" s="281" t="e">
        <f>#REF!</f>
        <v>#REF!</v>
      </c>
      <c r="C14" s="400" t="e">
        <f>IF($B14-(#REF!*Forecasts_Sum_Odd!$B14)&lt;0,0,$B14-(#REF!*Forecasts_Sum_Odd!$B14))</f>
        <v>#REF!</v>
      </c>
      <c r="D14" s="400" t="e">
        <f>$B14+(#REF!*Forecasts_Sum_Odd!$B14)</f>
        <v>#REF!</v>
      </c>
      <c r="E14" s="26" t="e">
        <f>#REF!</f>
        <v>#REF!</v>
      </c>
      <c r="F14" s="220" t="e">
        <f>#REF!</f>
        <v>#REF!</v>
      </c>
      <c r="G14" s="257" t="e">
        <f>#REF!</f>
        <v>#REF!</v>
      </c>
      <c r="H14" s="12"/>
      <c r="I14" s="219" t="s">
        <v>112</v>
      </c>
      <c r="J14" s="26" t="e">
        <f t="shared" si="0"/>
        <v>#REF!</v>
      </c>
      <c r="K14" s="400" t="e">
        <f t="shared" si="0"/>
        <v>#REF!</v>
      </c>
      <c r="L14" s="400" t="e">
        <f t="shared" si="0"/>
        <v>#REF!</v>
      </c>
      <c r="M14" s="26" t="e">
        <f t="shared" si="1"/>
        <v>#REF!</v>
      </c>
      <c r="N14" s="220" t="e">
        <f t="shared" si="2"/>
        <v>#REF!</v>
      </c>
      <c r="O14" s="220" t="e">
        <f t="shared" si="3"/>
        <v>#REF!</v>
      </c>
    </row>
    <row r="15" spans="1:15" ht="15" customHeight="1">
      <c r="A15" s="219" t="s">
        <v>120</v>
      </c>
      <c r="B15" s="281" t="e">
        <f>#REF!</f>
        <v>#REF!</v>
      </c>
      <c r="C15" s="400" t="e">
        <f>IF($B15-(#REF!*Forecasts_Sum_Odd!$B15)&lt;0,0,$B15-(#REF!*Forecasts_Sum_Odd!$B15))</f>
        <v>#REF!</v>
      </c>
      <c r="D15" s="400" t="e">
        <f>$B15+(#REF!*Forecasts_Sum_Odd!$B15)</f>
        <v>#REF!</v>
      </c>
      <c r="E15" s="26" t="e">
        <f>#REF!</f>
        <v>#REF!</v>
      </c>
      <c r="F15" s="220" t="e">
        <f>#REF!</f>
        <v>#REF!</v>
      </c>
      <c r="G15" s="257" t="e">
        <f>#REF!</f>
        <v>#REF!</v>
      </c>
      <c r="H15" s="12"/>
      <c r="I15" s="219" t="s">
        <v>120</v>
      </c>
      <c r="J15" s="26" t="e">
        <f t="shared" si="0"/>
        <v>#REF!</v>
      </c>
      <c r="K15" s="400" t="e">
        <f t="shared" si="0"/>
        <v>#REF!</v>
      </c>
      <c r="L15" s="400" t="e">
        <f t="shared" si="0"/>
        <v>#REF!</v>
      </c>
      <c r="M15" s="26" t="e">
        <f t="shared" si="1"/>
        <v>#REF!</v>
      </c>
      <c r="N15" s="220" t="e">
        <f t="shared" si="2"/>
        <v>#REF!</v>
      </c>
      <c r="O15" s="220" t="e">
        <f t="shared" si="3"/>
        <v>#REF!</v>
      </c>
    </row>
    <row r="16" spans="1:15" ht="9" customHeight="1">
      <c r="A16" s="12"/>
      <c r="B16" s="12"/>
      <c r="C16" s="400"/>
      <c r="D16" s="401"/>
      <c r="E16" s="12"/>
      <c r="F16" s="12"/>
      <c r="G16" s="258"/>
      <c r="H16" s="12"/>
      <c r="I16" s="12"/>
      <c r="J16" s="12"/>
      <c r="K16" s="400"/>
      <c r="L16" s="401"/>
      <c r="M16" s="26"/>
      <c r="N16" s="220"/>
      <c r="O16" s="220"/>
    </row>
    <row r="17" spans="1:15">
      <c r="A17" s="228" t="s">
        <v>195</v>
      </c>
      <c r="B17" s="12"/>
      <c r="C17" s="400"/>
      <c r="D17" s="401"/>
      <c r="E17" s="12"/>
      <c r="F17" s="12"/>
      <c r="G17" s="258"/>
      <c r="H17" s="12"/>
      <c r="I17" s="228" t="s">
        <v>195</v>
      </c>
      <c r="J17" s="12"/>
      <c r="K17" s="400"/>
      <c r="L17" s="401"/>
      <c r="M17" s="26"/>
      <c r="N17" s="220"/>
      <c r="O17" s="220"/>
    </row>
    <row r="18" spans="1:15">
      <c r="A18" s="12" t="s">
        <v>196</v>
      </c>
      <c r="B18" s="26">
        <f>'Exp_smoothing_w_damping_Total R'!C61</f>
        <v>4984537.0637628082</v>
      </c>
      <c r="C18" s="400" t="e">
        <f>IF($B18-(#REF!*Forecasts_Sum_Odd!$B18)&lt;0,0,$B18-(#REF!*Forecasts_Sum_Odd!$B18))</f>
        <v>#REF!</v>
      </c>
      <c r="D18" s="400" t="e">
        <f>$B18+(#REF!*Forecasts_Sum_Odd!$B18)</f>
        <v>#REF!</v>
      </c>
      <c r="E18" s="26">
        <f>'Exp_smoothing_w_damping_Total R'!B69</f>
        <v>53</v>
      </c>
      <c r="F18" s="220">
        <f>'Exp_smoothing_w_damping_Total R'!G72</f>
        <v>1.1469751983981153</v>
      </c>
      <c r="G18" s="257">
        <f>'Exp_smoothing_w_damping_Total R'!G76</f>
        <v>1.7015308742180115</v>
      </c>
      <c r="H18" s="12"/>
      <c r="I18" s="12" t="s">
        <v>196</v>
      </c>
      <c r="J18" s="26">
        <f t="shared" ref="J18:L21" si="4">MROUND(B18,10000)</f>
        <v>4980000</v>
      </c>
      <c r="K18" s="400" t="e">
        <f t="shared" si="4"/>
        <v>#REF!</v>
      </c>
      <c r="L18" s="400" t="e">
        <f t="shared" si="4"/>
        <v>#REF!</v>
      </c>
      <c r="M18" s="26">
        <f t="shared" si="1"/>
        <v>53</v>
      </c>
      <c r="N18" s="220">
        <f t="shared" si="2"/>
        <v>1.1469751983981153</v>
      </c>
      <c r="O18" s="220">
        <f t="shared" si="3"/>
        <v>1.7015308742180115</v>
      </c>
    </row>
    <row r="19" spans="1:15">
      <c r="A19" s="12" t="s">
        <v>197</v>
      </c>
      <c r="B19" s="26">
        <f>'Exp_smoothing damp_Tot odd'!C36</f>
        <v>6374428.9045625264</v>
      </c>
      <c r="C19" s="400" t="e">
        <f>IF($B19-(#REF!*Forecasts_Sum_Odd!$B19)&lt;0,0,$B19-(#REF!*Forecasts_Sum_Odd!$B19))</f>
        <v>#REF!</v>
      </c>
      <c r="D19" s="400" t="e">
        <f>$B19+(#REF!*Forecasts_Sum_Odd!$B19)</f>
        <v>#REF!</v>
      </c>
      <c r="E19" s="26">
        <f>'Exp_smoothing damp_Tot odd'!B41</f>
        <v>27</v>
      </c>
      <c r="F19" s="255">
        <f>'Exp_smoothing damp_Tot odd'!G43</f>
        <v>0.75892056654926343</v>
      </c>
      <c r="G19" s="259">
        <f>'Exp_smoothing damp_Tot odd'!G47</f>
        <v>1.0513490522381406</v>
      </c>
      <c r="H19" s="12"/>
      <c r="I19" s="12" t="s">
        <v>197</v>
      </c>
      <c r="J19" s="26">
        <f t="shared" si="4"/>
        <v>6370000</v>
      </c>
      <c r="K19" s="400" t="e">
        <f t="shared" si="4"/>
        <v>#REF!</v>
      </c>
      <c r="L19" s="400" t="e">
        <f t="shared" si="4"/>
        <v>#REF!</v>
      </c>
      <c r="M19" s="26">
        <f t="shared" si="1"/>
        <v>27</v>
      </c>
      <c r="N19" s="220">
        <f t="shared" si="2"/>
        <v>0.75892056654926343</v>
      </c>
      <c r="O19" s="220">
        <f t="shared" si="3"/>
        <v>1.0513490522381406</v>
      </c>
    </row>
    <row r="20" spans="1:15">
      <c r="A20" s="12" t="s">
        <v>209</v>
      </c>
      <c r="B20" s="26">
        <f>'Lag1_Exp_smoothing_Total Run'!C57</f>
        <v>4399391.8180968538</v>
      </c>
      <c r="C20" s="400" t="e">
        <f>IF($B20-(#REF!*Forecasts_Sum_Odd!$B20)&lt;0,0,$B20-(#REF!*Forecasts_Sum_Odd!$B20))</f>
        <v>#REF!</v>
      </c>
      <c r="D20" s="400" t="e">
        <f>$B20+(#REF!*Forecasts_Sum_Odd!$B20)</f>
        <v>#REF!</v>
      </c>
      <c r="E20" s="26">
        <f>Lag1_Exp_smoothing_Harvest!B63</f>
        <v>52</v>
      </c>
      <c r="F20" s="220">
        <f>'Lag1_Exp_smoothing_Total Run'!$G69</f>
        <v>1.1814329911551615</v>
      </c>
      <c r="G20" s="257">
        <f>'Lag1_Exp_smoothing_Total Run'!$G73</f>
        <v>1.8019926392450698</v>
      </c>
      <c r="H20" s="12"/>
      <c r="I20" s="12" t="s">
        <v>209</v>
      </c>
      <c r="J20" s="26">
        <f t="shared" si="4"/>
        <v>4400000</v>
      </c>
      <c r="K20" s="400" t="e">
        <f t="shared" si="4"/>
        <v>#REF!</v>
      </c>
      <c r="L20" s="400" t="e">
        <f t="shared" si="4"/>
        <v>#REF!</v>
      </c>
      <c r="M20" s="26">
        <f t="shared" si="1"/>
        <v>52</v>
      </c>
      <c r="N20" s="220">
        <f t="shared" si="2"/>
        <v>1.1814329911551615</v>
      </c>
      <c r="O20" s="220">
        <f t="shared" si="3"/>
        <v>1.8019926392450698</v>
      </c>
    </row>
    <row r="21" spans="1:15">
      <c r="A21" s="253" t="s">
        <v>208</v>
      </c>
      <c r="B21" s="254">
        <f>'Lag1_Exp_smooth_Total Run Odd'!C40</f>
        <v>16873383.86445925</v>
      </c>
      <c r="C21" s="402" t="e">
        <f>IF($B21-(#REF!*Forecasts_Sum_Odd!$B21)&lt;0,0,$B21-(#REF!*Forecasts_Sum_Odd!$B21))</f>
        <v>#REF!</v>
      </c>
      <c r="D21" s="402" t="e">
        <f>$B21+(#REF!*Forecasts_Sum_Odd!$B21)</f>
        <v>#REF!</v>
      </c>
      <c r="E21" s="254">
        <f>'Lag1_Exp_smooth_Total Run Odd'!B39</f>
        <v>27</v>
      </c>
      <c r="F21" s="238">
        <f>'Lag1_Exp_smooth_Total Run Odd'!H42</f>
        <v>0.73700801591718756</v>
      </c>
      <c r="G21" s="260">
        <f>'Lag1_Exp_smooth_Total Run Odd'!H46</f>
        <v>1.0113143584325008</v>
      </c>
      <c r="H21" s="12"/>
      <c r="I21" s="253" t="s">
        <v>208</v>
      </c>
      <c r="J21" s="26">
        <f t="shared" si="4"/>
        <v>16870000</v>
      </c>
      <c r="K21" s="400" t="e">
        <f t="shared" si="4"/>
        <v>#REF!</v>
      </c>
      <c r="L21" s="400" t="e">
        <f t="shared" si="4"/>
        <v>#REF!</v>
      </c>
      <c r="M21" s="26">
        <f t="shared" si="1"/>
        <v>27</v>
      </c>
      <c r="N21" s="220">
        <f t="shared" si="2"/>
        <v>0.73700801591718756</v>
      </c>
      <c r="O21" s="220">
        <f t="shared" si="3"/>
        <v>1.0113143584325008</v>
      </c>
    </row>
    <row r="22" spans="1:15" ht="9" customHeight="1">
      <c r="A22" s="12"/>
      <c r="B22" s="12"/>
      <c r="C22" s="12"/>
      <c r="D22" s="12"/>
      <c r="E22" s="12"/>
      <c r="F22" s="12"/>
      <c r="G22" s="12"/>
      <c r="H22" s="12"/>
      <c r="I22" s="12"/>
      <c r="J22" s="12"/>
      <c r="K22" s="12"/>
      <c r="L22" s="12"/>
      <c r="M22" s="12"/>
      <c r="N22" s="12"/>
      <c r="O22" s="12"/>
    </row>
    <row r="23" spans="1:15">
      <c r="A23" s="251" t="s">
        <v>205</v>
      </c>
      <c r="B23" s="252"/>
      <c r="C23" s="226"/>
      <c r="D23" s="226"/>
      <c r="E23" s="226"/>
      <c r="F23" s="226"/>
      <c r="G23" s="226"/>
      <c r="H23" s="12"/>
      <c r="I23" s="251" t="s">
        <v>205</v>
      </c>
      <c r="J23" s="252"/>
      <c r="K23" s="226"/>
      <c r="L23" s="226"/>
      <c r="M23" s="226"/>
      <c r="N23" s="226"/>
      <c r="O23" s="226"/>
    </row>
    <row r="24" spans="1:15" ht="18">
      <c r="A24" s="234"/>
      <c r="B24" s="227" t="s">
        <v>189</v>
      </c>
      <c r="C24" s="235" t="s">
        <v>191</v>
      </c>
      <c r="D24" s="235" t="s">
        <v>192</v>
      </c>
      <c r="E24" s="235" t="s">
        <v>118</v>
      </c>
      <c r="F24" s="235" t="s">
        <v>202</v>
      </c>
      <c r="G24" s="235" t="s">
        <v>76</v>
      </c>
      <c r="H24" s="12"/>
      <c r="I24" s="256"/>
      <c r="J24" s="235" t="s">
        <v>189</v>
      </c>
      <c r="K24" s="235" t="s">
        <v>191</v>
      </c>
      <c r="L24" s="235" t="s">
        <v>192</v>
      </c>
      <c r="M24" s="235" t="s">
        <v>118</v>
      </c>
      <c r="N24" s="235" t="s">
        <v>202</v>
      </c>
      <c r="O24" s="235" t="s">
        <v>76</v>
      </c>
    </row>
    <row r="25" spans="1:15">
      <c r="A25" s="13" t="s">
        <v>206</v>
      </c>
      <c r="B25" s="230" t="e">
        <f>#REF!</f>
        <v>#REF!</v>
      </c>
      <c r="C25" s="27" t="e">
        <f>IF($B25-(#REF!*Forecasts_Sum_Odd!$B25)&lt;0,0,$B25-(#REF!*Forecasts_Sum_Odd!$B25))</f>
        <v>#REF!</v>
      </c>
      <c r="D25" s="230" t="e">
        <f>$B25+(#REF!*Forecasts_Sum_Odd!$B25)</f>
        <v>#REF!</v>
      </c>
      <c r="E25" s="27" t="e">
        <f>#REF!</f>
        <v>#REF!</v>
      </c>
      <c r="F25" s="370" t="e">
        <f>#REF!</f>
        <v>#REF!</v>
      </c>
      <c r="G25" s="250" t="e">
        <f>#REF!</f>
        <v>#REF!</v>
      </c>
      <c r="H25" s="12"/>
      <c r="I25" s="13" t="s">
        <v>206</v>
      </c>
      <c r="J25" s="261" t="e">
        <f t="shared" ref="J25:L26" si="5">MROUND(B25,10000)</f>
        <v>#REF!</v>
      </c>
      <c r="K25" s="261" t="e">
        <f t="shared" si="5"/>
        <v>#REF!</v>
      </c>
      <c r="L25" s="261" t="e">
        <f t="shared" si="5"/>
        <v>#REF!</v>
      </c>
      <c r="M25" s="262" t="e">
        <f t="shared" ref="M25:O26" si="6">E25</f>
        <v>#REF!</v>
      </c>
      <c r="N25" s="263" t="e">
        <f t="shared" si="6"/>
        <v>#REF!</v>
      </c>
      <c r="O25" s="263" t="e">
        <f t="shared" si="6"/>
        <v>#REF!</v>
      </c>
    </row>
    <row r="26" spans="1:15">
      <c r="A26" s="231" t="s">
        <v>207</v>
      </c>
      <c r="B26" s="232" t="e">
        <f>#REF!</f>
        <v>#REF!</v>
      </c>
      <c r="C26" s="233" t="e">
        <f>IF($B26-(#REF!*Forecasts_Sum_Odd!$B26)&lt;0,0,$B26-(#REF!*Forecasts_Sum_Odd!$B26))</f>
        <v>#REF!</v>
      </c>
      <c r="D26" s="232" t="e">
        <f>$B26+(#REF!*Forecasts_Sum_Odd!$B26)</f>
        <v>#REF!</v>
      </c>
      <c r="E26" s="233" t="e">
        <f>#REF!</f>
        <v>#REF!</v>
      </c>
      <c r="F26" s="371" t="e">
        <f>#REF!</f>
        <v>#REF!</v>
      </c>
      <c r="G26" s="237" t="e">
        <f>#REF!</f>
        <v>#REF!</v>
      </c>
      <c r="H26" s="12"/>
      <c r="I26" s="231" t="s">
        <v>207</v>
      </c>
      <c r="J26" s="232" t="e">
        <f t="shared" si="5"/>
        <v>#REF!</v>
      </c>
      <c r="K26" s="232" t="e">
        <f t="shared" si="5"/>
        <v>#REF!</v>
      </c>
      <c r="L26" s="232" t="e">
        <f t="shared" si="5"/>
        <v>#REF!</v>
      </c>
      <c r="M26" s="233" t="e">
        <f t="shared" si="6"/>
        <v>#REF!</v>
      </c>
      <c r="N26" s="236" t="e">
        <f t="shared" si="6"/>
        <v>#REF!</v>
      </c>
      <c r="O26" s="236" t="e">
        <f t="shared" si="6"/>
        <v>#REF!</v>
      </c>
    </row>
    <row r="27" spans="1:15">
      <c r="A27" s="12"/>
      <c r="B27" s="12"/>
      <c r="C27" s="12"/>
      <c r="D27" s="12"/>
      <c r="E27" s="12"/>
      <c r="F27" s="12"/>
      <c r="G27" s="12"/>
      <c r="H27" s="12"/>
      <c r="I27" s="12"/>
      <c r="J27" s="12"/>
      <c r="K27" s="12"/>
      <c r="L27" s="12"/>
      <c r="M27" s="12"/>
      <c r="N27" s="12"/>
      <c r="O27" s="12"/>
    </row>
    <row r="28" spans="1:15">
      <c r="A28" s="12" t="s">
        <v>215</v>
      </c>
      <c r="B28" s="12"/>
      <c r="C28" s="12"/>
      <c r="D28" s="12"/>
      <c r="E28" s="12"/>
      <c r="F28" s="12"/>
      <c r="G28" s="12"/>
      <c r="H28" s="12"/>
      <c r="I28" s="12" t="s">
        <v>215</v>
      </c>
      <c r="J28" s="12"/>
      <c r="K28" s="12"/>
      <c r="L28" s="12"/>
      <c r="M28" s="12"/>
      <c r="N28" s="12"/>
      <c r="O28" s="12"/>
    </row>
    <row r="29" spans="1:15">
      <c r="A29" s="12"/>
      <c r="B29" s="12"/>
      <c r="C29" s="12"/>
      <c r="D29" s="12"/>
      <c r="E29" s="12"/>
      <c r="F29" s="12"/>
      <c r="G29" s="12"/>
      <c r="H29" s="12"/>
      <c r="I29" s="12"/>
      <c r="J29" s="12"/>
      <c r="K29" s="12"/>
      <c r="L29" s="12"/>
      <c r="M29" s="12"/>
      <c r="N29" s="12"/>
      <c r="O29" s="12"/>
    </row>
    <row r="30" spans="1:15">
      <c r="A30" s="12"/>
      <c r="B30" s="12"/>
      <c r="C30" s="285" t="e">
        <f>B21-#REF!</f>
        <v>#REF!</v>
      </c>
      <c r="D30" s="285" t="e">
        <f>B21+#REF!</f>
        <v>#REF!</v>
      </c>
      <c r="E30" s="12"/>
      <c r="F30" s="12"/>
      <c r="G30" s="12"/>
      <c r="H30" s="12"/>
      <c r="I30" s="12"/>
      <c r="J30" s="12"/>
      <c r="K30" s="12"/>
      <c r="L30" s="12"/>
      <c r="M30" s="12"/>
      <c r="N30" s="12"/>
      <c r="O30" s="12"/>
    </row>
    <row r="31" spans="1:15">
      <c r="A31" s="12"/>
      <c r="B31" s="12"/>
      <c r="C31" s="12"/>
      <c r="D31" s="12"/>
      <c r="E31" s="12"/>
      <c r="F31" s="12"/>
      <c r="G31" s="12"/>
      <c r="H31" s="12"/>
      <c r="I31" s="12"/>
      <c r="J31" s="12"/>
      <c r="K31" s="12"/>
      <c r="L31" s="12"/>
      <c r="M31" s="12"/>
      <c r="N31" s="12"/>
      <c r="O31" s="12"/>
    </row>
    <row r="32" spans="1:15">
      <c r="A32" s="12"/>
      <c r="B32" s="12"/>
      <c r="C32" s="12"/>
      <c r="D32" s="12"/>
      <c r="E32" s="12"/>
      <c r="F32" s="12"/>
      <c r="G32" s="12"/>
      <c r="H32" s="12"/>
      <c r="I32" s="12"/>
      <c r="J32" s="12"/>
      <c r="K32" s="12"/>
      <c r="L32" s="12"/>
      <c r="M32" s="12"/>
      <c r="N32" s="12"/>
      <c r="O32" s="12"/>
    </row>
    <row r="33" spans="1:15">
      <c r="A33" s="12"/>
      <c r="B33" s="12"/>
      <c r="C33" s="12"/>
      <c r="D33" s="12"/>
      <c r="E33" s="12"/>
      <c r="F33" s="12"/>
      <c r="G33" s="12"/>
      <c r="H33" s="12"/>
      <c r="I33" s="12"/>
      <c r="J33" s="12"/>
      <c r="K33" s="12"/>
      <c r="L33" s="12"/>
      <c r="M33" s="12"/>
      <c r="N33" s="12"/>
      <c r="O33" s="12"/>
    </row>
    <row r="34" spans="1:15">
      <c r="A34" s="12"/>
      <c r="B34" s="12"/>
      <c r="C34" s="12"/>
      <c r="D34" s="12"/>
      <c r="E34" s="12"/>
      <c r="F34" s="12"/>
      <c r="G34" s="12"/>
      <c r="H34" s="12"/>
      <c r="I34" s="12"/>
      <c r="J34" s="12"/>
      <c r="K34" s="12"/>
      <c r="L34" s="12"/>
      <c r="M34" s="12"/>
      <c r="N34" s="12"/>
      <c r="O34" s="12"/>
    </row>
    <row r="35" spans="1:15">
      <c r="A35" s="12"/>
      <c r="B35" s="12"/>
      <c r="C35" s="12"/>
      <c r="D35" s="12"/>
      <c r="E35" s="12"/>
      <c r="F35" s="12"/>
      <c r="G35" s="12"/>
      <c r="H35" s="12"/>
      <c r="I35" s="12"/>
      <c r="J35" s="12"/>
      <c r="K35" s="12"/>
      <c r="L35" s="12"/>
      <c r="M35" s="12"/>
      <c r="N35" s="12"/>
      <c r="O35" s="12"/>
    </row>
    <row r="36" spans="1:15">
      <c r="A36" s="12"/>
      <c r="B36" s="12"/>
      <c r="C36" s="12"/>
      <c r="D36" s="12"/>
      <c r="E36" s="12"/>
      <c r="F36" s="12"/>
      <c r="G36" s="12"/>
      <c r="H36" s="12"/>
      <c r="I36" s="12"/>
      <c r="J36" s="12"/>
      <c r="K36" s="12"/>
      <c r="L36" s="12"/>
      <c r="M36" s="12"/>
      <c r="N36" s="12"/>
      <c r="O36" s="12"/>
    </row>
    <row r="37" spans="1:15">
      <c r="A37" s="12"/>
      <c r="B37" s="12"/>
      <c r="C37" s="12"/>
      <c r="D37" s="12"/>
      <c r="E37" s="12"/>
      <c r="F37" s="12"/>
      <c r="G37" s="12"/>
      <c r="H37" s="12"/>
      <c r="I37" s="12"/>
      <c r="J37" s="12"/>
      <c r="K37" s="12"/>
      <c r="L37" s="12"/>
      <c r="M37" s="12"/>
      <c r="N37" s="12"/>
      <c r="O37" s="12"/>
    </row>
    <row r="38" spans="1:15">
      <c r="A38" s="12"/>
      <c r="B38" s="12"/>
      <c r="C38" s="12"/>
      <c r="D38" s="12"/>
      <c r="E38" s="12"/>
      <c r="F38" s="12"/>
      <c r="G38" s="12"/>
      <c r="H38" s="12"/>
      <c r="I38" s="12"/>
      <c r="J38" s="12"/>
      <c r="K38" s="12"/>
      <c r="L38" s="12"/>
      <c r="M38" s="12"/>
      <c r="N38" s="12"/>
      <c r="O38" s="12"/>
    </row>
    <row r="39" spans="1:15">
      <c r="A39" s="12"/>
      <c r="B39" s="12"/>
      <c r="C39" s="12"/>
      <c r="D39" s="12"/>
      <c r="E39" s="12"/>
      <c r="F39" s="12"/>
      <c r="G39" s="12"/>
      <c r="H39" s="12"/>
      <c r="I39" s="12"/>
      <c r="J39" s="12"/>
      <c r="K39" s="12"/>
      <c r="L39" s="12"/>
      <c r="M39" s="12"/>
      <c r="N39" s="12"/>
      <c r="O39" s="12"/>
    </row>
    <row r="40" spans="1:15">
      <c r="A40" s="12"/>
      <c r="B40" s="12"/>
      <c r="C40" s="12"/>
      <c r="D40" s="12"/>
      <c r="E40" s="12"/>
      <c r="F40" s="12"/>
      <c r="G40" s="12"/>
      <c r="H40" s="12"/>
      <c r="I40" s="12"/>
      <c r="J40" s="12"/>
      <c r="K40" s="12"/>
      <c r="L40" s="12"/>
      <c r="M40" s="12"/>
      <c r="N40" s="12"/>
      <c r="O40" s="12"/>
    </row>
    <row r="41" spans="1:15">
      <c r="A41" s="12"/>
      <c r="B41" s="12"/>
      <c r="C41" s="12"/>
      <c r="D41" s="12"/>
      <c r="E41" s="12"/>
      <c r="F41" s="12"/>
      <c r="G41" s="12"/>
      <c r="H41" s="12"/>
      <c r="I41" s="12"/>
      <c r="J41" s="12"/>
      <c r="K41" s="12"/>
      <c r="L41" s="12"/>
      <c r="M41" s="12"/>
      <c r="N41" s="12"/>
      <c r="O41" s="12"/>
    </row>
    <row r="42" spans="1:15">
      <c r="A42" s="12"/>
      <c r="B42" s="12"/>
      <c r="C42" s="12"/>
      <c r="D42" s="12"/>
      <c r="E42" s="12"/>
      <c r="F42" s="12"/>
      <c r="G42" s="12"/>
      <c r="H42" s="12"/>
      <c r="I42" s="12"/>
      <c r="J42" s="12"/>
      <c r="K42" s="12"/>
      <c r="L42" s="12"/>
      <c r="M42" s="12"/>
      <c r="N42" s="12"/>
      <c r="O42" s="12"/>
    </row>
    <row r="43" spans="1:15">
      <c r="A43" s="12"/>
      <c r="B43" s="12"/>
      <c r="C43" s="12"/>
      <c r="D43" s="12"/>
      <c r="E43" s="12"/>
      <c r="F43" s="12"/>
      <c r="G43" s="12"/>
      <c r="H43" s="12"/>
      <c r="I43" s="12"/>
      <c r="J43" s="12"/>
      <c r="K43" s="12"/>
      <c r="L43" s="12"/>
      <c r="M43" s="12"/>
      <c r="N43" s="12"/>
      <c r="O43" s="12"/>
    </row>
    <row r="44" spans="1:15">
      <c r="A44" s="12"/>
      <c r="B44" s="12"/>
      <c r="C44" s="12"/>
      <c r="D44" s="12"/>
      <c r="E44" s="12"/>
      <c r="F44" s="12"/>
      <c r="G44" s="12"/>
      <c r="H44" s="12"/>
      <c r="I44" s="12"/>
      <c r="J44" s="12"/>
      <c r="K44" s="12"/>
      <c r="L44" s="12"/>
      <c r="M44" s="12"/>
      <c r="N44" s="12"/>
      <c r="O44" s="12"/>
    </row>
    <row r="45" spans="1:15">
      <c r="A45" s="12"/>
      <c r="B45" s="12"/>
      <c r="C45" s="12"/>
      <c r="D45" s="12"/>
      <c r="E45" s="12"/>
      <c r="F45" s="12"/>
      <c r="G45" s="12"/>
      <c r="H45" s="12"/>
      <c r="I45" s="12"/>
      <c r="J45" s="12"/>
      <c r="K45" s="12"/>
      <c r="L45" s="12"/>
      <c r="M45" s="12"/>
      <c r="N45" s="12"/>
      <c r="O45" s="12"/>
    </row>
    <row r="46" spans="1:15">
      <c r="A46" s="12"/>
      <c r="B46" s="12"/>
      <c r="C46" s="12"/>
      <c r="D46" s="12"/>
      <c r="E46" s="12"/>
      <c r="F46" s="12"/>
      <c r="G46" s="12"/>
      <c r="H46" s="12"/>
      <c r="I46" s="12"/>
      <c r="J46" s="12"/>
      <c r="K46" s="12"/>
      <c r="L46" s="12"/>
      <c r="M46" s="12"/>
      <c r="N46" s="12"/>
      <c r="O46" s="12"/>
    </row>
    <row r="47" spans="1:15">
      <c r="A47" s="12"/>
      <c r="B47" s="12"/>
      <c r="C47" s="12"/>
      <c r="D47" s="12"/>
      <c r="E47" s="12"/>
      <c r="F47" s="12"/>
      <c r="G47" s="12"/>
      <c r="H47" s="12"/>
      <c r="I47" s="12"/>
      <c r="J47" s="12"/>
      <c r="K47" s="12"/>
      <c r="L47" s="12"/>
      <c r="M47" s="12"/>
      <c r="N47" s="12"/>
      <c r="O47" s="12"/>
    </row>
    <row r="48" spans="1:15">
      <c r="A48" s="12"/>
      <c r="B48" s="12"/>
      <c r="C48" s="12"/>
      <c r="D48" s="12"/>
      <c r="E48" s="12"/>
      <c r="F48" s="12"/>
      <c r="G48" s="12"/>
      <c r="H48" s="12"/>
      <c r="I48" s="12"/>
      <c r="J48" s="12"/>
      <c r="K48" s="12"/>
      <c r="L48" s="12"/>
      <c r="M48" s="12"/>
      <c r="N48" s="12"/>
      <c r="O48" s="12"/>
    </row>
    <row r="49" spans="1:15">
      <c r="A49" s="12"/>
      <c r="B49" s="12"/>
      <c r="C49" s="12"/>
      <c r="D49" s="12"/>
      <c r="E49" s="12"/>
      <c r="F49" s="12"/>
      <c r="G49" s="12"/>
      <c r="H49" s="12"/>
      <c r="I49" s="12"/>
      <c r="J49" s="12"/>
      <c r="K49" s="12"/>
      <c r="L49" s="12"/>
      <c r="M49" s="12"/>
      <c r="N49" s="12"/>
      <c r="O49" s="12"/>
    </row>
    <row r="50" spans="1:15">
      <c r="A50" s="12"/>
      <c r="B50" s="12"/>
      <c r="C50" s="12"/>
      <c r="D50" s="12"/>
      <c r="E50" s="12"/>
      <c r="F50" s="12"/>
      <c r="G50" s="12"/>
      <c r="H50" s="12"/>
      <c r="I50" s="12"/>
      <c r="J50" s="12"/>
      <c r="K50" s="12"/>
      <c r="L50" s="12"/>
      <c r="M50" s="12"/>
      <c r="N50" s="12"/>
      <c r="O50" s="12"/>
    </row>
    <row r="51" spans="1:15">
      <c r="A51" s="12"/>
      <c r="B51" s="12"/>
      <c r="C51" s="12"/>
      <c r="D51" s="12"/>
      <c r="E51" s="12"/>
      <c r="F51" s="12"/>
      <c r="G51" s="12"/>
      <c r="H51" s="12"/>
      <c r="I51" s="12"/>
      <c r="J51" s="12"/>
      <c r="K51" s="12"/>
      <c r="L51" s="12"/>
      <c r="M51" s="12"/>
      <c r="N51" s="12"/>
      <c r="O51" s="12"/>
    </row>
    <row r="52" spans="1:15">
      <c r="A52" s="12"/>
      <c r="B52" s="12"/>
      <c r="C52" s="12"/>
      <c r="D52" s="12"/>
      <c r="E52" s="12"/>
      <c r="F52" s="12"/>
      <c r="G52" s="12"/>
      <c r="H52" s="12"/>
      <c r="I52" s="12"/>
      <c r="J52" s="12"/>
      <c r="K52" s="12"/>
      <c r="L52" s="12"/>
      <c r="M52" s="12"/>
      <c r="N52" s="12"/>
      <c r="O52" s="12"/>
    </row>
  </sheetData>
  <mergeCells count="2">
    <mergeCell ref="B7:D7"/>
    <mergeCell ref="J7:L7"/>
  </mergeCells>
  <printOptions horizontalCentered="1"/>
  <pageMargins left="1" right="1" top="1" bottom="1" header="0.3" footer="0.3"/>
  <pageSetup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rgb="FF00B050"/>
    <pageSetUpPr fitToPage="1"/>
  </sheetPr>
  <dimension ref="A1:O72"/>
  <sheetViews>
    <sheetView zoomScale="75" zoomScaleNormal="75" workbookViewId="0">
      <pane ySplit="7" topLeftCell="A8" activePane="bottomLeft" state="frozen"/>
      <selection pane="bottomLeft" activeCell="A8" sqref="A8"/>
    </sheetView>
  </sheetViews>
  <sheetFormatPr baseColWidth="10" defaultColWidth="8.85546875" defaultRowHeight="16"/>
  <cols>
    <col min="1" max="1" width="8.85546875" style="34"/>
    <col min="2" max="2" width="14.7109375" style="34" customWidth="1"/>
    <col min="3" max="3" width="10.7109375" style="34" customWidth="1"/>
    <col min="4" max="4" width="11.28515625" style="34" customWidth="1"/>
    <col min="5" max="5" width="15.42578125" style="34" customWidth="1"/>
    <col min="6" max="6" width="19.140625" style="34" customWidth="1"/>
    <col min="7" max="7" width="14.85546875" style="34" customWidth="1"/>
    <col min="8" max="8" width="11.42578125" style="34" customWidth="1"/>
    <col min="9" max="9" width="13" style="34" customWidth="1"/>
    <col min="10" max="16384" width="8.85546875" style="34"/>
  </cols>
  <sheetData>
    <row r="1" spans="1:15">
      <c r="A1" s="33" t="str">
        <f ca="1">CELL("filename",A1)</f>
        <v>/Users/janohlberger/Work/UW/Thresholds/Data/Rich/[2018_PWS_Wild_Pink_forecast_DRAFT.xlsm]Lag1_Exp_smooth_Total Run Odd</v>
      </c>
    </row>
    <row r="2" spans="1:15" ht="17" thickBot="1"/>
    <row r="3" spans="1:15">
      <c r="A3" s="35" t="s">
        <v>122</v>
      </c>
      <c r="B3" s="35" t="s">
        <v>152</v>
      </c>
      <c r="K3" s="48"/>
      <c r="L3" s="182"/>
      <c r="M3" s="182"/>
      <c r="N3" s="183" t="s">
        <v>160</v>
      </c>
      <c r="O3" s="184">
        <v>0.62421964200490732</v>
      </c>
    </row>
    <row r="4" spans="1:15" ht="17" thickBot="1">
      <c r="A4" s="35"/>
      <c r="B4" s="35" t="s">
        <v>153</v>
      </c>
      <c r="K4" s="185"/>
      <c r="L4" s="186"/>
      <c r="M4" s="186"/>
      <c r="N4" s="187" t="s">
        <v>159</v>
      </c>
      <c r="O4" s="241">
        <f>H42</f>
        <v>0.73700801591718756</v>
      </c>
    </row>
    <row r="5" spans="1:15">
      <c r="A5" s="45"/>
      <c r="B5" s="45"/>
    </row>
    <row r="6" spans="1:15" ht="54.75" customHeight="1">
      <c r="A6" s="38" t="s">
        <v>3</v>
      </c>
      <c r="B6" s="189" t="s">
        <v>135</v>
      </c>
      <c r="C6" s="171" t="s">
        <v>130</v>
      </c>
      <c r="D6" s="171" t="s">
        <v>154</v>
      </c>
      <c r="E6" s="171" t="s">
        <v>131</v>
      </c>
      <c r="F6" s="171"/>
      <c r="G6" s="170" t="s">
        <v>155</v>
      </c>
      <c r="H6" s="169" t="s">
        <v>132</v>
      </c>
    </row>
    <row r="7" spans="1:15">
      <c r="A7" s="43" t="s">
        <v>7</v>
      </c>
      <c r="B7" s="44" t="s">
        <v>134</v>
      </c>
      <c r="C7" s="174"/>
      <c r="D7" s="168"/>
      <c r="E7" s="45"/>
      <c r="F7" s="45"/>
      <c r="G7" s="45"/>
      <c r="H7" s="45"/>
    </row>
    <row r="8" spans="1:15">
      <c r="A8" s="39">
        <v>1961</v>
      </c>
      <c r="B8" s="167">
        <f>VLOOKUP($A8,Database!$A$74:$J$137,10)</f>
        <v>4497198</v>
      </c>
      <c r="C8" s="155"/>
      <c r="D8" s="155"/>
      <c r="E8" s="155"/>
      <c r="F8" s="155"/>
      <c r="H8" s="41"/>
    </row>
    <row r="9" spans="1:15">
      <c r="A9" s="242">
        <f>A8+2</f>
        <v>1963</v>
      </c>
      <c r="B9" s="167">
        <f>VLOOKUP($A9,Database!$A$74:$J$137,10)</f>
        <v>6651118</v>
      </c>
      <c r="C9" s="144">
        <f>$B8</f>
        <v>4497198</v>
      </c>
      <c r="D9" s="54">
        <f>C9-B9</f>
        <v>-2153920</v>
      </c>
      <c r="E9" s="52">
        <f>ABS(C9-$B9)</f>
        <v>2153920</v>
      </c>
      <c r="F9" s="383">
        <f>(C9-B9)/B9</f>
        <v>-0.3238432997279555</v>
      </c>
      <c r="G9" s="55"/>
      <c r="H9" s="55"/>
    </row>
    <row r="10" spans="1:15">
      <c r="A10" s="242">
        <f t="shared" ref="A10:A33" si="0">A9+2</f>
        <v>1965</v>
      </c>
      <c r="B10" s="167">
        <f>VLOOKUP($A10,Database!$A$74:$J$137,10)</f>
        <v>3436427</v>
      </c>
      <c r="C10" s="52">
        <f t="shared" ref="C10:C32" si="1">$O$3*$B9+(1-$O$3)*$C9</f>
        <v>5841717.1713072099</v>
      </c>
      <c r="D10" s="54">
        <f>C10-B10</f>
        <v>2405290.1713072099</v>
      </c>
      <c r="E10" s="52">
        <f t="shared" ref="E10:E32" si="2">ABS(C10-$B10)</f>
        <v>2405290.1713072099</v>
      </c>
      <c r="F10" s="383">
        <f t="shared" ref="F10:F32" si="3">(C10-B10)/B10</f>
        <v>0.69993925996600825</v>
      </c>
      <c r="G10" s="55">
        <f>($C10-$B10)/$B10</f>
        <v>0.69993925996600825</v>
      </c>
      <c r="H10" s="55">
        <f t="shared" ref="H10:H34" si="4">ABS($C10-$B10)/$B10</f>
        <v>0.69993925996600825</v>
      </c>
    </row>
    <row r="11" spans="1:15">
      <c r="A11" s="242">
        <f t="shared" si="0"/>
        <v>1967</v>
      </c>
      <c r="B11" s="167">
        <f>VLOOKUP($A11,Database!$A$74:$J$137,10)</f>
        <v>3468600</v>
      </c>
      <c r="C11" s="52">
        <f t="shared" si="1"/>
        <v>4340287.8016559016</v>
      </c>
      <c r="D11" s="54">
        <f t="shared" ref="D11:D32" si="5">C11-B11</f>
        <v>871687.8016559016</v>
      </c>
      <c r="E11" s="52">
        <f t="shared" si="2"/>
        <v>871687.8016559016</v>
      </c>
      <c r="F11" s="383">
        <f t="shared" si="3"/>
        <v>0.25130825164501575</v>
      </c>
      <c r="G11" s="55">
        <f t="shared" ref="G11:G32" si="6">(C11-B11)/B11</f>
        <v>0.25130825164501575</v>
      </c>
      <c r="H11" s="55">
        <f t="shared" si="4"/>
        <v>0.25130825164501575</v>
      </c>
    </row>
    <row r="12" spans="1:15">
      <c r="A12" s="242">
        <f t="shared" si="0"/>
        <v>1969</v>
      </c>
      <c r="B12" s="167">
        <f>VLOOKUP($A12,Database!$A$74:$J$137,10)</f>
        <v>5233149</v>
      </c>
      <c r="C12" s="52">
        <f t="shared" si="1"/>
        <v>3796163.1541662095</v>
      </c>
      <c r="D12" s="54">
        <f t="shared" si="5"/>
        <v>-1436985.8458337905</v>
      </c>
      <c r="E12" s="52">
        <f t="shared" si="2"/>
        <v>1436985.8458337905</v>
      </c>
      <c r="F12" s="383">
        <f t="shared" si="3"/>
        <v>-0.27459295461180078</v>
      </c>
      <c r="G12" s="55">
        <f t="shared" si="6"/>
        <v>-0.27459295461180078</v>
      </c>
      <c r="H12" s="55">
        <f t="shared" si="4"/>
        <v>0.27459295461180078</v>
      </c>
    </row>
    <row r="13" spans="1:15">
      <c r="A13" s="242">
        <f t="shared" si="0"/>
        <v>1971</v>
      </c>
      <c r="B13" s="167">
        <f>VLOOKUP($A13,Database!$A$74:$J$137,10)</f>
        <v>8423514</v>
      </c>
      <c r="C13" s="52">
        <f t="shared" si="1"/>
        <v>4693157.9444186967</v>
      </c>
      <c r="D13" s="54">
        <f t="shared" si="5"/>
        <v>-3730356.0555813033</v>
      </c>
      <c r="E13" s="52">
        <f t="shared" si="2"/>
        <v>3730356.0555813033</v>
      </c>
      <c r="F13" s="383">
        <f t="shared" si="3"/>
        <v>-0.44285034198094803</v>
      </c>
      <c r="G13" s="55">
        <f t="shared" si="6"/>
        <v>-0.44285034198094803</v>
      </c>
      <c r="H13" s="55">
        <f t="shared" si="4"/>
        <v>0.44285034198094803</v>
      </c>
    </row>
    <row r="14" spans="1:15">
      <c r="A14" s="242">
        <f t="shared" si="0"/>
        <v>1973</v>
      </c>
      <c r="B14" s="167">
        <f>VLOOKUP($A14,Database!$A$74:$J$137,10)</f>
        <v>8535974</v>
      </c>
      <c r="C14" s="52">
        <f t="shared" si="1"/>
        <v>7021719.4659844963</v>
      </c>
      <c r="D14" s="54">
        <f t="shared" si="5"/>
        <v>-1514254.5340155037</v>
      </c>
      <c r="E14" s="52">
        <f t="shared" si="2"/>
        <v>1514254.5340155037</v>
      </c>
      <c r="F14" s="383">
        <f t="shared" si="3"/>
        <v>-0.17739680720858611</v>
      </c>
      <c r="G14" s="55">
        <f t="shared" si="6"/>
        <v>-0.17739680720858611</v>
      </c>
      <c r="H14" s="55">
        <f t="shared" si="4"/>
        <v>0.17739680720858611</v>
      </c>
    </row>
    <row r="15" spans="1:15">
      <c r="A15" s="242">
        <f t="shared" si="0"/>
        <v>1975</v>
      </c>
      <c r="B15" s="167">
        <f>VLOOKUP($A15,Database!$A$74:$J$137,10)</f>
        <v>3322438</v>
      </c>
      <c r="C15" s="52">
        <f t="shared" si="1"/>
        <v>7966946.8891119622</v>
      </c>
      <c r="D15" s="54">
        <f t="shared" si="5"/>
        <v>4644508.8891119622</v>
      </c>
      <c r="E15" s="52">
        <f t="shared" si="2"/>
        <v>4644508.8891119622</v>
      </c>
      <c r="F15" s="383">
        <f t="shared" si="3"/>
        <v>1.3979219143026784</v>
      </c>
      <c r="G15" s="55">
        <f t="shared" si="6"/>
        <v>1.3979219143026784</v>
      </c>
      <c r="H15" s="55">
        <f t="shared" si="4"/>
        <v>1.3979219143026784</v>
      </c>
    </row>
    <row r="16" spans="1:15">
      <c r="A16" s="242">
        <f t="shared" si="0"/>
        <v>1977</v>
      </c>
      <c r="B16" s="167">
        <f>VLOOKUP($A16,Database!$A$74:$J$137,10)</f>
        <v>5816401</v>
      </c>
      <c r="C16" s="52">
        <f t="shared" si="1"/>
        <v>5067753.213061884</v>
      </c>
      <c r="D16" s="54">
        <f t="shared" si="5"/>
        <v>-748647.78693811595</v>
      </c>
      <c r="E16" s="52">
        <f t="shared" si="2"/>
        <v>748647.78693811595</v>
      </c>
      <c r="F16" s="383">
        <f t="shared" si="3"/>
        <v>-0.1287132346855239</v>
      </c>
      <c r="G16" s="55">
        <f t="shared" si="6"/>
        <v>-0.1287132346855239</v>
      </c>
      <c r="H16" s="55">
        <f t="shared" si="4"/>
        <v>0.1287132346855239</v>
      </c>
    </row>
    <row r="17" spans="1:8">
      <c r="A17" s="242">
        <f t="shared" si="0"/>
        <v>1979</v>
      </c>
      <c r="B17" s="167">
        <f>VLOOKUP($A17,Database!$A$74:$J$137,10)</f>
        <v>17335503</v>
      </c>
      <c r="C17" s="52">
        <f t="shared" si="1"/>
        <v>5535073.8666121606</v>
      </c>
      <c r="D17" s="54">
        <f t="shared" si="5"/>
        <v>-11800429.133387839</v>
      </c>
      <c r="E17" s="52">
        <f t="shared" si="2"/>
        <v>11800429.133387839</v>
      </c>
      <c r="F17" s="383">
        <f t="shared" si="3"/>
        <v>-0.68070878205194507</v>
      </c>
      <c r="G17" s="55">
        <f t="shared" si="6"/>
        <v>-0.68070878205194507</v>
      </c>
      <c r="H17" s="55">
        <f t="shared" si="4"/>
        <v>0.68070878205194507</v>
      </c>
    </row>
    <row r="18" spans="1:8">
      <c r="A18" s="242">
        <f t="shared" si="0"/>
        <v>1981</v>
      </c>
      <c r="B18" s="167">
        <f>VLOOKUP($A18,Database!$A$74:$J$137,10)</f>
        <v>19568866</v>
      </c>
      <c r="C18" s="52">
        <f t="shared" si="1"/>
        <v>12901133.515759796</v>
      </c>
      <c r="D18" s="54">
        <f t="shared" si="5"/>
        <v>-6667732.4842402041</v>
      </c>
      <c r="E18" s="52">
        <f t="shared" si="2"/>
        <v>6667732.4842402041</v>
      </c>
      <c r="F18" s="383">
        <f t="shared" si="3"/>
        <v>-0.34073167470410415</v>
      </c>
      <c r="G18" s="55">
        <f t="shared" si="6"/>
        <v>-0.34073167470410415</v>
      </c>
      <c r="H18" s="55">
        <f t="shared" si="4"/>
        <v>0.34073167470410415</v>
      </c>
    </row>
    <row r="19" spans="1:8">
      <c r="A19" s="242">
        <f t="shared" si="0"/>
        <v>1983</v>
      </c>
      <c r="B19" s="167">
        <f>VLOOKUP($A19,Database!$A$74:$J$137,10)</f>
        <v>11567348</v>
      </c>
      <c r="C19" s="52">
        <f t="shared" si="1"/>
        <v>17063263.100056708</v>
      </c>
      <c r="D19" s="54">
        <f t="shared" si="5"/>
        <v>5495915.1000567079</v>
      </c>
      <c r="E19" s="52">
        <f t="shared" si="2"/>
        <v>5495915.1000567079</v>
      </c>
      <c r="F19" s="383">
        <f t="shared" si="3"/>
        <v>0.47512317430552864</v>
      </c>
      <c r="G19" s="55">
        <f t="shared" si="6"/>
        <v>0.47512317430552864</v>
      </c>
      <c r="H19" s="55">
        <f t="shared" si="4"/>
        <v>0.47512317430552864</v>
      </c>
    </row>
    <row r="20" spans="1:8">
      <c r="A20" s="242">
        <f t="shared" si="0"/>
        <v>1985</v>
      </c>
      <c r="B20" s="167">
        <f>VLOOKUP($A20,Database!$A$74:$J$137,10)</f>
        <v>19938105</v>
      </c>
      <c r="C20" s="52">
        <f t="shared" si="1"/>
        <v>13632604.943809945</v>
      </c>
      <c r="D20" s="54">
        <f t="shared" si="5"/>
        <v>-6305500.0561900549</v>
      </c>
      <c r="E20" s="52">
        <f t="shared" si="2"/>
        <v>6305500.0561900549</v>
      </c>
      <c r="F20" s="383">
        <f t="shared" si="3"/>
        <v>-0.31625372903744137</v>
      </c>
      <c r="G20" s="55">
        <f t="shared" si="6"/>
        <v>-0.31625372903744137</v>
      </c>
      <c r="H20" s="55">
        <f t="shared" si="4"/>
        <v>0.31625372903744137</v>
      </c>
    </row>
    <row r="21" spans="1:8">
      <c r="A21" s="242">
        <f t="shared" si="0"/>
        <v>1987</v>
      </c>
      <c r="B21" s="167">
        <f>VLOOKUP($A21,Database!$A$74:$J$137,10)</f>
        <v>13066944</v>
      </c>
      <c r="C21" s="52">
        <f t="shared" si="1"/>
        <v>17568621.931546822</v>
      </c>
      <c r="D21" s="54">
        <f t="shared" si="5"/>
        <v>4501677.9315468222</v>
      </c>
      <c r="E21" s="52">
        <f t="shared" si="2"/>
        <v>4501677.9315468222</v>
      </c>
      <c r="F21" s="383">
        <f t="shared" si="3"/>
        <v>0.34450885620592098</v>
      </c>
      <c r="G21" s="55">
        <f t="shared" si="6"/>
        <v>0.34450885620592098</v>
      </c>
      <c r="H21" s="55">
        <f t="shared" si="4"/>
        <v>0.34450885620592098</v>
      </c>
    </row>
    <row r="22" spans="1:8">
      <c r="A22" s="242">
        <f t="shared" si="0"/>
        <v>1989</v>
      </c>
      <c r="B22" s="167">
        <f>VLOOKUP($A22,Database!$A$74:$J$137,10)</f>
        <v>4743750</v>
      </c>
      <c r="C22" s="52">
        <f t="shared" si="1"/>
        <v>14758586.144695275</v>
      </c>
      <c r="D22" s="54">
        <f t="shared" si="5"/>
        <v>10014836.144695275</v>
      </c>
      <c r="E22" s="52">
        <f t="shared" si="2"/>
        <v>10014836.144695275</v>
      </c>
      <c r="F22" s="383">
        <f t="shared" si="3"/>
        <v>2.1111644046788456</v>
      </c>
      <c r="G22" s="55">
        <f t="shared" si="6"/>
        <v>2.1111644046788456</v>
      </c>
      <c r="H22" s="55">
        <f t="shared" si="4"/>
        <v>2.1111644046788456</v>
      </c>
    </row>
    <row r="23" spans="1:8">
      <c r="A23" s="242">
        <f t="shared" si="0"/>
        <v>1991</v>
      </c>
      <c r="B23" s="167">
        <f>VLOOKUP($A23,Database!$A$74:$J$137,10)</f>
        <v>7544776</v>
      </c>
      <c r="C23" s="52">
        <f t="shared" si="1"/>
        <v>8507128.7117157839</v>
      </c>
      <c r="D23" s="54">
        <f t="shared" si="5"/>
        <v>962352.71171578392</v>
      </c>
      <c r="E23" s="52">
        <f t="shared" si="2"/>
        <v>962352.71171578392</v>
      </c>
      <c r="F23" s="383">
        <f t="shared" si="3"/>
        <v>0.12755219130637993</v>
      </c>
      <c r="G23" s="55">
        <f t="shared" si="6"/>
        <v>0.12755219130637993</v>
      </c>
      <c r="H23" s="55">
        <f t="shared" si="4"/>
        <v>0.12755219130637993</v>
      </c>
    </row>
    <row r="24" spans="1:8">
      <c r="A24" s="242">
        <f t="shared" si="0"/>
        <v>1993</v>
      </c>
      <c r="B24" s="167">
        <f>VLOOKUP($A24,Database!$A$74:$J$137,10)</f>
        <v>1542942</v>
      </c>
      <c r="C24" s="52">
        <f t="shared" si="1"/>
        <v>7906409.2465261053</v>
      </c>
      <c r="D24" s="54">
        <f t="shared" si="5"/>
        <v>6363467.2465261053</v>
      </c>
      <c r="E24" s="52">
        <f t="shared" si="2"/>
        <v>6363467.2465261053</v>
      </c>
      <c r="F24" s="383">
        <f t="shared" si="3"/>
        <v>4.1242426782899848</v>
      </c>
      <c r="G24" s="55">
        <f t="shared" si="6"/>
        <v>4.1242426782899848</v>
      </c>
      <c r="H24" s="55">
        <f t="shared" si="4"/>
        <v>4.1242426782899848</v>
      </c>
    </row>
    <row r="25" spans="1:8">
      <c r="A25" s="242">
        <f t="shared" si="0"/>
        <v>1995</v>
      </c>
      <c r="B25" s="167">
        <f>VLOOKUP($A25,Database!$A$74:$J$137,10)</f>
        <v>3934208</v>
      </c>
      <c r="C25" s="52">
        <f t="shared" si="1"/>
        <v>3934207.9999896269</v>
      </c>
      <c r="D25" s="54">
        <f t="shared" si="5"/>
        <v>-1.03730708360672E-5</v>
      </c>
      <c r="E25" s="52">
        <f t="shared" si="2"/>
        <v>1.03730708360672E-5</v>
      </c>
      <c r="F25" s="383">
        <f t="shared" si="3"/>
        <v>-2.6366350828596759E-12</v>
      </c>
      <c r="G25" s="55">
        <f t="shared" si="6"/>
        <v>-2.6366350828596759E-12</v>
      </c>
      <c r="H25" s="55">
        <f t="shared" si="4"/>
        <v>2.6366350828596759E-12</v>
      </c>
    </row>
    <row r="26" spans="1:8">
      <c r="A26" s="242">
        <f t="shared" si="0"/>
        <v>1997</v>
      </c>
      <c r="B26" s="167">
        <f>VLOOKUP($A26,Database!$A$74:$J$137,10)</f>
        <v>2588682</v>
      </c>
      <c r="C26" s="52">
        <f t="shared" si="1"/>
        <v>3934207.9999961024</v>
      </c>
      <c r="D26" s="54">
        <f t="shared" si="5"/>
        <v>1345525.9999961024</v>
      </c>
      <c r="E26" s="52">
        <f t="shared" si="2"/>
        <v>1345525.9999961024</v>
      </c>
      <c r="F26" s="383">
        <f t="shared" si="3"/>
        <v>0.51977261015300547</v>
      </c>
      <c r="G26" s="55">
        <f t="shared" si="6"/>
        <v>0.51977261015300547</v>
      </c>
      <c r="H26" s="55">
        <f t="shared" si="4"/>
        <v>0.51977261015300547</v>
      </c>
    </row>
    <row r="27" spans="1:8">
      <c r="A27" s="242">
        <f t="shared" si="0"/>
        <v>1999</v>
      </c>
      <c r="B27" s="167">
        <f>VLOOKUP($A27,Database!$A$74:$J$137,10)</f>
        <v>9405198</v>
      </c>
      <c r="C27" s="52">
        <f t="shared" si="1"/>
        <v>3094304.2419702401</v>
      </c>
      <c r="D27" s="54">
        <f t="shared" si="5"/>
        <v>-6310893.7580297599</v>
      </c>
      <c r="E27" s="52">
        <f t="shared" si="2"/>
        <v>6310893.7580297599</v>
      </c>
      <c r="F27" s="383">
        <f t="shared" si="3"/>
        <v>-0.67100062731584809</v>
      </c>
      <c r="G27" s="55">
        <f t="shared" si="6"/>
        <v>-0.67100062731584809</v>
      </c>
      <c r="H27" s="55">
        <f t="shared" si="4"/>
        <v>0.67100062731584809</v>
      </c>
    </row>
    <row r="28" spans="1:8">
      <c r="A28" s="242">
        <f t="shared" si="0"/>
        <v>2001</v>
      </c>
      <c r="B28" s="167">
        <f>VLOOKUP($A28,Database!$A$74:$J$137,10)</f>
        <v>8854676.9808041956</v>
      </c>
      <c r="C28" s="52">
        <f t="shared" si="1"/>
        <v>7033688.0843385812</v>
      </c>
      <c r="D28" s="54">
        <f t="shared" si="5"/>
        <v>-1820988.8964656144</v>
      </c>
      <c r="E28" s="52">
        <f t="shared" si="2"/>
        <v>1820988.8964656144</v>
      </c>
      <c r="F28" s="383">
        <f t="shared" si="3"/>
        <v>-0.20565277541047347</v>
      </c>
      <c r="G28" s="55">
        <f t="shared" si="6"/>
        <v>-0.20565277541047347</v>
      </c>
      <c r="H28" s="55">
        <f t="shared" si="4"/>
        <v>0.20565277541047347</v>
      </c>
    </row>
    <row r="29" spans="1:8">
      <c r="A29" s="242">
        <f t="shared" si="0"/>
        <v>2003</v>
      </c>
      <c r="B29" s="167">
        <f>VLOOKUP($A29,Database!$A$74:$J$137,10)</f>
        <v>7344511.9398193061</v>
      </c>
      <c r="C29" s="52">
        <f t="shared" si="1"/>
        <v>8170385.1213852586</v>
      </c>
      <c r="D29" s="54">
        <f t="shared" si="5"/>
        <v>825873.18156595249</v>
      </c>
      <c r="E29" s="52">
        <f t="shared" si="2"/>
        <v>825873.18156595249</v>
      </c>
      <c r="F29" s="383">
        <f t="shared" si="3"/>
        <v>0.11244766001241889</v>
      </c>
      <c r="G29" s="55">
        <f t="shared" si="6"/>
        <v>0.11244766001241889</v>
      </c>
      <c r="H29" s="55">
        <f t="shared" si="4"/>
        <v>0.11244766001241889</v>
      </c>
    </row>
    <row r="30" spans="1:8">
      <c r="A30" s="242">
        <f t="shared" si="0"/>
        <v>2005</v>
      </c>
      <c r="B30" s="167">
        <f>VLOOKUP($A30,Database!$A$74:$J$137,10)</f>
        <v>17032487.685321052</v>
      </c>
      <c r="C30" s="52">
        <f>$O$3*$B29+(1-$O$3)*$C29</f>
        <v>7654858.8596467059</v>
      </c>
      <c r="D30" s="54">
        <f t="shared" si="5"/>
        <v>-9377628.8256743457</v>
      </c>
      <c r="E30" s="52">
        <f t="shared" si="2"/>
        <v>9377628.8256743457</v>
      </c>
      <c r="F30" s="383">
        <f t="shared" si="3"/>
        <v>-0.55057305773108989</v>
      </c>
      <c r="G30" s="55">
        <f t="shared" si="6"/>
        <v>-0.55057305773108989</v>
      </c>
      <c r="H30" s="55">
        <f t="shared" si="4"/>
        <v>0.55057305773108989</v>
      </c>
    </row>
    <row r="31" spans="1:8">
      <c r="A31" s="242">
        <f t="shared" si="0"/>
        <v>2007</v>
      </c>
      <c r="B31" s="167">
        <f>VLOOKUP($A31,Database!$A$74:$J$137,10)</f>
        <v>11526987.795003444</v>
      </c>
      <c r="C31" s="52">
        <f t="shared" si="1"/>
        <v>13508558.968064046</v>
      </c>
      <c r="D31" s="54">
        <f t="shared" si="5"/>
        <v>1981571.1730606016</v>
      </c>
      <c r="E31" s="52">
        <f t="shared" si="2"/>
        <v>1981571.1730606016</v>
      </c>
      <c r="F31" s="383">
        <f t="shared" si="3"/>
        <v>0.1719071112333046</v>
      </c>
      <c r="G31" s="55">
        <f t="shared" si="6"/>
        <v>0.1719071112333046</v>
      </c>
      <c r="H31" s="55">
        <f t="shared" si="4"/>
        <v>0.1719071112333046</v>
      </c>
    </row>
    <row r="32" spans="1:8">
      <c r="A32" s="242">
        <f t="shared" si="0"/>
        <v>2009</v>
      </c>
      <c r="B32" s="167">
        <f>VLOOKUP($A32,Database!$A$74:$J$137,10)</f>
        <v>2824330.6070667375</v>
      </c>
      <c r="C32" s="52">
        <f t="shared" si="1"/>
        <v>12271623.319808912</v>
      </c>
      <c r="D32" s="54">
        <f t="shared" si="5"/>
        <v>9447292.712742174</v>
      </c>
      <c r="E32" s="52">
        <f t="shared" si="2"/>
        <v>9447292.712742174</v>
      </c>
      <c r="F32" s="383">
        <f t="shared" si="3"/>
        <v>3.3449670123972632</v>
      </c>
      <c r="G32" s="55">
        <f t="shared" si="6"/>
        <v>3.3449670123972632</v>
      </c>
      <c r="H32" s="55">
        <f t="shared" si="4"/>
        <v>3.3449670123972632</v>
      </c>
    </row>
    <row r="33" spans="1:8">
      <c r="A33" s="242">
        <f t="shared" si="0"/>
        <v>2011</v>
      </c>
      <c r="B33" s="167">
        <f>VLOOKUP($A33,Database!$A$74:$J$137,10)</f>
        <v>9643099</v>
      </c>
      <c r="C33" s="62">
        <f>$O$3*$B32+(1-$O$3)*$C32</f>
        <v>6374437.6447454216</v>
      </c>
      <c r="D33" s="54">
        <f>C33-B33</f>
        <v>-3268661.3552545784</v>
      </c>
      <c r="E33" s="52">
        <f>ABS(C33-$B33)</f>
        <v>3268661.3552545784</v>
      </c>
      <c r="F33" s="383">
        <f>(C33-B33)/B33</f>
        <v>-0.33896378697912138</v>
      </c>
      <c r="G33" s="55">
        <f>(C33-B33)/B33</f>
        <v>-0.33896378697912138</v>
      </c>
      <c r="H33" s="55">
        <f t="shared" si="4"/>
        <v>0.33896378697912138</v>
      </c>
    </row>
    <row r="34" spans="1:8">
      <c r="A34" s="242">
        <v>2013</v>
      </c>
      <c r="B34" s="167">
        <f>VLOOKUP($A34,Database!$A$74:$J$137,10)</f>
        <v>21965453</v>
      </c>
      <c r="C34" s="62">
        <f>$O$3*$B33+(1-$O$3)*$C33</f>
        <v>8414800.2657577097</v>
      </c>
      <c r="D34" s="54">
        <f>C34-B34</f>
        <v>-13550652.73424229</v>
      </c>
      <c r="E34" s="52">
        <f>ABS(C34-$B34)</f>
        <v>13550652.73424229</v>
      </c>
      <c r="F34" s="383">
        <f>(C34-B34)/B34</f>
        <v>-0.61690750171381803</v>
      </c>
      <c r="G34" s="55">
        <f>(C34-B34)/B34</f>
        <v>-0.61690750171381803</v>
      </c>
      <c r="H34" s="55">
        <f t="shared" si="4"/>
        <v>0.61690750171381803</v>
      </c>
    </row>
    <row r="35" spans="1:8">
      <c r="A35" s="242">
        <v>2015</v>
      </c>
      <c r="B35" s="167"/>
      <c r="C35" s="62">
        <f>$O$3*$B34+(1-$O$3)*$C34</f>
        <v>16873383.86445925</v>
      </c>
      <c r="D35" s="54"/>
      <c r="E35" s="52"/>
      <c r="F35" s="383"/>
      <c r="G35" s="55"/>
      <c r="H35" s="55"/>
    </row>
    <row r="36" spans="1:8">
      <c r="A36" s="242"/>
      <c r="B36" s="167"/>
      <c r="C36" s="62"/>
      <c r="D36" s="54"/>
      <c r="E36" s="52"/>
      <c r="F36" s="383"/>
      <c r="G36" s="55"/>
      <c r="H36" s="55"/>
    </row>
    <row r="39" spans="1:8">
      <c r="A39" s="36" t="s">
        <v>121</v>
      </c>
      <c r="B39" s="179">
        <f>COUNT(B8:B38)</f>
        <v>27</v>
      </c>
      <c r="C39" s="179">
        <f>COUNT(C8:C38)</f>
        <v>27</v>
      </c>
      <c r="D39" s="179">
        <f>COUNT(D8:D38)</f>
        <v>26</v>
      </c>
      <c r="E39" s="179">
        <f>COUNT(E8:E38)</f>
        <v>26</v>
      </c>
      <c r="F39" s="179"/>
      <c r="G39" s="179">
        <f>COUNT(G8:G38)</f>
        <v>25</v>
      </c>
      <c r="H39" s="179">
        <f>COUNT(H8:H38)</f>
        <v>25</v>
      </c>
    </row>
    <row r="40" spans="1:8">
      <c r="A40" s="41" t="s">
        <v>46</v>
      </c>
      <c r="B40" s="177"/>
      <c r="C40" s="177">
        <f>VLOOKUP(Forecast_Year,A8:C38,3)</f>
        <v>16873383.86445925</v>
      </c>
      <c r="D40" s="177"/>
      <c r="E40" s="177"/>
      <c r="F40" s="177"/>
      <c r="G40" s="177"/>
      <c r="H40" s="177"/>
    </row>
    <row r="41" spans="1:8">
      <c r="A41" s="41" t="s">
        <v>158</v>
      </c>
      <c r="B41" s="155"/>
      <c r="C41" s="155"/>
      <c r="D41" s="155"/>
      <c r="E41" s="155"/>
      <c r="F41" s="155"/>
      <c r="G41" s="155"/>
      <c r="H41" s="155"/>
    </row>
    <row r="42" spans="1:8">
      <c r="A42" s="41" t="s">
        <v>56</v>
      </c>
      <c r="B42" s="177">
        <f t="shared" ref="B42:G42" si="7">AVERAGE(B8:B38)</f>
        <v>8881951.4077042509</v>
      </c>
      <c r="C42" s="177">
        <f t="shared" si="7"/>
        <v>8606008.2026144713</v>
      </c>
      <c r="D42" s="177">
        <f t="shared" si="7"/>
        <v>-762563.55391858378</v>
      </c>
      <c r="E42" s="177">
        <f t="shared" si="7"/>
        <v>4521025.0203786287</v>
      </c>
      <c r="F42" s="387">
        <f>AVERAGE(F5:F37)</f>
        <v>0.33125640582057925</v>
      </c>
      <c r="G42" s="337">
        <f t="shared" si="7"/>
        <v>0.35746039404252061</v>
      </c>
      <c r="H42" s="338">
        <f>AVERAGE(H8:H38)</f>
        <v>0.73700801591718756</v>
      </c>
    </row>
    <row r="43" spans="1:8">
      <c r="A43" s="41" t="s">
        <v>141</v>
      </c>
      <c r="B43" s="177">
        <f>MEDIAN(B8:B38)</f>
        <v>7544776</v>
      </c>
      <c r="C43" s="177">
        <f>MEDIAN(C8:C38)</f>
        <v>7654858.8596467059</v>
      </c>
      <c r="D43" s="177">
        <f>MEDIAN(D8:D38)</f>
        <v>-374323.89347424451</v>
      </c>
      <c r="E43" s="177">
        <f>MEDIAN(E8:E38)</f>
        <v>3499508.7054179409</v>
      </c>
      <c r="F43" s="386">
        <f>MEDIAN(F5:F37)</f>
        <v>-6.4356617344080269E-2</v>
      </c>
      <c r="G43" s="337">
        <f>MEDIAN(G8:G38)</f>
        <v>-2.6366350828596759E-12</v>
      </c>
      <c r="H43" s="337">
        <f>MEDIAN(H8:H38)</f>
        <v>0.34450885620592098</v>
      </c>
    </row>
    <row r="44" spans="1:8">
      <c r="A44" s="41" t="s">
        <v>156</v>
      </c>
      <c r="B44" s="177">
        <f t="shared" ref="B44:G44" si="8">MIN(B8:B38)</f>
        <v>1542942</v>
      </c>
      <c r="C44" s="177">
        <f t="shared" si="8"/>
        <v>3094304.2419702401</v>
      </c>
      <c r="D44" s="177">
        <f t="shared" si="8"/>
        <v>-13550652.73424229</v>
      </c>
      <c r="E44" s="177">
        <f t="shared" si="8"/>
        <v>1.03730708360672E-5</v>
      </c>
      <c r="F44" s="384">
        <f>MIN(F5:F34)</f>
        <v>-0.68070878205194507</v>
      </c>
      <c r="G44" s="337">
        <f t="shared" si="8"/>
        <v>-0.68070878205194507</v>
      </c>
      <c r="H44" s="337">
        <f>MIN(H8:H38)</f>
        <v>2.6366350828596759E-12</v>
      </c>
    </row>
    <row r="45" spans="1:8">
      <c r="A45" s="41" t="s">
        <v>157</v>
      </c>
      <c r="B45" s="177">
        <f t="shared" ref="B45:G45" si="9">MAX(B8:B38)</f>
        <v>21965453</v>
      </c>
      <c r="C45" s="177">
        <f>MAX(C8:C38)</f>
        <v>17568621.931546822</v>
      </c>
      <c r="D45" s="177">
        <f>MAX(D8:D38)</f>
        <v>10014836.144695275</v>
      </c>
      <c r="E45" s="177">
        <f t="shared" si="9"/>
        <v>13550652.73424229</v>
      </c>
      <c r="F45" s="384">
        <f>MAX(F5:F34)</f>
        <v>4.1242426782899848</v>
      </c>
      <c r="G45" s="337">
        <f t="shared" si="9"/>
        <v>4.1242426782899848</v>
      </c>
      <c r="H45" s="337">
        <f>MAX(H8:H38)</f>
        <v>4.1242426782899848</v>
      </c>
    </row>
    <row r="46" spans="1:8">
      <c r="A46" s="45" t="s">
        <v>119</v>
      </c>
      <c r="B46" s="180">
        <f t="shared" ref="B46:H46" si="10">STDEV(B8:B38)</f>
        <v>5854399.998309087</v>
      </c>
      <c r="C46" s="180">
        <f t="shared" si="10"/>
        <v>4508068.5624435488</v>
      </c>
      <c r="D46" s="180">
        <f t="shared" si="10"/>
        <v>5909937.835645929</v>
      </c>
      <c r="E46" s="180">
        <f t="shared" si="10"/>
        <v>3778210.502027337</v>
      </c>
      <c r="F46" s="385">
        <f>STDEV(F5:F37)</f>
        <v>1.1895806901985058</v>
      </c>
      <c r="G46" s="339">
        <f t="shared" si="10"/>
        <v>1.2064278126828023</v>
      </c>
      <c r="H46" s="339">
        <f t="shared" si="10"/>
        <v>1.0113143584325008</v>
      </c>
    </row>
    <row r="47" spans="1:8">
      <c r="A47" s="39"/>
      <c r="B47" s="167"/>
      <c r="C47" s="52"/>
      <c r="D47" s="54"/>
      <c r="E47" s="52"/>
      <c r="F47" s="52"/>
      <c r="G47" s="55"/>
      <c r="H47" s="55"/>
    </row>
    <row r="48" spans="1:8">
      <c r="A48" s="39"/>
      <c r="B48" s="167"/>
      <c r="C48" s="52"/>
      <c r="D48" s="54"/>
      <c r="E48" s="52"/>
      <c r="F48" s="52"/>
      <c r="G48" s="55"/>
      <c r="H48" s="55"/>
    </row>
    <row r="49" spans="1:15" ht="23">
      <c r="A49" s="39"/>
      <c r="B49" s="167"/>
      <c r="C49" s="52"/>
      <c r="D49" s="54"/>
      <c r="E49" s="52"/>
      <c r="F49" s="52"/>
      <c r="G49" s="55"/>
      <c r="H49" s="411" t="s">
        <v>133</v>
      </c>
      <c r="I49" s="412" t="s">
        <v>240</v>
      </c>
    </row>
    <row r="50" spans="1:15" ht="24">
      <c r="A50" s="39"/>
      <c r="B50" s="167"/>
      <c r="C50" s="52"/>
      <c r="D50" s="54"/>
      <c r="E50" s="360" t="s">
        <v>231</v>
      </c>
      <c r="F50" s="361">
        <f>F51/(F45+1)</f>
        <v>3292854.1686651893</v>
      </c>
      <c r="G50" s="403" t="e">
        <f>F51-#REF!</f>
        <v>#REF!</v>
      </c>
      <c r="H50" s="403" t="e">
        <f>MROUND(G50,10000)</f>
        <v>#REF!</v>
      </c>
      <c r="I50" s="406" t="e">
        <f>H50-1450000</f>
        <v>#REF!</v>
      </c>
    </row>
    <row r="51" spans="1:15" ht="95">
      <c r="A51" s="39"/>
      <c r="B51" s="167"/>
      <c r="C51" s="52"/>
      <c r="D51" s="54"/>
      <c r="E51" s="363" t="str">
        <f>IF(ISODD(Forecast_Year),Forecast_Year&amp;" FORECAST POINT ESTIMATE","DO NOT USE THIS YEAR. USE FOR EVEN YEARS ONLY!!!")</f>
        <v>DO NOT USE THIS YEAR. USE FOR EVEN YEARS ONLY!!!</v>
      </c>
      <c r="F51" s="404">
        <f>$C40</f>
        <v>16873383.86445925</v>
      </c>
      <c r="G51" s="55"/>
      <c r="H51" s="405">
        <f>MROUND(F51,10000)</f>
        <v>16870000</v>
      </c>
      <c r="I51" s="410">
        <f>H51-1450000</f>
        <v>15420000</v>
      </c>
    </row>
    <row r="52" spans="1:15" ht="24">
      <c r="A52" s="39"/>
      <c r="B52" s="167"/>
      <c r="C52" s="52"/>
      <c r="D52" s="54"/>
      <c r="E52" s="360" t="s">
        <v>232</v>
      </c>
      <c r="F52" s="361">
        <f>F51/(F44+1)</f>
        <v>52846376.33598917</v>
      </c>
      <c r="G52" s="403" t="e">
        <f>F51+#REF!</f>
        <v>#REF!</v>
      </c>
      <c r="H52" s="403" t="e">
        <f>MROUND(G52,10000)</f>
        <v>#REF!</v>
      </c>
      <c r="I52" s="406" t="e">
        <f>H52-1450000</f>
        <v>#REF!</v>
      </c>
    </row>
    <row r="53" spans="1:15">
      <c r="A53" s="39"/>
      <c r="B53" s="167"/>
      <c r="C53" s="52"/>
      <c r="D53" s="54"/>
      <c r="E53" s="52"/>
      <c r="F53" s="52"/>
      <c r="G53" s="55"/>
      <c r="H53" s="55"/>
    </row>
    <row r="54" spans="1:15">
      <c r="A54" s="39"/>
      <c r="B54" s="167"/>
      <c r="C54" s="52"/>
      <c r="D54" s="54"/>
      <c r="E54" s="52"/>
      <c r="F54" s="52"/>
      <c r="G54" s="55"/>
      <c r="H54" s="55"/>
    </row>
    <row r="55" spans="1:15" ht="17" thickBot="1">
      <c r="A55" s="60"/>
      <c r="B55" s="340"/>
      <c r="C55" s="62"/>
      <c r="D55" s="341"/>
      <c r="E55" s="62"/>
      <c r="F55" s="62"/>
      <c r="G55" s="342"/>
      <c r="H55" s="342"/>
      <c r="I55" s="61"/>
    </row>
    <row r="56" spans="1:15" ht="17" thickBot="1">
      <c r="A56" s="60"/>
      <c r="B56" s="340"/>
      <c r="C56" s="62"/>
      <c r="D56" s="341"/>
      <c r="E56" s="62"/>
      <c r="F56" s="62"/>
      <c r="G56" s="342"/>
      <c r="H56" s="342"/>
      <c r="I56" s="61"/>
      <c r="K56" s="413"/>
      <c r="L56" s="414"/>
      <c r="M56" s="413"/>
      <c r="N56" s="414"/>
      <c r="O56" s="413"/>
    </row>
    <row r="57" spans="1:15">
      <c r="A57" s="60"/>
      <c r="B57" s="340"/>
      <c r="C57" s="62"/>
      <c r="D57" s="341"/>
      <c r="E57" s="62"/>
      <c r="F57" s="62"/>
      <c r="G57" s="342"/>
      <c r="H57" s="342"/>
      <c r="I57" s="61"/>
      <c r="K57" s="41"/>
      <c r="L57" s="41"/>
      <c r="M57" s="41"/>
      <c r="N57" s="41"/>
      <c r="O57" s="41"/>
    </row>
    <row r="58" spans="1:15">
      <c r="A58" s="60"/>
      <c r="B58" s="340"/>
      <c r="C58" s="62"/>
      <c r="D58" s="341"/>
      <c r="E58" s="62"/>
      <c r="F58" s="62"/>
      <c r="G58" s="342"/>
      <c r="H58" s="342"/>
      <c r="I58" s="61"/>
      <c r="K58" s="415"/>
      <c r="L58" s="415"/>
      <c r="M58" s="415"/>
      <c r="N58" s="416"/>
      <c r="O58" s="415"/>
    </row>
    <row r="59" spans="1:15">
      <c r="A59" s="60"/>
      <c r="B59" s="340"/>
      <c r="C59" s="62"/>
      <c r="D59" s="341"/>
      <c r="E59" s="62"/>
      <c r="F59" s="62"/>
      <c r="G59" s="342"/>
      <c r="H59" s="342"/>
      <c r="I59" s="61"/>
      <c r="K59" s="41"/>
      <c r="L59" s="41"/>
      <c r="M59" s="41"/>
      <c r="N59" s="41"/>
      <c r="O59" s="41"/>
    </row>
    <row r="60" spans="1:15">
      <c r="A60" s="60"/>
      <c r="B60" s="340"/>
      <c r="C60" s="62"/>
      <c r="D60" s="341"/>
      <c r="E60" s="62"/>
      <c r="F60" s="62"/>
      <c r="G60" s="342"/>
      <c r="H60" s="342"/>
      <c r="I60" s="61"/>
      <c r="K60" s="41"/>
      <c r="L60" s="41"/>
      <c r="M60" s="41"/>
      <c r="N60" s="41"/>
      <c r="O60" s="41"/>
    </row>
    <row r="61" spans="1:15">
      <c r="A61" s="60"/>
      <c r="B61" s="343"/>
      <c r="C61" s="62"/>
      <c r="D61" s="341"/>
      <c r="E61" s="62"/>
      <c r="F61" s="62"/>
      <c r="G61" s="61"/>
      <c r="H61" s="342"/>
      <c r="I61" s="61"/>
      <c r="K61" s="41"/>
      <c r="L61" s="41"/>
      <c r="M61" s="41"/>
      <c r="N61" s="41"/>
      <c r="O61" s="41"/>
    </row>
    <row r="62" spans="1:15">
      <c r="A62" s="60"/>
      <c r="B62" s="343"/>
      <c r="C62" s="62"/>
      <c r="D62" s="62"/>
      <c r="E62" s="62"/>
      <c r="F62" s="62"/>
      <c r="G62" s="61"/>
      <c r="H62" s="342"/>
      <c r="I62" s="61"/>
    </row>
    <row r="63" spans="1:15">
      <c r="A63" s="60"/>
      <c r="B63" s="344"/>
      <c r="C63" s="176"/>
      <c r="D63" s="176"/>
      <c r="E63" s="176"/>
      <c r="F63" s="176"/>
      <c r="G63" s="195"/>
      <c r="H63" s="345"/>
      <c r="I63" s="195"/>
      <c r="J63" s="41"/>
    </row>
    <row r="64" spans="1:15">
      <c r="A64" s="61"/>
      <c r="B64" s="61"/>
      <c r="C64" s="61"/>
      <c r="D64" s="61"/>
      <c r="E64" s="61"/>
      <c r="F64" s="61"/>
      <c r="G64" s="61"/>
      <c r="H64" s="61"/>
      <c r="I64" s="195"/>
      <c r="J64" s="41"/>
    </row>
    <row r="65" spans="1:10">
      <c r="A65" s="61"/>
      <c r="B65" s="61"/>
      <c r="C65" s="61"/>
      <c r="D65" s="61"/>
      <c r="E65" s="61"/>
      <c r="F65" s="61"/>
      <c r="G65" s="61"/>
      <c r="H65" s="61"/>
      <c r="I65" s="195"/>
      <c r="J65" s="41"/>
    </row>
    <row r="66" spans="1:10">
      <c r="A66" s="61"/>
      <c r="B66" s="61"/>
      <c r="C66" s="61"/>
      <c r="D66" s="61"/>
      <c r="E66" s="61"/>
      <c r="F66" s="61"/>
      <c r="G66" s="61"/>
      <c r="H66" s="61"/>
      <c r="I66" s="195"/>
      <c r="J66" s="41"/>
    </row>
    <row r="67" spans="1:10">
      <c r="I67" s="41"/>
      <c r="J67" s="41"/>
    </row>
    <row r="68" spans="1:10">
      <c r="I68" s="41"/>
      <c r="J68" s="41"/>
    </row>
    <row r="69" spans="1:10">
      <c r="I69" s="41"/>
      <c r="J69" s="41"/>
    </row>
    <row r="70" spans="1:10">
      <c r="I70" s="41"/>
      <c r="J70" s="41"/>
    </row>
    <row r="71" spans="1:10">
      <c r="A71" s="41"/>
      <c r="B71" s="41"/>
      <c r="C71" s="41"/>
      <c r="D71" s="41"/>
      <c r="E71" s="41"/>
      <c r="F71" s="41"/>
      <c r="G71" s="41"/>
      <c r="H71" s="41"/>
      <c r="I71" s="41"/>
      <c r="J71" s="41"/>
    </row>
    <row r="72" spans="1:10">
      <c r="A72" s="41"/>
      <c r="B72" s="41"/>
      <c r="C72" s="41"/>
      <c r="D72" s="41"/>
      <c r="E72" s="41"/>
      <c r="F72" s="41"/>
      <c r="G72" s="41"/>
      <c r="H72" s="41"/>
      <c r="I72" s="41"/>
      <c r="J72" s="41"/>
    </row>
  </sheetData>
  <pageMargins left="1" right="1" top="1" bottom="1" header="0.5" footer="0.5"/>
  <pageSetup scale="73"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00B0F0"/>
  </sheetPr>
  <dimension ref="A1:BS105"/>
  <sheetViews>
    <sheetView topLeftCell="D1" zoomScaleNormal="100" zoomScaleSheetLayoutView="75" workbookViewId="0"/>
  </sheetViews>
  <sheetFormatPr baseColWidth="10" defaultColWidth="8.7109375" defaultRowHeight="16"/>
  <cols>
    <col min="1" max="1" width="7.28515625" customWidth="1"/>
    <col min="2" max="2" width="6.7109375" customWidth="1"/>
    <col min="3" max="5" width="10.7109375" customWidth="1"/>
    <col min="6" max="6" width="7.85546875" customWidth="1"/>
    <col min="7" max="7" width="5.85546875" customWidth="1"/>
    <col min="8" max="8" width="7.7109375" customWidth="1"/>
    <col min="9" max="9" width="9.7109375" customWidth="1"/>
    <col min="10" max="10" width="6.140625" customWidth="1"/>
    <col min="11" max="11" width="10.42578125" customWidth="1"/>
    <col min="12" max="13" width="7.28515625" customWidth="1"/>
    <col min="14" max="14" width="9.140625" customWidth="1"/>
    <col min="15" max="15" width="6.85546875" customWidth="1"/>
    <col min="16" max="16" width="9.7109375" customWidth="1"/>
    <col min="17" max="18" width="8.28515625" customWidth="1"/>
    <col min="19" max="19" width="9.5703125" customWidth="1"/>
    <col min="20" max="20" width="8.28515625" customWidth="1"/>
    <col min="21" max="37" width="10.7109375" customWidth="1"/>
  </cols>
  <sheetData>
    <row r="1" spans="1:71">
      <c r="A1" s="23" t="str">
        <f ca="1">CELL("filename",A1)</f>
        <v>/Users/janohlberger/Work/UW/Thresholds/Data/Rich/[2018_PWS_Wild_Pink_forecast_DRAFT.xlsm]Esc-Return_Regression</v>
      </c>
      <c r="B1" s="12"/>
      <c r="C1" s="12"/>
      <c r="D1" s="12"/>
      <c r="E1" s="12"/>
      <c r="F1" s="12"/>
      <c r="G1" s="12"/>
      <c r="H1" s="13"/>
      <c r="I1" s="13"/>
      <c r="J1" s="13"/>
      <c r="K1" s="13"/>
      <c r="L1" s="13"/>
      <c r="M1" s="13"/>
      <c r="N1" s="13"/>
      <c r="O1" s="13"/>
      <c r="P1" s="13"/>
      <c r="Q1" s="13"/>
      <c r="R1" s="13"/>
      <c r="S1" s="13"/>
      <c r="T1" s="13"/>
      <c r="U1" s="13"/>
      <c r="V1" s="13"/>
      <c r="W1" s="13"/>
      <c r="X1" s="13"/>
      <c r="Y1" s="13"/>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row>
    <row r="2" spans="1:71" ht="28">
      <c r="A2" s="961" t="s">
        <v>310</v>
      </c>
      <c r="B2" s="12"/>
      <c r="C2" s="12"/>
      <c r="D2" s="12"/>
      <c r="E2" s="12"/>
      <c r="F2" s="12"/>
      <c r="G2" s="12"/>
      <c r="H2" s="13"/>
      <c r="I2" s="13"/>
      <c r="J2" s="13"/>
      <c r="K2" s="13"/>
      <c r="L2" s="13"/>
      <c r="M2" s="13"/>
      <c r="N2" s="13"/>
      <c r="O2" s="13"/>
      <c r="P2" s="13"/>
      <c r="Q2" s="13"/>
      <c r="R2" s="13"/>
      <c r="S2" s="13"/>
      <c r="T2" s="13"/>
      <c r="U2" s="13"/>
      <c r="V2" s="13"/>
      <c r="W2" s="13"/>
      <c r="X2" s="13"/>
      <c r="Y2" s="13"/>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row>
    <row r="3" spans="1:71">
      <c r="A3" s="12" t="s">
        <v>311</v>
      </c>
      <c r="B3" s="12"/>
      <c r="C3" s="12"/>
      <c r="D3" s="12"/>
      <c r="E3" s="12"/>
      <c r="F3" s="12"/>
      <c r="G3" s="12"/>
      <c r="H3" s="13"/>
      <c r="I3" s="13"/>
      <c r="J3" s="13"/>
      <c r="K3" s="13"/>
      <c r="L3" s="13"/>
      <c r="M3" s="13"/>
      <c r="N3" s="13"/>
      <c r="O3" s="13"/>
      <c r="P3" s="13"/>
      <c r="Q3" s="13"/>
      <c r="R3" s="13"/>
      <c r="S3" s="13"/>
      <c r="T3" s="401" t="s">
        <v>312</v>
      </c>
      <c r="U3" s="13"/>
      <c r="W3" s="13"/>
      <c r="X3" s="13"/>
      <c r="Y3" s="13"/>
      <c r="Z3" s="12"/>
      <c r="AA3" s="12"/>
      <c r="AB3" s="12"/>
      <c r="AC3" s="12"/>
      <c r="AD3" s="12"/>
      <c r="AE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row>
    <row r="4" spans="1:71" ht="18">
      <c r="A4" s="632" t="s">
        <v>322</v>
      </c>
      <c r="B4" s="12"/>
      <c r="C4" s="12"/>
      <c r="D4" s="12"/>
      <c r="E4" s="12"/>
      <c r="F4" s="12"/>
      <c r="G4" s="12"/>
      <c r="H4" s="13"/>
      <c r="I4" s="13"/>
      <c r="J4" s="13"/>
      <c r="K4" s="13"/>
      <c r="L4" s="13"/>
      <c r="M4" s="13"/>
      <c r="N4" s="13"/>
      <c r="O4" s="13"/>
      <c r="P4" s="13"/>
      <c r="Q4" s="13"/>
      <c r="S4" s="146"/>
      <c r="U4" s="13"/>
      <c r="V4" s="13"/>
      <c r="W4" s="13"/>
      <c r="X4" s="13"/>
      <c r="Y4" s="13"/>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row>
    <row r="5" spans="1:71">
      <c r="A5" s="12"/>
      <c r="B5" s="12"/>
      <c r="C5" s="12"/>
      <c r="D5" s="12"/>
      <c r="E5" s="12"/>
      <c r="F5" s="12"/>
      <c r="G5" s="13"/>
      <c r="H5" s="13"/>
      <c r="I5" s="13"/>
      <c r="J5" s="13"/>
      <c r="K5" s="13"/>
      <c r="L5" s="13"/>
      <c r="M5" s="13"/>
      <c r="N5" s="13"/>
      <c r="O5" s="13"/>
      <c r="P5" s="13"/>
      <c r="Q5" s="13"/>
      <c r="R5" s="13"/>
      <c r="S5" s="13"/>
      <c r="T5" s="13"/>
      <c r="U5" s="224"/>
      <c r="V5" s="347"/>
      <c r="W5" s="348"/>
      <c r="X5" s="349"/>
      <c r="Y5" s="673"/>
      <c r="Z5" s="369"/>
      <c r="AA5" s="13"/>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row>
    <row r="6" spans="1:71" ht="14.25" customHeight="1">
      <c r="A6" s="12"/>
      <c r="B6" s="12"/>
      <c r="C6" s="12"/>
      <c r="D6" s="12"/>
      <c r="E6" s="12"/>
      <c r="F6" s="12"/>
      <c r="G6" s="13"/>
      <c r="H6" s="13"/>
      <c r="I6" s="13"/>
      <c r="J6" s="13"/>
      <c r="K6" s="13"/>
      <c r="L6" s="13"/>
      <c r="M6" s="13"/>
      <c r="N6" s="13"/>
      <c r="O6" s="13"/>
      <c r="P6" s="13"/>
      <c r="Q6" s="13"/>
      <c r="R6" s="13"/>
      <c r="S6" s="13"/>
      <c r="T6" s="13"/>
      <c r="U6" s="822" t="str">
        <f ca="1">CELL("filename",A1)</f>
        <v>/Users/janohlberger/Work/UW/Thresholds/Data/Rich/[2018_PWS_Wild_Pink_forecast_DRAFT.xlsm]Esc-Return_Regression</v>
      </c>
      <c r="V6" s="12"/>
      <c r="W6" s="12"/>
      <c r="X6" s="12"/>
      <c r="Y6" s="12"/>
      <c r="Z6" s="12"/>
      <c r="AA6" s="12"/>
      <c r="AB6" s="12"/>
      <c r="AC6" s="12"/>
      <c r="AD6" s="822" t="str">
        <f ca="1">CELL("filename",I1)</f>
        <v>/Users/janohlberger/Work/UW/Thresholds/Data/Rich/[2018_PWS_Wild_Pink_forecast_DRAFT.xlsm]Esc-Return_Regression</v>
      </c>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row>
    <row r="7" spans="1:71" ht="25">
      <c r="A7" s="473"/>
      <c r="B7" s="472" t="s">
        <v>302</v>
      </c>
      <c r="C7" s="635">
        <v>2017</v>
      </c>
      <c r="D7" s="12"/>
      <c r="E7" s="12"/>
      <c r="F7" s="12"/>
      <c r="G7" s="13"/>
      <c r="H7" s="13"/>
      <c r="I7" s="13"/>
      <c r="J7" s="13"/>
      <c r="K7" s="13"/>
      <c r="L7" s="13"/>
      <c r="M7" s="13"/>
      <c r="N7" s="13"/>
      <c r="O7" s="13"/>
      <c r="P7" s="13"/>
      <c r="Q7" s="13"/>
      <c r="R7" s="13"/>
      <c r="S7" s="13"/>
      <c r="T7" s="13"/>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row>
    <row r="8" spans="1:71" ht="18">
      <c r="A8" s="12">
        <v>1</v>
      </c>
      <c r="B8" s="12">
        <v>2</v>
      </c>
      <c r="C8" s="12">
        <v>3</v>
      </c>
      <c r="D8" s="12">
        <v>4</v>
      </c>
      <c r="E8" s="12">
        <v>5</v>
      </c>
      <c r="F8" s="12">
        <v>6</v>
      </c>
      <c r="G8" s="12">
        <v>7</v>
      </c>
      <c r="H8" s="13">
        <v>8</v>
      </c>
      <c r="I8" s="1117" t="s">
        <v>335</v>
      </c>
      <c r="J8" s="1117"/>
      <c r="K8" s="1117"/>
      <c r="L8" s="1117"/>
      <c r="M8" s="1117"/>
      <c r="N8" s="1117"/>
      <c r="O8" s="1117"/>
      <c r="P8" s="1117"/>
      <c r="Q8" s="1117"/>
      <c r="R8" s="834"/>
      <c r="S8" s="834"/>
      <c r="T8" s="13"/>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row>
    <row r="9" spans="1:71">
      <c r="A9" s="226"/>
      <c r="B9" s="226"/>
      <c r="C9" s="591" t="s">
        <v>201</v>
      </c>
      <c r="D9" s="591"/>
      <c r="E9" s="591" t="s">
        <v>203</v>
      </c>
      <c r="F9" s="591"/>
      <c r="G9" s="226"/>
      <c r="H9" s="226"/>
      <c r="I9" s="829"/>
      <c r="J9" s="829"/>
      <c r="K9" s="830"/>
      <c r="L9" s="830"/>
      <c r="M9" s="830"/>
      <c r="N9" s="829"/>
      <c r="O9" s="829"/>
      <c r="P9" s="1118" t="s">
        <v>321</v>
      </c>
      <c r="Q9" s="1118"/>
      <c r="R9" s="1118"/>
      <c r="S9" s="963"/>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row>
    <row r="10" spans="1:71" ht="31.5" customHeight="1">
      <c r="A10" s="15" t="s">
        <v>89</v>
      </c>
      <c r="B10" s="15" t="s">
        <v>91</v>
      </c>
      <c r="C10" s="249" t="s">
        <v>309</v>
      </c>
      <c r="D10" s="227" t="s">
        <v>90</v>
      </c>
      <c r="E10" s="249" t="s">
        <v>314</v>
      </c>
      <c r="F10" s="227" t="s">
        <v>92</v>
      </c>
      <c r="G10" s="227" t="s">
        <v>93</v>
      </c>
      <c r="H10" s="227" t="s">
        <v>94</v>
      </c>
      <c r="I10" s="831" t="s">
        <v>313</v>
      </c>
      <c r="J10" s="831" t="s">
        <v>202</v>
      </c>
      <c r="K10" s="832" t="s">
        <v>8</v>
      </c>
      <c r="L10" s="833" t="s">
        <v>315</v>
      </c>
      <c r="M10" s="833" t="s">
        <v>316</v>
      </c>
      <c r="N10" s="831" t="s">
        <v>317</v>
      </c>
      <c r="O10" s="831" t="s">
        <v>202</v>
      </c>
      <c r="P10" s="832" t="s">
        <v>8</v>
      </c>
      <c r="Q10" s="833" t="s">
        <v>315</v>
      </c>
      <c r="R10" s="833" t="s">
        <v>320</v>
      </c>
      <c r="S10" s="833" t="s">
        <v>352</v>
      </c>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row>
    <row r="11" spans="1:71" ht="23">
      <c r="A11" s="636">
        <f>IF(ISEVEN($C$7), 1960, 1961)</f>
        <v>1961</v>
      </c>
      <c r="B11" s="810">
        <f>A11+2</f>
        <v>1963</v>
      </c>
      <c r="C11" s="26">
        <f>VLOOKUP($A11,Database!$A$74:$J$138,6,FALSE)</f>
        <v>2198980</v>
      </c>
      <c r="D11" s="811">
        <f>LN(C11)</f>
        <v>14.603504174452336</v>
      </c>
      <c r="E11" s="26">
        <f>VLOOKUP($A11+2,Database!$A$74:$J$138,10,FALSE)</f>
        <v>6651118</v>
      </c>
      <c r="F11" s="838">
        <f>LN(E11)</f>
        <v>15.710295518802155</v>
      </c>
      <c r="G11" s="811">
        <f t="shared" ref="G11:G37" si="0">E11/C11</f>
        <v>3.0246377866101555</v>
      </c>
      <c r="H11" s="838">
        <f>LN(G11)</f>
        <v>1.1067913443498181</v>
      </c>
      <c r="I11" s="31" t="s">
        <v>138</v>
      </c>
      <c r="J11" s="31" t="s">
        <v>138</v>
      </c>
      <c r="K11" s="31"/>
      <c r="L11" s="31"/>
      <c r="M11" s="31"/>
      <c r="N11" s="31"/>
      <c r="O11" s="31"/>
      <c r="P11" s="31"/>
      <c r="Q11" s="31"/>
      <c r="R11" s="825"/>
      <c r="S11" s="825"/>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row>
    <row r="12" spans="1:71">
      <c r="A12" s="810">
        <f>A11+2</f>
        <v>1963</v>
      </c>
      <c r="B12" s="810">
        <f t="shared" ref="B12:B31" si="1">A12+2</f>
        <v>1965</v>
      </c>
      <c r="C12" s="26">
        <f>VLOOKUP($A12,Database!$A$74:$J$138,6,FALSE)</f>
        <v>1355740</v>
      </c>
      <c r="D12" s="811">
        <f t="shared" ref="D12:D31" si="2">LN(C12)</f>
        <v>14.119857988684956</v>
      </c>
      <c r="E12" s="26">
        <f>VLOOKUP($A12+2,Database!$A$74:$J$138,10,FALSE)</f>
        <v>3436427</v>
      </c>
      <c r="F12" s="838">
        <f t="shared" ref="F12:F30" si="3">LN(E12)</f>
        <v>15.049942826774886</v>
      </c>
      <c r="G12" s="811">
        <f t="shared" si="0"/>
        <v>2.5347242096567189</v>
      </c>
      <c r="H12" s="838">
        <f t="shared" ref="H12:H30" si="4">LN(G12)</f>
        <v>0.93008483808993014</v>
      </c>
      <c r="I12" s="31" t="s">
        <v>138</v>
      </c>
      <c r="J12" s="31" t="s">
        <v>138</v>
      </c>
      <c r="K12" s="31"/>
      <c r="L12" s="31"/>
      <c r="M12" s="31"/>
      <c r="N12" s="31"/>
      <c r="O12" s="31"/>
      <c r="P12" s="31"/>
      <c r="Q12" s="31"/>
      <c r="R12" s="31"/>
      <c r="S12" s="31"/>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row>
    <row r="13" spans="1:71">
      <c r="A13" s="810">
        <f t="shared" ref="A13:A38" si="5">A12+2</f>
        <v>1965</v>
      </c>
      <c r="B13" s="810">
        <f t="shared" si="1"/>
        <v>1967</v>
      </c>
      <c r="C13" s="26">
        <f>VLOOKUP($A13,Database!$A$74:$J$138,6,FALSE)</f>
        <v>975956</v>
      </c>
      <c r="D13" s="811">
        <f t="shared" si="2"/>
        <v>13.791172782411794</v>
      </c>
      <c r="E13" s="26">
        <f>VLOOKUP($A13+2,Database!$A$74:$J$138,10,FALSE)</f>
        <v>3468600</v>
      </c>
      <c r="F13" s="838">
        <f t="shared" si="3"/>
        <v>15.059261612298622</v>
      </c>
      <c r="G13" s="811">
        <f t="shared" si="0"/>
        <v>3.5540536663538109</v>
      </c>
      <c r="H13" s="838">
        <f t="shared" si="4"/>
        <v>1.2680888298868285</v>
      </c>
      <c r="I13" s="31" t="s">
        <v>138</v>
      </c>
      <c r="J13" s="31" t="s">
        <v>138</v>
      </c>
      <c r="K13" s="31"/>
      <c r="L13" s="31"/>
      <c r="M13" s="31"/>
      <c r="N13" s="31"/>
      <c r="O13" s="31"/>
      <c r="P13" s="31"/>
      <c r="Q13" s="31"/>
      <c r="R13" s="31"/>
      <c r="S13" s="31"/>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row>
    <row r="14" spans="1:71">
      <c r="A14" s="810">
        <f t="shared" si="5"/>
        <v>1967</v>
      </c>
      <c r="B14" s="810">
        <f t="shared" si="1"/>
        <v>1969</v>
      </c>
      <c r="C14" s="26">
        <f>VLOOKUP($A14,Database!$A$74:$J$138,6,FALSE)</f>
        <v>842260</v>
      </c>
      <c r="D14" s="811">
        <f t="shared" si="2"/>
        <v>13.643844034157651</v>
      </c>
      <c r="E14" s="26">
        <f>VLOOKUP($A14+2,Database!$A$74:$J$138,10,FALSE)</f>
        <v>5233149</v>
      </c>
      <c r="F14" s="838">
        <f t="shared" si="3"/>
        <v>15.470523758100148</v>
      </c>
      <c r="G14" s="811">
        <f t="shared" si="0"/>
        <v>6.2132227578182508</v>
      </c>
      <c r="H14" s="838">
        <f t="shared" si="4"/>
        <v>1.826679723942497</v>
      </c>
      <c r="I14" s="31" t="s">
        <v>138</v>
      </c>
      <c r="J14" s="31" t="s">
        <v>138</v>
      </c>
      <c r="K14" s="31"/>
      <c r="L14" s="31"/>
      <c r="M14" s="31"/>
      <c r="N14" s="31"/>
      <c r="O14" s="31"/>
      <c r="P14" s="31"/>
      <c r="Q14" s="31"/>
      <c r="R14" s="31"/>
      <c r="S14" s="31"/>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row>
    <row r="15" spans="1:71">
      <c r="A15" s="810">
        <f t="shared" si="5"/>
        <v>1969</v>
      </c>
      <c r="B15" s="810">
        <f t="shared" si="1"/>
        <v>1971</v>
      </c>
      <c r="C15" s="26">
        <f>VLOOKUP($A15,Database!$A$74:$J$138,6,FALSE)</f>
        <v>404570</v>
      </c>
      <c r="D15" s="811">
        <f t="shared" si="2"/>
        <v>12.910580053660754</v>
      </c>
      <c r="E15" s="26">
        <f>VLOOKUP($A15+2,Database!$A$74:$J$138,10,FALSE)</f>
        <v>8423514</v>
      </c>
      <c r="F15" s="838">
        <f t="shared" si="3"/>
        <v>15.94653763882399</v>
      </c>
      <c r="G15" s="811">
        <f t="shared" si="0"/>
        <v>20.820906147267468</v>
      </c>
      <c r="H15" s="838">
        <f t="shared" si="4"/>
        <v>3.0359575851632372</v>
      </c>
      <c r="I15" s="372">
        <f>FORECAST($C15,$E$11:$E14,$C$11:$C14)</f>
        <v>3153736.7853320343</v>
      </c>
      <c r="J15" s="839">
        <f>RSQ($E$11:E14,$C$11:C14)</f>
        <v>0.41979158314021381</v>
      </c>
      <c r="K15" s="625">
        <f>$I15-$E15</f>
        <v>-5269777.2146679657</v>
      </c>
      <c r="L15" s="828">
        <f>($I15-$E15)/$E15</f>
        <v>-0.62560318824993533</v>
      </c>
      <c r="M15" s="373">
        <f>ABS(L15)</f>
        <v>0.62560318824993533</v>
      </c>
      <c r="N15" s="837">
        <f>FORECAST($D15,$F$11:$F14,$D$11:$D14)</f>
        <v>14.898957206311161</v>
      </c>
      <c r="O15" s="839">
        <f>RSQ($E$11:E14,$C$11:C14)</f>
        <v>0.41979158314021381</v>
      </c>
      <c r="P15" s="625">
        <f>EXP($N15)-$E15</f>
        <v>-5468667.6634250432</v>
      </c>
      <c r="Q15" s="828">
        <f>($N15-$F15)/$F15</f>
        <v>-6.5693284413185324E-2</v>
      </c>
      <c r="R15" s="373">
        <f>ABS((EXP(N15)-E15)/E15)</f>
        <v>0.64921452774044697</v>
      </c>
      <c r="S15" s="1001">
        <f>EXP(N15)</f>
        <v>2954846.3365749563</v>
      </c>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row>
    <row r="16" spans="1:71">
      <c r="A16" s="810">
        <f t="shared" si="5"/>
        <v>1971</v>
      </c>
      <c r="B16" s="810">
        <f t="shared" si="1"/>
        <v>1973</v>
      </c>
      <c r="C16" s="26">
        <f>VLOOKUP($A16,Database!$A$74:$J$138,6,FALSE)</f>
        <v>1112550</v>
      </c>
      <c r="D16" s="811">
        <f t="shared" si="2"/>
        <v>13.922165235832814</v>
      </c>
      <c r="E16" s="26">
        <f>VLOOKUP($A16+2,Database!$A$74:$J$138,10,FALSE)</f>
        <v>8535974</v>
      </c>
      <c r="F16" s="838">
        <f t="shared" si="3"/>
        <v>15.959800026035939</v>
      </c>
      <c r="G16" s="811">
        <f t="shared" si="0"/>
        <v>7.6724407891780144</v>
      </c>
      <c r="H16" s="838">
        <f t="shared" si="4"/>
        <v>2.0376347902031249</v>
      </c>
      <c r="I16" s="372">
        <f>FORECAST($C16,$E$11:$E15,$C$11:$C15)</f>
        <v>5465155.7958284514</v>
      </c>
      <c r="J16" s="839">
        <f>RSQ($E$11:E15,$C$11:C15)</f>
        <v>2.7551783556363393E-2</v>
      </c>
      <c r="K16" s="625">
        <f t="shared" ref="K16:K37" si="6">$I16-$E16</f>
        <v>-3070818.2041715486</v>
      </c>
      <c r="L16" s="828">
        <f t="shared" ref="L16:L37" si="7">($I16-$E16)/$E16</f>
        <v>-0.35975018248316459</v>
      </c>
      <c r="M16" s="373">
        <f t="shared" ref="M16:M37" si="8">ABS(L16)</f>
        <v>0.35975018248316459</v>
      </c>
      <c r="N16" s="837">
        <f>FORECAST($D16,$F$11:$F15,$D$11:$D15)</f>
        <v>15.42234219103468</v>
      </c>
      <c r="O16" s="839">
        <f>RSQ($E$11:E15,$C$11:C15)</f>
        <v>2.7551783556363393E-2</v>
      </c>
      <c r="P16" s="625">
        <f t="shared" ref="P16:P37" si="9">EXP($N16)-$E16</f>
        <v>-3548988.4298316045</v>
      </c>
      <c r="Q16" s="828">
        <f t="shared" ref="Q16:Q37" si="10">($N16-$F16)/$F16</f>
        <v>-3.3675724891570065E-2</v>
      </c>
      <c r="R16" s="373">
        <f t="shared" ref="R16:R37" si="11">ABS((EXP(N16)-E16)/E16)</f>
        <v>0.41576842078380327</v>
      </c>
      <c r="S16" s="1001">
        <f t="shared" ref="S16:S38" si="12">EXP(N16)</f>
        <v>4986985.5701683955</v>
      </c>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row>
    <row r="17" spans="1:71">
      <c r="A17" s="810">
        <f t="shared" si="5"/>
        <v>1973</v>
      </c>
      <c r="B17" s="810">
        <f t="shared" si="1"/>
        <v>1975</v>
      </c>
      <c r="C17" s="26">
        <f>VLOOKUP($A17,Database!$A$74:$J$138,6,FALSE)</f>
        <v>1225010</v>
      </c>
      <c r="D17" s="811">
        <f t="shared" si="2"/>
        <v>14.018459565192952</v>
      </c>
      <c r="E17" s="26">
        <f>VLOOKUP($A17+2,Database!$A$74:$J$138,10,FALSE)</f>
        <v>3322438</v>
      </c>
      <c r="F17" s="838">
        <f t="shared" si="3"/>
        <v>15.016209408748322</v>
      </c>
      <c r="G17" s="811">
        <f t="shared" si="0"/>
        <v>2.7121721455335059</v>
      </c>
      <c r="H17" s="838">
        <f t="shared" si="4"/>
        <v>0.99774984355537111</v>
      </c>
      <c r="I17" s="372">
        <f>FORECAST($C17,$E$11:$E16,$C$11:$C16)</f>
        <v>5913181.937030606</v>
      </c>
      <c r="J17" s="839">
        <f>RSQ($E$11:E16,$C$11:C16)</f>
        <v>2.3860714964341376E-2</v>
      </c>
      <c r="K17" s="625">
        <f t="shared" si="6"/>
        <v>2590743.937030606</v>
      </c>
      <c r="L17" s="828">
        <f t="shared" si="7"/>
        <v>0.77977194368430836</v>
      </c>
      <c r="M17" s="373">
        <f t="shared" si="8"/>
        <v>0.77977194368430836</v>
      </c>
      <c r="N17" s="837">
        <f>FORECAST($D17,$F$11:$F16,$D$11:$D16)</f>
        <v>15.495492251518129</v>
      </c>
      <c r="O17" s="839">
        <f>RSQ($E$11:E16,$C$11:C16)</f>
        <v>2.3860714964341376E-2</v>
      </c>
      <c r="P17" s="625">
        <f t="shared" si="9"/>
        <v>2043019.7477596169</v>
      </c>
      <c r="Q17" s="828">
        <f t="shared" si="10"/>
        <v>3.1917698383360379E-2</v>
      </c>
      <c r="R17" s="373">
        <f t="shared" si="11"/>
        <v>0.61491583823674567</v>
      </c>
      <c r="S17" s="1001">
        <f t="shared" si="12"/>
        <v>5365457.7477596169</v>
      </c>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row>
    <row r="18" spans="1:71">
      <c r="A18" s="810">
        <f t="shared" si="5"/>
        <v>1975</v>
      </c>
      <c r="B18" s="810">
        <f t="shared" si="1"/>
        <v>1977</v>
      </c>
      <c r="C18" s="26">
        <f>VLOOKUP($A18,Database!$A$74:$J$138,6,FALSE)</f>
        <v>1265560</v>
      </c>
      <c r="D18" s="811">
        <f t="shared" si="2"/>
        <v>14.051025269933481</v>
      </c>
      <c r="E18" s="26">
        <f>VLOOKUP($A18+2,Database!$A$74:$J$138,10,FALSE)</f>
        <v>5816401</v>
      </c>
      <c r="F18" s="838">
        <f t="shared" si="3"/>
        <v>15.576192243549105</v>
      </c>
      <c r="G18" s="811">
        <f t="shared" si="0"/>
        <v>4.5959109011030694</v>
      </c>
      <c r="H18" s="838">
        <f t="shared" si="4"/>
        <v>1.5251669736156246</v>
      </c>
      <c r="I18" s="372">
        <f>FORECAST($C18,$E$11:$E17,$C$11:$C17)</f>
        <v>5509414.711942099</v>
      </c>
      <c r="J18" s="839">
        <f>RSQ($E$11:E17,$C$11:C17)</f>
        <v>2.6190802664170027E-2</v>
      </c>
      <c r="K18" s="625">
        <f t="shared" si="6"/>
        <v>-306986.28805790097</v>
      </c>
      <c r="L18" s="828">
        <f t="shared" si="7"/>
        <v>-5.2779422886747487E-2</v>
      </c>
      <c r="M18" s="373">
        <f t="shared" si="8"/>
        <v>5.2779422886747487E-2</v>
      </c>
      <c r="N18" s="837">
        <f>FORECAST($D18,$F$11:$F17,$D$11:$D17)</f>
        <v>15.41131374338193</v>
      </c>
      <c r="O18" s="839">
        <f>RSQ($E$11:E17,$C$11:C17)</f>
        <v>2.6190802664170027E-2</v>
      </c>
      <c r="P18" s="625">
        <f t="shared" si="9"/>
        <v>-884111.9757617237</v>
      </c>
      <c r="Q18" s="828">
        <f t="shared" si="10"/>
        <v>-1.058528924072953E-2</v>
      </c>
      <c r="R18" s="373">
        <f t="shared" si="11"/>
        <v>0.15200327071013908</v>
      </c>
      <c r="S18" s="1001">
        <f t="shared" si="12"/>
        <v>4932289.0242382763</v>
      </c>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row>
    <row r="19" spans="1:71">
      <c r="A19" s="810">
        <f t="shared" si="5"/>
        <v>1977</v>
      </c>
      <c r="B19" s="810">
        <f t="shared" si="1"/>
        <v>1979</v>
      </c>
      <c r="C19" s="26">
        <f>VLOOKUP($A19,Database!$A$74:$J$138,6,FALSE)</f>
        <v>1517667</v>
      </c>
      <c r="D19" s="811">
        <f t="shared" si="2"/>
        <v>14.23268484528419</v>
      </c>
      <c r="E19" s="26">
        <f>VLOOKUP($A19+2,Database!$A$74:$J$138,10,FALSE)</f>
        <v>17335503</v>
      </c>
      <c r="F19" s="838">
        <f t="shared" si="3"/>
        <v>16.668267153121018</v>
      </c>
      <c r="G19" s="811">
        <f t="shared" si="0"/>
        <v>11.422468169894977</v>
      </c>
      <c r="H19" s="838">
        <f t="shared" si="4"/>
        <v>2.4355823078368282</v>
      </c>
      <c r="I19" s="372">
        <f>FORECAST($C19,$E$11:$E18,$C$11:$C18)</f>
        <v>5381880.3597765686</v>
      </c>
      <c r="J19" s="839">
        <f>RSQ($E$11:E18,$C$11:C18)</f>
        <v>2.510552633482821E-2</v>
      </c>
      <c r="K19" s="625">
        <f t="shared" si="6"/>
        <v>-11953622.640223432</v>
      </c>
      <c r="L19" s="828">
        <f t="shared" si="7"/>
        <v>-0.68954576283269264</v>
      </c>
      <c r="M19" s="373">
        <f t="shared" si="8"/>
        <v>0.68954576283269264</v>
      </c>
      <c r="N19" s="837">
        <f>FORECAST($D19,$F$11:$F18,$D$11:$D18)</f>
        <v>15.392932500894023</v>
      </c>
      <c r="O19" s="839">
        <f>RSQ($E$11:E18,$C$11:C18)</f>
        <v>2.510552633482821E-2</v>
      </c>
      <c r="P19" s="625">
        <f t="shared" si="9"/>
        <v>-12493047.421836916</v>
      </c>
      <c r="Q19" s="828">
        <f t="shared" si="10"/>
        <v>-7.6512731678181525E-2</v>
      </c>
      <c r="R19" s="373">
        <f t="shared" si="11"/>
        <v>0.72066252832911259</v>
      </c>
      <c r="S19" s="1001">
        <f t="shared" si="12"/>
        <v>4842455.5781630846</v>
      </c>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row>
    <row r="20" spans="1:71">
      <c r="A20" s="810">
        <f t="shared" si="5"/>
        <v>1979</v>
      </c>
      <c r="B20" s="810">
        <f t="shared" si="1"/>
        <v>1981</v>
      </c>
      <c r="C20" s="26">
        <f>VLOOKUP($A20,Database!$A$74:$J$138,6,FALSE)</f>
        <v>2901977</v>
      </c>
      <c r="D20" s="811">
        <f t="shared" si="2"/>
        <v>14.88090278682629</v>
      </c>
      <c r="E20" s="26">
        <f>VLOOKUP($A20+2,Database!$A$74:$J$138,10,FALSE)</f>
        <v>19568866</v>
      </c>
      <c r="F20" s="838">
        <f t="shared" si="3"/>
        <v>16.789450391857873</v>
      </c>
      <c r="G20" s="811">
        <f t="shared" si="0"/>
        <v>6.7432877655474179</v>
      </c>
      <c r="H20" s="838">
        <f t="shared" si="4"/>
        <v>1.9085476050315824</v>
      </c>
      <c r="I20" s="372">
        <f>FORECAST($C20,$E$11:$E19,$C$11:$C19)</f>
        <v>8978296.7873831838</v>
      </c>
      <c r="J20" s="839">
        <f>RSQ($E$11:E19,$C$11:C19)</f>
        <v>1.8772591184729136E-2</v>
      </c>
      <c r="K20" s="625">
        <f t="shared" si="6"/>
        <v>-10590569.212616816</v>
      </c>
      <c r="L20" s="828">
        <f t="shared" si="7"/>
        <v>-0.54119483533776647</v>
      </c>
      <c r="M20" s="373">
        <f t="shared" si="8"/>
        <v>0.54119483533776647</v>
      </c>
      <c r="N20" s="837">
        <f>FORECAST($D20,$F$11:$F19,$D$11:$D19)</f>
        <v>15.603693235512496</v>
      </c>
      <c r="O20" s="839">
        <f>RSQ($E$11:E19,$C$11:C19)</f>
        <v>1.8772591184729136E-2</v>
      </c>
      <c r="P20" s="625">
        <f t="shared" si="9"/>
        <v>-13590288.415481411</v>
      </c>
      <c r="Q20" s="828">
        <f t="shared" si="10"/>
        <v>-7.0625132370051566E-2</v>
      </c>
      <c r="R20" s="373">
        <f t="shared" si="11"/>
        <v>0.69448523054332378</v>
      </c>
      <c r="S20" s="1001">
        <f t="shared" si="12"/>
        <v>5978577.58451859</v>
      </c>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row>
    <row r="21" spans="1:71">
      <c r="A21" s="810">
        <f t="shared" si="5"/>
        <v>1981</v>
      </c>
      <c r="B21" s="810">
        <f t="shared" si="1"/>
        <v>1983</v>
      </c>
      <c r="C21" s="26">
        <f>VLOOKUP($A21,Database!$A$74:$J$138,6,FALSE)</f>
        <v>2166319</v>
      </c>
      <c r="D21" s="811">
        <f t="shared" si="2"/>
        <v>14.588539971783964</v>
      </c>
      <c r="E21" s="26">
        <f>VLOOKUP($A21+2,Database!$A$74:$J$138,10,FALSE)</f>
        <v>11567348</v>
      </c>
      <c r="F21" s="838">
        <f t="shared" si="3"/>
        <v>16.263696859413287</v>
      </c>
      <c r="G21" s="811">
        <f t="shared" si="0"/>
        <v>5.3396328056948219</v>
      </c>
      <c r="H21" s="838">
        <f t="shared" si="4"/>
        <v>1.6751568876293237</v>
      </c>
      <c r="I21" s="372">
        <f>FORECAST($C21,$E$11:$E20,$C$11:$C20)</f>
        <v>11943592.577242233</v>
      </c>
      <c r="J21" s="839">
        <f>RSQ($E$11:E20,$C$11:C20)</f>
        <v>0.34687149495618536</v>
      </c>
      <c r="K21" s="625">
        <f t="shared" si="6"/>
        <v>376244.57724223286</v>
      </c>
      <c r="L21" s="828">
        <f t="shared" si="7"/>
        <v>3.252643365119065E-2</v>
      </c>
      <c r="M21" s="373">
        <f t="shared" si="8"/>
        <v>3.252643365119065E-2</v>
      </c>
      <c r="N21" s="837">
        <f>FORECAST($D21,$F$11:$F20,$D$11:$D20)</f>
        <v>15.950432593563233</v>
      </c>
      <c r="O21" s="839">
        <f>RSQ($E$11:E20,$C$11:C20)</f>
        <v>0.34687149495618536</v>
      </c>
      <c r="P21" s="625">
        <f t="shared" si="9"/>
        <v>-3110960.8160017356</v>
      </c>
      <c r="Q21" s="828">
        <f t="shared" si="10"/>
        <v>-1.9261565716452631E-2</v>
      </c>
      <c r="R21" s="373">
        <f t="shared" si="11"/>
        <v>0.26894330627916924</v>
      </c>
      <c r="S21" s="1001">
        <f t="shared" si="12"/>
        <v>8456387.1839982644</v>
      </c>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row>
    <row r="22" spans="1:71">
      <c r="A22" s="810">
        <f t="shared" si="5"/>
        <v>1983</v>
      </c>
      <c r="B22" s="810">
        <f t="shared" si="1"/>
        <v>1985</v>
      </c>
      <c r="C22" s="26">
        <f>VLOOKUP($A22,Database!$A$74:$J$138,6,FALSE)</f>
        <v>2003106</v>
      </c>
      <c r="D22" s="811">
        <f t="shared" si="2"/>
        <v>14.51020953386678</v>
      </c>
      <c r="E22" s="26">
        <f>VLOOKUP($A22+2,Database!$A$74:$J$138,10,FALSE)</f>
        <v>19938105</v>
      </c>
      <c r="F22" s="838">
        <f t="shared" si="3"/>
        <v>16.808143282876529</v>
      </c>
      <c r="G22" s="811">
        <f t="shared" si="0"/>
        <v>9.9535945676364612</v>
      </c>
      <c r="H22" s="838">
        <f t="shared" si="4"/>
        <v>2.2979337490097484</v>
      </c>
      <c r="I22" s="372">
        <f>FORECAST($C22,$E$11:$E21,$C$11:$C21)</f>
        <v>11098806.730694741</v>
      </c>
      <c r="J22" s="839">
        <f>RSQ($E$11:E21,$C$11:C21)</f>
        <v>0.36855560793568187</v>
      </c>
      <c r="K22" s="625">
        <f t="shared" si="6"/>
        <v>-8839298.269305259</v>
      </c>
      <c r="L22" s="828">
        <f t="shared" si="7"/>
        <v>-0.44333693043071343</v>
      </c>
      <c r="M22" s="373">
        <f t="shared" si="8"/>
        <v>0.44333693043071343</v>
      </c>
      <c r="N22" s="837">
        <f>FORECAST($D22,$F$11:$F21,$D$11:$D21)</f>
        <v>15.972942068948328</v>
      </c>
      <c r="O22" s="839">
        <f>RSQ($E$11:E21,$C$11:C21)</f>
        <v>0.36855560793568187</v>
      </c>
      <c r="P22" s="625">
        <f t="shared" si="9"/>
        <v>-11289210.485504169</v>
      </c>
      <c r="Q22" s="828">
        <f t="shared" si="10"/>
        <v>-4.9690272142020049E-2</v>
      </c>
      <c r="R22" s="373">
        <f t="shared" si="11"/>
        <v>0.56621281137320567</v>
      </c>
      <c r="S22" s="1001">
        <f t="shared" si="12"/>
        <v>8648894.514495831</v>
      </c>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row>
    <row r="23" spans="1:71">
      <c r="A23" s="810">
        <f t="shared" si="5"/>
        <v>1985</v>
      </c>
      <c r="B23" s="810">
        <f t="shared" si="1"/>
        <v>1987</v>
      </c>
      <c r="C23" s="26">
        <f>VLOOKUP($A23,Database!$A$74:$J$138,6,FALSE)</f>
        <v>2347997</v>
      </c>
      <c r="D23" s="811">
        <f t="shared" si="2"/>
        <v>14.669073182246173</v>
      </c>
      <c r="E23" s="26">
        <f>VLOOKUP($A23+2,Database!$A$74:$J$138,10,FALSE)</f>
        <v>13066944</v>
      </c>
      <c r="F23" s="838">
        <f t="shared" si="3"/>
        <v>16.385596240357142</v>
      </c>
      <c r="G23" s="811">
        <f t="shared" si="0"/>
        <v>5.5651451002705707</v>
      </c>
      <c r="H23" s="838">
        <f t="shared" si="4"/>
        <v>1.7165230581109676</v>
      </c>
      <c r="I23" s="372">
        <f>FORECAST($C23,$E$11:$E22,$C$11:$C22)</f>
        <v>14177519.792619839</v>
      </c>
      <c r="J23" s="839">
        <f>RSQ($E$11:E22,$C$11:C22)</f>
        <v>0.38719676733694908</v>
      </c>
      <c r="K23" s="625">
        <f t="shared" si="6"/>
        <v>1110575.7926198393</v>
      </c>
      <c r="L23" s="828">
        <f t="shared" si="7"/>
        <v>8.4991241457822067E-2</v>
      </c>
      <c r="M23" s="373">
        <f t="shared" si="8"/>
        <v>8.4991241457822067E-2</v>
      </c>
      <c r="N23" s="837">
        <f>FORECAST($D23,$F$11:$F22,$D$11:$D22)</f>
        <v>16.176726724308033</v>
      </c>
      <c r="O23" s="839">
        <f>RSQ($E$11:E22,$C$11:C22)</f>
        <v>0.38719676733694908</v>
      </c>
      <c r="P23" s="625">
        <f t="shared" si="9"/>
        <v>-2463104.3533559088</v>
      </c>
      <c r="Q23" s="828">
        <f t="shared" si="10"/>
        <v>-1.2747141634960527E-2</v>
      </c>
      <c r="R23" s="373">
        <f t="shared" si="11"/>
        <v>0.18849888339277407</v>
      </c>
      <c r="S23" s="1001">
        <f t="shared" si="12"/>
        <v>10603839.646644091</v>
      </c>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row>
    <row r="24" spans="1:71">
      <c r="A24" s="810">
        <f t="shared" si="5"/>
        <v>1987</v>
      </c>
      <c r="B24" s="810">
        <f t="shared" si="1"/>
        <v>1989</v>
      </c>
      <c r="C24" s="26">
        <f>VLOOKUP($A24,Database!$A$74:$J$138,6,FALSE)</f>
        <v>1372217</v>
      </c>
      <c r="D24" s="811">
        <f t="shared" si="2"/>
        <v>14.131938238026784</v>
      </c>
      <c r="E24" s="26">
        <f>VLOOKUP($A24+2,Database!$A$74:$J$138,10,FALSE)</f>
        <v>4743750</v>
      </c>
      <c r="F24" s="838">
        <f t="shared" si="3"/>
        <v>15.372338520126076</v>
      </c>
      <c r="G24" s="811">
        <f t="shared" si="0"/>
        <v>3.4569969618507859</v>
      </c>
      <c r="H24" s="838">
        <f t="shared" si="4"/>
        <v>1.2404002820992939</v>
      </c>
      <c r="I24" s="372">
        <f>FORECAST($C24,$E$11:$E23,$C$11:$C23)</f>
        <v>8686119.1834620312</v>
      </c>
      <c r="J24" s="839">
        <f>RSQ($E$11:E23,$C$11:C23)</f>
        <v>0.40174831846550041</v>
      </c>
      <c r="K24" s="625">
        <f t="shared" si="6"/>
        <v>3942369.1834620312</v>
      </c>
      <c r="L24" s="828">
        <f t="shared" si="7"/>
        <v>0.83106596752822792</v>
      </c>
      <c r="M24" s="373">
        <f t="shared" si="8"/>
        <v>0.83106596752822792</v>
      </c>
      <c r="N24" s="837">
        <f>FORECAST($D24,$F$11:$F23,$D$11:$D23)</f>
        <v>15.889914059276702</v>
      </c>
      <c r="O24" s="839">
        <f>RSQ($E$11:E23,$C$11:C23)</f>
        <v>0.40174831846550041</v>
      </c>
      <c r="P24" s="625">
        <f t="shared" si="9"/>
        <v>3216047.0341785206</v>
      </c>
      <c r="Q24" s="828">
        <f t="shared" si="10"/>
        <v>3.3669278000415803E-2</v>
      </c>
      <c r="R24" s="373">
        <f t="shared" si="11"/>
        <v>0.67795457900996481</v>
      </c>
      <c r="S24" s="1001">
        <f t="shared" si="12"/>
        <v>7959797.0341785206</v>
      </c>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row>
    <row r="25" spans="1:71">
      <c r="A25" s="810">
        <f t="shared" si="5"/>
        <v>1989</v>
      </c>
      <c r="B25" s="810">
        <f t="shared" si="1"/>
        <v>1991</v>
      </c>
      <c r="C25" s="26">
        <f>VLOOKUP($A25,Database!$A$74:$J$138,6,FALSE)</f>
        <v>1233676</v>
      </c>
      <c r="D25" s="811">
        <f t="shared" si="2"/>
        <v>14.025508888194397</v>
      </c>
      <c r="E25" s="26">
        <f>VLOOKUP($A25+2,Database!$A$74:$J$138,10,FALSE)</f>
        <v>7544776</v>
      </c>
      <c r="F25" s="838">
        <f t="shared" si="3"/>
        <v>15.836365961207919</v>
      </c>
      <c r="G25" s="811">
        <f t="shared" si="0"/>
        <v>6.1156867767549992</v>
      </c>
      <c r="H25" s="838">
        <f t="shared" si="4"/>
        <v>1.8108570730135225</v>
      </c>
      <c r="I25" s="372">
        <f>FORECAST($C25,$E$11:$E24,$C$11:$C24)</f>
        <v>7616762.2688391935</v>
      </c>
      <c r="J25" s="839">
        <f>RSQ($E$11:E24,$C$11:C24)</f>
        <v>0.40047027493936166</v>
      </c>
      <c r="K25" s="625">
        <f t="shared" si="6"/>
        <v>71986.268839193508</v>
      </c>
      <c r="L25" s="828">
        <f t="shared" si="7"/>
        <v>9.5412069011980623E-3</v>
      </c>
      <c r="M25" s="373">
        <f t="shared" si="8"/>
        <v>9.5412069011980623E-3</v>
      </c>
      <c r="N25" s="837">
        <f>FORECAST($D25,$F$11:$F24,$D$11:$D24)</f>
        <v>15.789275842862002</v>
      </c>
      <c r="O25" s="839">
        <f>RSQ($E$11:E24,$C$11:C24)</f>
        <v>0.40047027493936166</v>
      </c>
      <c r="P25" s="625">
        <f t="shared" si="9"/>
        <v>-347048.97723974846</v>
      </c>
      <c r="Q25" s="828">
        <f t="shared" si="10"/>
        <v>-2.9735432018473712E-3</v>
      </c>
      <c r="R25" s="373">
        <f t="shared" si="11"/>
        <v>4.5998579313653379E-2</v>
      </c>
      <c r="S25" s="1001">
        <f t="shared" si="12"/>
        <v>7197727.0227602515</v>
      </c>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row>
    <row r="26" spans="1:71">
      <c r="A26" s="810">
        <f t="shared" si="5"/>
        <v>1991</v>
      </c>
      <c r="B26" s="810">
        <f t="shared" si="1"/>
        <v>1993</v>
      </c>
      <c r="C26" s="26">
        <f>VLOOKUP($A26,Database!$A$74:$J$138,6,FALSE)</f>
        <v>1725792</v>
      </c>
      <c r="D26" s="811">
        <f t="shared" si="2"/>
        <v>14.361196633514252</v>
      </c>
      <c r="E26" s="26">
        <f>VLOOKUP($A26+2,Database!$A$74:$J$138,10,FALSE)</f>
        <v>1542942</v>
      </c>
      <c r="F26" s="838">
        <f t="shared" si="3"/>
        <v>14.249201541526689</v>
      </c>
      <c r="G26" s="811">
        <f t="shared" si="0"/>
        <v>0.89404864549146135</v>
      </c>
      <c r="H26" s="838">
        <f t="shared" si="4"/>
        <v>-0.111995091987562</v>
      </c>
      <c r="I26" s="372">
        <f>FORECAST($C26,$E$11:$E25,$C$11:$C25)</f>
        <v>10338440.741509855</v>
      </c>
      <c r="J26" s="839">
        <f>RSQ($E$11:E25,$C$11:C25)</f>
        <v>0.40442539869749888</v>
      </c>
      <c r="K26" s="625">
        <f t="shared" si="6"/>
        <v>8795498.7415098548</v>
      </c>
      <c r="L26" s="828">
        <f t="shared" si="7"/>
        <v>5.7004726953507356</v>
      </c>
      <c r="M26" s="373">
        <f t="shared" si="8"/>
        <v>5.7004726953507356</v>
      </c>
      <c r="N26" s="837">
        <f>FORECAST($D26,$F$11:$F25,$D$11:$D25)</f>
        <v>15.992747601399406</v>
      </c>
      <c r="O26" s="839">
        <f>RSQ($E$11:E25,$C$11:C25)</f>
        <v>0.40442539869749888</v>
      </c>
      <c r="P26" s="625">
        <f t="shared" si="9"/>
        <v>7278956.03372881</v>
      </c>
      <c r="Q26" s="828">
        <f t="shared" si="10"/>
        <v>0.12236096561561509</v>
      </c>
      <c r="R26" s="373">
        <f t="shared" si="11"/>
        <v>4.7175824066807506</v>
      </c>
      <c r="S26" s="1001">
        <f t="shared" si="12"/>
        <v>8821898.03372881</v>
      </c>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row>
    <row r="27" spans="1:71">
      <c r="A27" s="810">
        <f t="shared" si="5"/>
        <v>1993</v>
      </c>
      <c r="B27" s="810">
        <f t="shared" si="1"/>
        <v>1995</v>
      </c>
      <c r="C27" s="26">
        <f>VLOOKUP($A27,Database!$A$74:$J$138,6,FALSE)</f>
        <v>1065640</v>
      </c>
      <c r="D27" s="811">
        <f t="shared" si="2"/>
        <v>13.879086115601284</v>
      </c>
      <c r="E27" s="26">
        <f>VLOOKUP($A27+2,Database!$A$74:$J$138,10,FALSE)</f>
        <v>3934208</v>
      </c>
      <c r="F27" s="838">
        <f t="shared" si="3"/>
        <v>15.185220148927955</v>
      </c>
      <c r="G27" s="811">
        <f t="shared" si="0"/>
        <v>3.6918734281746182</v>
      </c>
      <c r="H27" s="838">
        <f t="shared" si="4"/>
        <v>1.3061340333266716</v>
      </c>
      <c r="I27" s="372">
        <f>FORECAST($C27,$E$11:$E26,$C$11:$C26)</f>
        <v>6254874.2734894678</v>
      </c>
      <c r="J27" s="839">
        <f>RSQ($E$11:E26,$C$11:C26)</f>
        <v>0.32988888706367375</v>
      </c>
      <c r="K27" s="625">
        <f t="shared" si="6"/>
        <v>2320666.2734894678</v>
      </c>
      <c r="L27" s="828">
        <f t="shared" si="7"/>
        <v>0.5898687292307544</v>
      </c>
      <c r="M27" s="373">
        <f t="shared" si="8"/>
        <v>0.5898687292307544</v>
      </c>
      <c r="N27" s="837">
        <f>FORECAST($D27,$F$11:$F26,$D$11:$D26)</f>
        <v>15.625547328322725</v>
      </c>
      <c r="O27" s="839">
        <f>RSQ($E$11:E26,$C$11:C26)</f>
        <v>0.32988888706367375</v>
      </c>
      <c r="P27" s="625">
        <f t="shared" si="9"/>
        <v>2176464.1197038805</v>
      </c>
      <c r="Q27" s="828">
        <f t="shared" si="10"/>
        <v>2.8997088950722609E-2</v>
      </c>
      <c r="R27" s="373">
        <f t="shared" si="11"/>
        <v>0.55321531543423241</v>
      </c>
      <c r="S27" s="1001">
        <f t="shared" si="12"/>
        <v>6110672.1197038805</v>
      </c>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row>
    <row r="28" spans="1:71">
      <c r="A28" s="810">
        <f t="shared" si="5"/>
        <v>1995</v>
      </c>
      <c r="B28" s="810">
        <f t="shared" si="1"/>
        <v>1997</v>
      </c>
      <c r="C28" s="26">
        <f>VLOOKUP($A28,Database!$A$74:$J$138,6,FALSE)</f>
        <v>1190184</v>
      </c>
      <c r="D28" s="811">
        <f t="shared" si="2"/>
        <v>13.989618474983725</v>
      </c>
      <c r="E28" s="26">
        <f>VLOOKUP($A28+2,Database!$A$74:$J$138,10,FALSE)</f>
        <v>2588682</v>
      </c>
      <c r="F28" s="838">
        <f t="shared" si="3"/>
        <v>14.766659423843313</v>
      </c>
      <c r="G28" s="811">
        <f t="shared" si="0"/>
        <v>2.1750267185578029</v>
      </c>
      <c r="H28" s="838">
        <f t="shared" si="4"/>
        <v>0.77704094885958697</v>
      </c>
      <c r="I28" s="372">
        <f>FORECAST($C28,$E$11:$E27,$C$11:$C27)</f>
        <v>6723627.002967854</v>
      </c>
      <c r="J28" s="839">
        <f>RSQ($E$11:E27,$C$11:C27)</f>
        <v>0.347871757892316</v>
      </c>
      <c r="K28" s="625">
        <f t="shared" si="6"/>
        <v>4134945.002967854</v>
      </c>
      <c r="L28" s="828">
        <f t="shared" si="7"/>
        <v>1.5973167051680561</v>
      </c>
      <c r="M28" s="373">
        <f t="shared" si="8"/>
        <v>1.5973167051680561</v>
      </c>
      <c r="N28" s="837">
        <f>FORECAST($D28,$F$11:$F27,$D$11:$D27)</f>
        <v>15.648935472644297</v>
      </c>
      <c r="O28" s="839">
        <f>RSQ($E$11:E27,$C$11:C27)</f>
        <v>0.347871757892316</v>
      </c>
      <c r="P28" s="625">
        <f t="shared" si="9"/>
        <v>3666591.7921029832</v>
      </c>
      <c r="Q28" s="828">
        <f t="shared" si="10"/>
        <v>5.9747842993954151E-2</v>
      </c>
      <c r="R28" s="373">
        <f t="shared" si="11"/>
        <v>1.4163932812539288</v>
      </c>
      <c r="S28" s="1001">
        <f t="shared" si="12"/>
        <v>6255273.7921029832</v>
      </c>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row>
    <row r="29" spans="1:71">
      <c r="A29" s="810">
        <f t="shared" si="5"/>
        <v>1997</v>
      </c>
      <c r="B29" s="810">
        <f t="shared" si="1"/>
        <v>1999</v>
      </c>
      <c r="C29" s="26">
        <f>VLOOKUP($A29,Database!$A$74:$J$138,6,FALSE)</f>
        <v>1422688</v>
      </c>
      <c r="D29" s="811">
        <f t="shared" si="2"/>
        <v>14.168058597937208</v>
      </c>
      <c r="E29" s="26">
        <f>VLOOKUP($A29+2,Database!$A$74:$J$138,10,FALSE)</f>
        <v>9405198</v>
      </c>
      <c r="F29" s="838">
        <f t="shared" si="3"/>
        <v>16.056773073127243</v>
      </c>
      <c r="G29" s="811">
        <f t="shared" si="0"/>
        <v>6.6108647855327378</v>
      </c>
      <c r="H29" s="838">
        <f t="shared" si="4"/>
        <v>1.888714475190036</v>
      </c>
      <c r="I29" s="372">
        <f>FORECAST($C29,$E$11:$E28,$C$11:$C28)</f>
        <v>7745069.2439589882</v>
      </c>
      <c r="J29" s="839">
        <f>RSQ($E$11:E28,$C$11:C28)</f>
        <v>0.35732133639978142</v>
      </c>
      <c r="K29" s="625">
        <f t="shared" si="6"/>
        <v>-1660128.7560410118</v>
      </c>
      <c r="L29" s="828">
        <f t="shared" si="7"/>
        <v>-0.17651183484292535</v>
      </c>
      <c r="M29" s="373">
        <f t="shared" si="8"/>
        <v>0.17651183484292535</v>
      </c>
      <c r="N29" s="837">
        <f>FORECAST($D29,$F$11:$F28,$D$11:$D28)</f>
        <v>15.694549357741582</v>
      </c>
      <c r="O29" s="839">
        <f>RSQ($E$11:E28,$C$11:C28)</f>
        <v>0.35732133639978142</v>
      </c>
      <c r="P29" s="625">
        <f t="shared" si="9"/>
        <v>-2857989.3417007504</v>
      </c>
      <c r="Q29" s="828">
        <f t="shared" si="10"/>
        <v>-2.2558935954066699E-2</v>
      </c>
      <c r="R29" s="373">
        <f t="shared" si="11"/>
        <v>0.30387338381400908</v>
      </c>
      <c r="S29" s="1001">
        <f t="shared" si="12"/>
        <v>6547208.6582992496</v>
      </c>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row>
    <row r="30" spans="1:71">
      <c r="A30" s="810">
        <f t="shared" si="5"/>
        <v>1999</v>
      </c>
      <c r="B30" s="810">
        <f t="shared" si="1"/>
        <v>2001</v>
      </c>
      <c r="C30" s="26">
        <f>VLOOKUP($A30,Database!$A$74:$J$138,6,FALSE)</f>
        <v>2462862</v>
      </c>
      <c r="D30" s="811">
        <f t="shared" si="2"/>
        <v>14.716834646300336</v>
      </c>
      <c r="E30" s="26">
        <f>VLOOKUP($A30+2,Database!$A$74:$J$138,10,FALSE)</f>
        <v>8854676.9808041956</v>
      </c>
      <c r="F30" s="838">
        <f t="shared" si="3"/>
        <v>15.996456349799002</v>
      </c>
      <c r="G30" s="811">
        <f t="shared" si="0"/>
        <v>3.5952793866664861</v>
      </c>
      <c r="H30" s="838">
        <f t="shared" si="4"/>
        <v>1.2796217034986659</v>
      </c>
      <c r="I30" s="372">
        <f>FORECAST($C30,$E$11:$E29,$C$11:$C29)</f>
        <v>13676847.206164915</v>
      </c>
      <c r="J30" s="839">
        <f>RSQ($E$11:E29,$C$11:C29)</f>
        <v>0.35447055075654077</v>
      </c>
      <c r="K30" s="625">
        <f t="shared" si="6"/>
        <v>4822170.2253607195</v>
      </c>
      <c r="L30" s="828">
        <f t="shared" si="7"/>
        <v>0.54459019067714909</v>
      </c>
      <c r="M30" s="373">
        <f t="shared" si="8"/>
        <v>0.54459019067714909</v>
      </c>
      <c r="N30" s="837">
        <f>FORECAST($D30,$F$11:$F29,$D$11:$D29)</f>
        <v>16.022047901516043</v>
      </c>
      <c r="O30" s="839">
        <f>RSQ($E$11:E29,$C$11:C29)</f>
        <v>0.35447055075654077</v>
      </c>
      <c r="P30" s="625">
        <f t="shared" si="9"/>
        <v>229529.40373827331</v>
      </c>
      <c r="Q30" s="828">
        <f t="shared" si="10"/>
        <v>1.599826308866337E-3</v>
      </c>
      <c r="R30" s="373">
        <f t="shared" si="11"/>
        <v>2.5921826875883066E-2</v>
      </c>
      <c r="S30" s="1001">
        <f t="shared" si="12"/>
        <v>9084206.3845424689</v>
      </c>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row>
    <row r="31" spans="1:71">
      <c r="A31" s="810">
        <f t="shared" si="5"/>
        <v>2001</v>
      </c>
      <c r="B31" s="810">
        <f t="shared" si="1"/>
        <v>2003</v>
      </c>
      <c r="C31" s="26">
        <f>VLOOKUP($A31,Database!$A$74:$J$138,6,FALSE)</f>
        <v>2000386</v>
      </c>
      <c r="D31" s="811">
        <f t="shared" si="2"/>
        <v>14.508850719902116</v>
      </c>
      <c r="E31" s="26">
        <f>VLOOKUP($A31+2,Database!$A$74:$J$138,10,FALSE)</f>
        <v>7344511.9398193061</v>
      </c>
      <c r="F31" s="838">
        <f t="shared" ref="F31:F37" si="13">LN(E31)</f>
        <v>15.809463917433993</v>
      </c>
      <c r="G31" s="811">
        <f t="shared" si="0"/>
        <v>3.671547361268928</v>
      </c>
      <c r="H31" s="838">
        <f t="shared" ref="H31:H37" si="14">LN(G31)</f>
        <v>1.300613197531878</v>
      </c>
      <c r="I31" s="372">
        <f>FORECAST($C31,$E$11:$E30,$C$11:$C30)</f>
        <v>10560632.114141002</v>
      </c>
      <c r="J31" s="839">
        <f>RSQ($E$11:E30,$C$11:C30)</f>
        <v>0.32140890709058473</v>
      </c>
      <c r="K31" s="625">
        <f t="shared" si="6"/>
        <v>3216120.1743216962</v>
      </c>
      <c r="L31" s="828">
        <f t="shared" si="7"/>
        <v>0.43789433534515038</v>
      </c>
      <c r="M31" s="373">
        <f t="shared" si="8"/>
        <v>0.43789433534515038</v>
      </c>
      <c r="N31" s="837">
        <f>FORECAST($D31,$F$11:$F30,$D$11:$D30)</f>
        <v>15.902628040548226</v>
      </c>
      <c r="O31" s="839">
        <f>RSQ($E$11:E30,$C$11:C30)</f>
        <v>0.32140890709058473</v>
      </c>
      <c r="P31" s="625">
        <f t="shared" si="9"/>
        <v>717131.87187026814</v>
      </c>
      <c r="Q31" s="828">
        <f t="shared" si="10"/>
        <v>5.8929337263293234E-3</v>
      </c>
      <c r="R31" s="373">
        <f t="shared" si="11"/>
        <v>9.7641868887466385E-2</v>
      </c>
      <c r="S31" s="1001">
        <f t="shared" si="12"/>
        <v>8061643.8116895743</v>
      </c>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row>
    <row r="32" spans="1:71">
      <c r="A32" s="810">
        <f t="shared" si="5"/>
        <v>2003</v>
      </c>
      <c r="B32" s="810">
        <f t="shared" ref="B32:B38" si="15">A32+2</f>
        <v>2005</v>
      </c>
      <c r="C32" s="26">
        <f>VLOOKUP($A32,Database!$A$74:$J$138,6,FALSE)</f>
        <v>2846732</v>
      </c>
      <c r="D32" s="811">
        <f t="shared" ref="D32:D38" si="16">LN(C32)</f>
        <v>14.861682227652949</v>
      </c>
      <c r="E32" s="26">
        <f>VLOOKUP($A32+2,Database!$A$74:$J$138,10,FALSE)</f>
        <v>17032487.685321052</v>
      </c>
      <c r="F32" s="838">
        <f t="shared" si="13"/>
        <v>16.650633118619044</v>
      </c>
      <c r="G32" s="811">
        <f t="shared" si="0"/>
        <v>5.9831721726249789</v>
      </c>
      <c r="H32" s="838">
        <f t="shared" si="14"/>
        <v>1.7889508909660967</v>
      </c>
      <c r="I32" s="372">
        <f>FORECAST($C32,$E$11:$E31,$C$11:$C31)</f>
        <v>14414397.661888659</v>
      </c>
      <c r="J32" s="839">
        <f>RSQ($E$11:E31,$C$11:C31)</f>
        <v>0.30579900113816116</v>
      </c>
      <c r="K32" s="625">
        <f t="shared" si="6"/>
        <v>-2618090.0234323926</v>
      </c>
      <c r="L32" s="828">
        <f t="shared" si="7"/>
        <v>-0.15371154653402253</v>
      </c>
      <c r="M32" s="373">
        <f t="shared" si="8"/>
        <v>0.15371154653402253</v>
      </c>
      <c r="N32" s="837">
        <f>FORECAST($D32,$F$11:$F31,$D$11:$D31)</f>
        <v>16.089718148524618</v>
      </c>
      <c r="O32" s="839">
        <f>RSQ($E$11:E31,$C$11:C31)</f>
        <v>0.30579900113816116</v>
      </c>
      <c r="P32" s="625">
        <f t="shared" si="9"/>
        <v>-7312274.1142794378</v>
      </c>
      <c r="Q32" s="828">
        <f t="shared" si="10"/>
        <v>-3.3687305827860746E-2</v>
      </c>
      <c r="R32" s="373">
        <f t="shared" si="11"/>
        <v>0.42931333633555513</v>
      </c>
      <c r="S32" s="1001">
        <f t="shared" si="12"/>
        <v>9720213.5710416138</v>
      </c>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row>
    <row r="33" spans="1:71">
      <c r="A33" s="810">
        <f t="shared" si="5"/>
        <v>2005</v>
      </c>
      <c r="B33" s="810">
        <f t="shared" si="15"/>
        <v>2007</v>
      </c>
      <c r="C33" s="26">
        <f>VLOOKUP($A33,Database!$A$74:$J$138,6,FALSE)</f>
        <v>4736115.8571428573</v>
      </c>
      <c r="D33" s="811">
        <f t="shared" ref="D33" si="17">LN(C33)</f>
        <v>15.370727918325914</v>
      </c>
      <c r="E33" s="26">
        <f>VLOOKUP($A33+2,Database!$A$74:$J$138,10,FALSE)</f>
        <v>11526987.795003444</v>
      </c>
      <c r="F33" s="838">
        <f t="shared" ref="F33" si="18">LN(E33)</f>
        <v>16.260201608764461</v>
      </c>
      <c r="G33" s="811">
        <f t="shared" ref="G33" si="19">E33/C33</f>
        <v>2.4338483564794582</v>
      </c>
      <c r="H33" s="838">
        <f t="shared" ref="H33" si="20">LN(G33)</f>
        <v>0.88947369043854851</v>
      </c>
      <c r="I33" s="372">
        <f>FORECAST($C33,$E$11:$E32,$C$11:$C32)</f>
        <v>24750222.162973151</v>
      </c>
      <c r="J33" s="839">
        <f>RSQ($E$11:E32,$C$11:C32)</f>
        <v>0.37636682924294812</v>
      </c>
      <c r="K33" s="625">
        <f t="shared" si="6"/>
        <v>13223234.367969707</v>
      </c>
      <c r="L33" s="828">
        <f t="shared" si="7"/>
        <v>1.1471543653148941</v>
      </c>
      <c r="M33" s="373">
        <f t="shared" si="8"/>
        <v>1.1471543653148941</v>
      </c>
      <c r="N33" s="837">
        <f>FORECAST($D33,$F$11:$F32,$D$11:$D32)</f>
        <v>16.492521544930185</v>
      </c>
      <c r="O33" s="839">
        <f>RSQ($E$11:E32,$C$11:C32)</f>
        <v>0.37636682924294812</v>
      </c>
      <c r="P33" s="625">
        <f t="shared" si="9"/>
        <v>3014575.555108944</v>
      </c>
      <c r="Q33" s="828">
        <f t="shared" si="10"/>
        <v>1.4287641799010636E-2</v>
      </c>
      <c r="R33" s="373">
        <f t="shared" si="11"/>
        <v>0.26152327118934399</v>
      </c>
      <c r="S33" s="1001">
        <f t="shared" si="12"/>
        <v>14541563.350112388</v>
      </c>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row>
    <row r="34" spans="1:71">
      <c r="A34" s="810">
        <f t="shared" si="5"/>
        <v>2007</v>
      </c>
      <c r="B34" s="810">
        <f t="shared" si="15"/>
        <v>2009</v>
      </c>
      <c r="C34" s="26">
        <f>VLOOKUP($A34,Database!$A$74:$J$138,6,FALSE)</f>
        <v>1509133.1628835602</v>
      </c>
      <c r="D34" s="811">
        <f t="shared" si="16"/>
        <v>14.227045979637577</v>
      </c>
      <c r="E34" s="26">
        <f>VLOOKUP($A34+2,Database!$A$74:$J$138,10,FALSE)</f>
        <v>2824330.6070667375</v>
      </c>
      <c r="F34" s="838">
        <f t="shared" si="13"/>
        <v>14.853781941234109</v>
      </c>
      <c r="G34" s="811">
        <f t="shared" si="0"/>
        <v>1.8714919773349741</v>
      </c>
      <c r="H34" s="838">
        <f t="shared" si="14"/>
        <v>0.62673596159653222</v>
      </c>
      <c r="I34" s="372">
        <f>FORECAST($C34,$E$11:$E33,$C$11:$C33)</f>
        <v>7983784.2869225359</v>
      </c>
      <c r="J34" s="839">
        <f>RSQ($E$11:E33,$C$11:C33)</f>
        <v>0.25861540346357736</v>
      </c>
      <c r="K34" s="625">
        <f t="shared" si="6"/>
        <v>5159453.6798557984</v>
      </c>
      <c r="L34" s="828">
        <f t="shared" si="7"/>
        <v>1.8267881482948087</v>
      </c>
      <c r="M34" s="373">
        <f t="shared" si="8"/>
        <v>1.8267881482948087</v>
      </c>
      <c r="N34" s="837">
        <f>FORECAST($D34,$F$11:$F33,$D$11:$D33)</f>
        <v>15.758944157499924</v>
      </c>
      <c r="O34" s="839">
        <f>RSQ($E$11:E33,$C$11:C33)</f>
        <v>0.25861540346357736</v>
      </c>
      <c r="P34" s="625">
        <f t="shared" si="9"/>
        <v>4158354.995126931</v>
      </c>
      <c r="Q34" s="828">
        <f t="shared" si="10"/>
        <v>6.0938165098080775E-2</v>
      </c>
      <c r="R34" s="373">
        <f t="shared" si="11"/>
        <v>1.4723329431484899</v>
      </c>
      <c r="S34" s="1001">
        <f t="shared" si="12"/>
        <v>6982685.6021936685</v>
      </c>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row>
    <row r="35" spans="1:71">
      <c r="A35" s="810">
        <f t="shared" si="5"/>
        <v>2009</v>
      </c>
      <c r="B35" s="810">
        <f t="shared" si="15"/>
        <v>2011</v>
      </c>
      <c r="C35" s="26">
        <f>VLOOKUP($A35,Database!$A$74:$J$138,6,FALSE)</f>
        <v>1829622.6091624377</v>
      </c>
      <c r="D35" s="811">
        <f t="shared" si="16"/>
        <v>14.419620279049006</v>
      </c>
      <c r="E35" s="26">
        <f>VLOOKUP($A35+2,Database!$A$74:$J$138,10,FALSE)</f>
        <v>9643099</v>
      </c>
      <c r="F35" s="838">
        <f t="shared" si="13"/>
        <v>16.081753087954393</v>
      </c>
      <c r="G35" s="811">
        <f t="shared" si="0"/>
        <v>5.2705399199315783</v>
      </c>
      <c r="H35" s="838">
        <f t="shared" si="14"/>
        <v>1.6621328089053842</v>
      </c>
      <c r="I35" s="372">
        <f>FORECAST($C35,$E$11:$E34,$C$11:$C34)</f>
        <v>8750754.5992437862</v>
      </c>
      <c r="J35" s="839">
        <f>RSQ($E$11:E34,$C$11:C34)</f>
        <v>0.2577292174975091</v>
      </c>
      <c r="K35" s="625">
        <f t="shared" si="6"/>
        <v>-892344.40075621381</v>
      </c>
      <c r="L35" s="828">
        <f t="shared" si="7"/>
        <v>-9.2537098370162316E-2</v>
      </c>
      <c r="M35" s="373">
        <f t="shared" si="8"/>
        <v>9.2537098370162316E-2</v>
      </c>
      <c r="N35" s="837">
        <f>FORECAST($D35,$F$11:$F34,$D$11:$D34)</f>
        <v>15.835315114312854</v>
      </c>
      <c r="O35" s="839">
        <f>RSQ($E$11:E34,$C$11:C34)</f>
        <v>0.2577292174975091</v>
      </c>
      <c r="P35" s="625">
        <f t="shared" si="9"/>
        <v>-2106247.2401227839</v>
      </c>
      <c r="Q35" s="828">
        <f t="shared" si="10"/>
        <v>-1.5324073954731152E-2</v>
      </c>
      <c r="R35" s="373">
        <f t="shared" si="11"/>
        <v>0.21842016141520312</v>
      </c>
      <c r="S35" s="1001">
        <f t="shared" si="12"/>
        <v>7536851.7598772161</v>
      </c>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row>
    <row r="36" spans="1:71">
      <c r="A36" s="810">
        <f t="shared" si="5"/>
        <v>2011</v>
      </c>
      <c r="B36" s="810">
        <f t="shared" si="15"/>
        <v>2013</v>
      </c>
      <c r="C36" s="26">
        <f>VLOOKUP($A36,Database!$A$74:$J$138,6,FALSE)</f>
        <v>3927419</v>
      </c>
      <c r="D36" s="811">
        <f t="shared" si="16"/>
        <v>15.183493025092748</v>
      </c>
      <c r="E36" s="26">
        <f>VLOOKUP($A36+2,Database!$A$74:$J$138,10,FALSE)</f>
        <v>21965453</v>
      </c>
      <c r="F36" s="838">
        <f t="shared" si="13"/>
        <v>16.904981458898906</v>
      </c>
      <c r="G36" s="811">
        <f t="shared" si="0"/>
        <v>5.5928468543845211</v>
      </c>
      <c r="H36" s="838">
        <f t="shared" si="14"/>
        <v>1.721488433806158</v>
      </c>
      <c r="I36" s="372">
        <f>FORECAST($C36,$E$11:$E35,$C$11:$C35)</f>
        <v>15323901.120830838</v>
      </c>
      <c r="J36" s="839">
        <f>RSQ($E$11:E35,$C$11:C35)</f>
        <v>0.25799719334118865</v>
      </c>
      <c r="K36" s="625">
        <f t="shared" si="6"/>
        <v>-6641551.8791691624</v>
      </c>
      <c r="L36" s="828">
        <f t="shared" si="7"/>
        <v>-0.30236352872709532</v>
      </c>
      <c r="M36" s="373">
        <f t="shared" si="8"/>
        <v>0.30236352872709532</v>
      </c>
      <c r="N36" s="837">
        <f>FORECAST($D36,$F$11:$F35,$D$11:$D35)</f>
        <v>16.304485277259062</v>
      </c>
      <c r="O36" s="839">
        <f>RSQ($E$11:E35,$C$11:C35)</f>
        <v>0.25799719334118865</v>
      </c>
      <c r="P36" s="625">
        <f t="shared" si="9"/>
        <v>-9916536.7359979264</v>
      </c>
      <c r="Q36" s="828">
        <f t="shared" si="10"/>
        <v>-3.5521847988998448E-2</v>
      </c>
      <c r="R36" s="373">
        <f t="shared" si="11"/>
        <v>0.45146060661703297</v>
      </c>
      <c r="S36" s="1001">
        <f t="shared" si="12"/>
        <v>12048916.264002074</v>
      </c>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row>
    <row r="37" spans="1:71">
      <c r="A37" s="810">
        <f t="shared" si="5"/>
        <v>2013</v>
      </c>
      <c r="B37" s="810">
        <f t="shared" si="15"/>
        <v>2015</v>
      </c>
      <c r="C37" s="26">
        <f>VLOOKUP($A37,Database!$A$74:$J$138,6,FALSE)</f>
        <v>4684239</v>
      </c>
      <c r="D37" s="811">
        <f t="shared" si="16"/>
        <v>15.359714027163184</v>
      </c>
      <c r="E37" s="26">
        <f>VLOOKUP($A37+2,Database!$A$74:$J$138,10,FALSE)</f>
        <v>31683677.72775621</v>
      </c>
      <c r="F37" s="838">
        <f t="shared" si="13"/>
        <v>17.271312208063883</v>
      </c>
      <c r="G37" s="811">
        <f t="shared" si="0"/>
        <v>6.7638900849756407</v>
      </c>
      <c r="H37" s="838">
        <f t="shared" si="14"/>
        <v>1.9115981809006999</v>
      </c>
      <c r="I37" s="372">
        <f>FORECAST($C37,$E$11:$E36,$C$11:$C36)</f>
        <v>19655530.77292636</v>
      </c>
      <c r="J37" s="839">
        <f>RSQ($E$11:E36,$C$11:C36)</f>
        <v>0.36667923099121791</v>
      </c>
      <c r="K37" s="625">
        <f t="shared" si="6"/>
        <v>-12028146.954829849</v>
      </c>
      <c r="L37" s="828">
        <f t="shared" si="7"/>
        <v>-0.37963228442677588</v>
      </c>
      <c r="M37" s="373">
        <f t="shared" si="8"/>
        <v>0.37963228442677588</v>
      </c>
      <c r="N37" s="837">
        <f>FORECAST($D37,$F$11:$F36,$D$11:$D36)</f>
        <v>16.519735961600638</v>
      </c>
      <c r="O37" s="839">
        <f>RSQ($E$11:E36,$C$11:C36)</f>
        <v>0.36667923099121791</v>
      </c>
      <c r="P37" s="625">
        <f t="shared" si="9"/>
        <v>-16740940.111425966</v>
      </c>
      <c r="Q37" s="828">
        <f t="shared" si="10"/>
        <v>-4.3515874034882981E-2</v>
      </c>
      <c r="R37" s="373">
        <f t="shared" si="11"/>
        <v>0.52837742686544908</v>
      </c>
      <c r="S37" s="1001">
        <f t="shared" si="12"/>
        <v>14942737.616330244</v>
      </c>
      <c r="T37" s="12"/>
      <c r="U37" s="21"/>
      <c r="V37" s="21"/>
      <c r="W37" s="21"/>
      <c r="X37" s="21"/>
      <c r="Y37" s="21"/>
      <c r="Z37" s="21"/>
      <c r="AA37" s="21"/>
      <c r="AB37" s="21"/>
      <c r="AC37" s="21"/>
      <c r="AD37" s="21"/>
      <c r="AE37" s="21"/>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row>
    <row r="38" spans="1:71">
      <c r="A38" s="810">
        <f t="shared" si="5"/>
        <v>2015</v>
      </c>
      <c r="B38" s="810">
        <f t="shared" si="15"/>
        <v>2017</v>
      </c>
      <c r="C38" s="26">
        <f>VLOOKUP($A38,Database!$A$74:$J$138,6,FALSE)</f>
        <v>6148422.160193054</v>
      </c>
      <c r="D38" s="811">
        <f t="shared" si="16"/>
        <v>15.631706047547526</v>
      </c>
      <c r="E38" s="372"/>
      <c r="F38" s="31"/>
      <c r="G38" s="12"/>
      <c r="H38" s="31"/>
      <c r="I38" s="841">
        <f>FORECAST($C38,$E$11:$E37,$C$11:$C37)</f>
        <v>30041783.778372854</v>
      </c>
      <c r="J38" s="840">
        <f>RSQ($E$11:E37,$C$11:C37)</f>
        <v>0.51938870605568188</v>
      </c>
      <c r="K38" s="372"/>
      <c r="L38" s="824"/>
      <c r="M38" s="823"/>
      <c r="N38" s="1061">
        <f>FORECAST($D38,$F$11:$F37,$D$11:$D37)</f>
        <v>16.863566580873666</v>
      </c>
      <c r="O38" s="839">
        <f>RSQ($E$11:E37,$C$11:C37)</f>
        <v>0.51938870605568188</v>
      </c>
      <c r="P38" s="372"/>
      <c r="Q38" s="823"/>
      <c r="R38" s="372"/>
      <c r="S38" s="841">
        <f t="shared" si="12"/>
        <v>21074336.548820641</v>
      </c>
      <c r="T38" s="12"/>
      <c r="U38" s="21"/>
      <c r="V38" s="21"/>
      <c r="W38" s="21"/>
      <c r="X38" s="21"/>
      <c r="Y38" s="21"/>
      <c r="Z38" s="21"/>
      <c r="AA38" s="21"/>
      <c r="AB38" s="21"/>
      <c r="AC38" s="21"/>
      <c r="AD38" s="21"/>
      <c r="AE38" s="21"/>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row>
    <row r="39" spans="1:71" ht="18">
      <c r="A39" s="810"/>
      <c r="B39" s="810"/>
      <c r="C39" s="26"/>
      <c r="D39" s="811"/>
      <c r="E39" s="372"/>
      <c r="F39" s="31"/>
      <c r="G39" s="12"/>
      <c r="H39" s="31"/>
      <c r="I39" s="844"/>
      <c r="J39" s="845"/>
      <c r="K39" s="375"/>
      <c r="L39" s="846"/>
      <c r="M39" s="847"/>
      <c r="N39" s="848"/>
      <c r="O39" s="839"/>
      <c r="P39" s="372"/>
      <c r="Q39" s="823"/>
      <c r="R39" s="372"/>
      <c r="S39" s="844"/>
      <c r="T39" s="12"/>
      <c r="U39" s="21"/>
      <c r="V39" s="21"/>
      <c r="W39" s="21"/>
      <c r="X39" s="21"/>
      <c r="Y39" s="21"/>
      <c r="Z39" s="21"/>
      <c r="AA39" s="21"/>
      <c r="AB39" s="21"/>
      <c r="AC39" s="21"/>
      <c r="AD39" s="21"/>
      <c r="AE39" s="21"/>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row>
    <row r="40" spans="1:71" ht="18">
      <c r="A40" s="810"/>
      <c r="B40" s="810"/>
      <c r="C40" s="26"/>
      <c r="D40" s="811"/>
      <c r="E40" s="372"/>
      <c r="F40" s="31"/>
      <c r="G40" s="12"/>
      <c r="H40" s="31"/>
      <c r="I40" s="844"/>
      <c r="J40" s="845"/>
      <c r="K40" s="375"/>
      <c r="L40" s="846"/>
      <c r="M40" s="847"/>
      <c r="N40" s="848"/>
      <c r="O40" s="839"/>
      <c r="P40" s="372"/>
      <c r="Q40" s="823"/>
      <c r="R40" s="372"/>
      <c r="S40" s="372"/>
      <c r="T40" s="12"/>
      <c r="U40" s="21"/>
      <c r="V40" s="21"/>
      <c r="W40" s="21"/>
      <c r="X40" s="21"/>
      <c r="Y40" s="21"/>
      <c r="Z40" s="21"/>
      <c r="AA40" s="21"/>
      <c r="AB40" s="21"/>
      <c r="AC40" s="21"/>
      <c r="AD40" s="21"/>
      <c r="AE40" s="21"/>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row>
    <row r="41" spans="1:71">
      <c r="A41" s="12"/>
      <c r="B41" s="12"/>
      <c r="C41" s="12"/>
      <c r="D41" s="12"/>
      <c r="E41" s="12"/>
      <c r="F41" s="31"/>
      <c r="G41" s="12"/>
      <c r="H41" s="12"/>
      <c r="I41" s="12"/>
      <c r="J41" s="12"/>
      <c r="K41" s="12"/>
      <c r="L41" s="827" t="s">
        <v>318</v>
      </c>
      <c r="M41" s="1071">
        <f>AVERAGE(M15:M40)</f>
        <v>0.75647602511853473</v>
      </c>
      <c r="N41" s="12"/>
      <c r="O41" s="12"/>
      <c r="P41" s="12"/>
      <c r="Q41" s="827" t="s">
        <v>318</v>
      </c>
      <c r="R41" s="1073">
        <f>AVERAGE(R14:R40)</f>
        <v>0.67263973061868199</v>
      </c>
      <c r="S41" s="835"/>
      <c r="T41" s="12"/>
      <c r="U41" s="21"/>
      <c r="V41" s="21"/>
      <c r="W41" s="21"/>
      <c r="X41" s="21"/>
      <c r="Y41" s="21"/>
      <c r="Z41" s="21"/>
      <c r="AA41" s="21"/>
      <c r="AB41" s="21"/>
      <c r="AC41" s="21"/>
      <c r="AD41" s="21"/>
      <c r="AE41" s="21"/>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row>
    <row r="42" spans="1:71" ht="18">
      <c r="A42" s="812"/>
      <c r="B42" s="813"/>
      <c r="C42" s="21"/>
      <c r="D42" s="21"/>
      <c r="E42" s="21"/>
      <c r="F42" s="21"/>
      <c r="G42" s="21"/>
      <c r="H42" s="21"/>
      <c r="I42" s="21"/>
      <c r="J42" s="21"/>
      <c r="K42" s="21"/>
      <c r="L42" s="827" t="s">
        <v>319</v>
      </c>
      <c r="M42" s="1072">
        <f>STDEV(M11:M40)</f>
        <v>1.1768368991019769</v>
      </c>
      <c r="O42" s="842"/>
      <c r="P42" s="21"/>
      <c r="Q42" s="827" t="s">
        <v>319</v>
      </c>
      <c r="R42" s="1074">
        <f>STDEV(R11:R40)</f>
        <v>0.95590831550312272</v>
      </c>
      <c r="S42" s="836"/>
      <c r="T42" s="21"/>
      <c r="U42" s="21"/>
      <c r="V42" s="21"/>
      <c r="W42" s="21"/>
      <c r="X42" s="21"/>
      <c r="Y42" s="21"/>
      <c r="Z42" s="21"/>
      <c r="AA42" s="21"/>
      <c r="AB42" s="21"/>
      <c r="AC42" s="21"/>
      <c r="AD42" s="21"/>
      <c r="AE42" s="21"/>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row>
    <row r="43" spans="1:71" ht="19" thickBot="1">
      <c r="A43" s="21"/>
      <c r="B43" s="21"/>
      <c r="C43" s="21"/>
      <c r="D43" s="21"/>
      <c r="E43" s="21"/>
      <c r="F43" s="21"/>
      <c r="G43" s="21"/>
      <c r="H43" s="21"/>
      <c r="I43" s="21"/>
      <c r="J43" s="21"/>
      <c r="K43" s="21"/>
      <c r="M43" s="843"/>
      <c r="N43" s="844"/>
      <c r="O43" s="21"/>
      <c r="P43" s="21"/>
      <c r="Q43" s="21"/>
      <c r="R43" s="21"/>
      <c r="S43" s="21"/>
      <c r="T43" s="21"/>
      <c r="U43" s="21"/>
      <c r="V43" s="21"/>
      <c r="W43" s="21"/>
      <c r="X43" s="21"/>
      <c r="Y43" s="21"/>
      <c r="Z43" s="21"/>
      <c r="AA43" s="21"/>
      <c r="AB43" s="21"/>
      <c r="AC43" s="21"/>
      <c r="AD43" s="21"/>
      <c r="AE43" s="21"/>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row>
    <row r="44" spans="1:71" ht="18">
      <c r="A44" s="1019"/>
      <c r="B44" s="698"/>
      <c r="C44" s="698" t="s">
        <v>359</v>
      </c>
      <c r="D44" s="698"/>
      <c r="E44" s="698"/>
      <c r="F44" s="698"/>
      <c r="G44" s="698"/>
      <c r="H44" s="698"/>
      <c r="I44" s="1020"/>
      <c r="J44" s="21"/>
      <c r="K44" s="21"/>
      <c r="M44" s="843"/>
      <c r="N44" s="844"/>
      <c r="O44" s="21"/>
      <c r="P44" s="21"/>
      <c r="Q44" s="21"/>
      <c r="R44" s="21"/>
      <c r="S44" s="21"/>
      <c r="T44" s="21"/>
      <c r="U44" s="21"/>
      <c r="V44" s="21"/>
      <c r="W44" s="21"/>
      <c r="X44" s="21"/>
      <c r="Y44" s="21"/>
      <c r="Z44" s="21"/>
      <c r="AA44" s="21"/>
      <c r="AB44" s="21"/>
      <c r="AC44" s="21"/>
      <c r="AD44" s="21"/>
      <c r="AE44" s="21"/>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row>
    <row r="45" spans="1:71" ht="18">
      <c r="A45" s="1021"/>
      <c r="B45" s="3"/>
      <c r="C45" s="235" t="s">
        <v>189</v>
      </c>
      <c r="D45" s="235" t="s">
        <v>191</v>
      </c>
      <c r="E45" s="235" t="s">
        <v>192</v>
      </c>
      <c r="F45" s="235" t="s">
        <v>118</v>
      </c>
      <c r="G45" s="235" t="s">
        <v>345</v>
      </c>
      <c r="H45" s="1116" t="s">
        <v>76</v>
      </c>
      <c r="I45" s="1121"/>
      <c r="J45" s="21"/>
      <c r="K45" s="21"/>
      <c r="M45" s="843"/>
      <c r="N45" s="844"/>
      <c r="O45" s="21"/>
      <c r="P45" s="21"/>
      <c r="Q45" s="21"/>
      <c r="R45" s="21"/>
      <c r="S45" s="21"/>
      <c r="T45" s="21"/>
      <c r="U45" s="21"/>
      <c r="V45" s="21"/>
      <c r="W45" s="21"/>
      <c r="X45" s="21"/>
      <c r="Y45" s="21"/>
      <c r="Z45" s="21"/>
      <c r="AA45" s="21"/>
      <c r="AB45" s="21"/>
      <c r="AC45" s="21"/>
      <c r="AD45" s="21"/>
      <c r="AE45" s="21"/>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row>
    <row r="46" spans="1:71" ht="18">
      <c r="A46" s="1021"/>
      <c r="B46" s="827" t="s">
        <v>346</v>
      </c>
      <c r="C46" s="991">
        <f>I38</f>
        <v>30041783.778372854</v>
      </c>
      <c r="D46" s="991">
        <f>C46-Regression_Performance!$J$49</f>
        <v>21897806.934191544</v>
      </c>
      <c r="E46" s="991">
        <f>C46+Regression_Performance!$J$49</f>
        <v>38185760.622554161</v>
      </c>
      <c r="F46" s="992">
        <f>B59</f>
        <v>27</v>
      </c>
      <c r="G46" s="1070">
        <f>B56</f>
        <v>0.51938870605568199</v>
      </c>
      <c r="H46" s="1119">
        <f>F63</f>
        <v>2.2358872451044465E-5</v>
      </c>
      <c r="I46" s="1120"/>
      <c r="J46" s="21"/>
      <c r="K46" s="21"/>
      <c r="M46" s="843"/>
      <c r="N46" s="844"/>
      <c r="O46" s="21"/>
      <c r="P46" s="21"/>
      <c r="Q46" s="21"/>
      <c r="R46" s="21"/>
      <c r="S46" s="21"/>
      <c r="T46" s="21"/>
      <c r="U46" s="21"/>
      <c r="V46" s="21"/>
      <c r="W46" s="21"/>
      <c r="X46" s="21"/>
      <c r="Y46" s="21"/>
      <c r="Z46" s="21"/>
      <c r="AA46" s="21"/>
      <c r="AB46" s="21"/>
      <c r="AC46" s="21"/>
      <c r="AD46" s="21"/>
      <c r="AE46" s="21"/>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row>
    <row r="47" spans="1:71" ht="18">
      <c r="A47" s="1021"/>
      <c r="B47" s="827" t="s">
        <v>347</v>
      </c>
      <c r="C47" s="991">
        <f>S38</f>
        <v>21074336.548820641</v>
      </c>
      <c r="D47" s="991">
        <f>C47-Regression_Performance!$J$51</f>
        <v>14401011.980793558</v>
      </c>
      <c r="E47" s="991">
        <f>C47+Regression_Performance!$J$51</f>
        <v>27747661.116847724</v>
      </c>
      <c r="F47" s="992">
        <f>L59</f>
        <v>27</v>
      </c>
      <c r="G47" s="1070">
        <f>L56</f>
        <v>0.31828800567287485</v>
      </c>
      <c r="H47" s="1119">
        <f>P63</f>
        <v>2.1755681915448569E-3</v>
      </c>
      <c r="I47" s="1120"/>
      <c r="J47" s="21"/>
      <c r="K47" s="21"/>
      <c r="M47" s="843"/>
      <c r="N47" s="844"/>
      <c r="O47" s="21"/>
      <c r="P47" s="21"/>
      <c r="Q47" s="21"/>
      <c r="R47" s="21"/>
      <c r="S47" s="21"/>
      <c r="T47" s="21"/>
      <c r="U47" s="21"/>
      <c r="V47" s="21"/>
      <c r="W47" s="21"/>
      <c r="X47" s="21"/>
      <c r="Y47" s="21"/>
      <c r="Z47" s="21"/>
      <c r="AA47" s="21"/>
      <c r="AB47" s="21"/>
      <c r="AC47" s="21"/>
      <c r="AD47" s="21"/>
      <c r="AE47" s="21"/>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row>
    <row r="48" spans="1:71" ht="19" thickBot="1">
      <c r="A48" s="1022"/>
      <c r="B48" s="1023"/>
      <c r="C48" s="1023"/>
      <c r="D48" s="1023"/>
      <c r="E48" s="1023"/>
      <c r="F48" s="1023"/>
      <c r="G48" s="1023"/>
      <c r="H48" s="1023"/>
      <c r="I48" s="1024"/>
      <c r="J48" s="21"/>
      <c r="K48" s="21"/>
      <c r="M48" s="843"/>
      <c r="N48" s="844"/>
      <c r="O48" s="21"/>
      <c r="P48" s="21"/>
      <c r="Q48" s="21"/>
      <c r="R48" s="21"/>
      <c r="S48" s="21"/>
      <c r="T48" s="21"/>
      <c r="U48" s="21"/>
      <c r="V48" s="21"/>
      <c r="W48" s="21"/>
      <c r="X48" s="21"/>
      <c r="Y48" s="21"/>
      <c r="Z48" s="21"/>
      <c r="AA48" s="21"/>
      <c r="AB48" s="21"/>
      <c r="AC48" s="21"/>
      <c r="AD48" s="21"/>
      <c r="AE48" s="21"/>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row>
    <row r="49" spans="1:71" ht="18">
      <c r="A49" s="21"/>
      <c r="B49" s="21"/>
      <c r="C49" s="21"/>
      <c r="D49" s="21"/>
      <c r="E49" s="21"/>
      <c r="F49" s="21"/>
      <c r="G49" s="21"/>
      <c r="H49" s="21"/>
      <c r="I49" s="21"/>
      <c r="J49" s="21"/>
      <c r="K49" s="21"/>
      <c r="M49" s="843"/>
      <c r="N49" s="844"/>
      <c r="O49" s="21"/>
      <c r="P49" s="21"/>
      <c r="Q49" s="21"/>
      <c r="R49" s="21"/>
      <c r="S49" s="21"/>
      <c r="T49" s="21"/>
      <c r="U49" s="21"/>
      <c r="V49" s="21"/>
      <c r="W49" s="21"/>
      <c r="X49" s="21"/>
      <c r="Y49" s="21"/>
      <c r="Z49" s="21"/>
      <c r="AA49" s="21"/>
      <c r="AB49" s="21"/>
      <c r="AC49" s="21"/>
      <c r="AD49" s="21"/>
      <c r="AE49" s="21"/>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row>
    <row r="50" spans="1:71" ht="18">
      <c r="A50" s="21"/>
      <c r="B50" s="21"/>
      <c r="C50" s="21"/>
      <c r="D50" s="21"/>
      <c r="E50" s="21"/>
      <c r="F50" s="21"/>
      <c r="G50" s="21"/>
      <c r="H50" s="21"/>
      <c r="I50" s="21"/>
      <c r="J50" s="21"/>
      <c r="K50" s="21"/>
      <c r="M50" s="843"/>
      <c r="N50" s="844"/>
      <c r="O50" s="21"/>
      <c r="P50" s="21"/>
      <c r="Q50" s="21"/>
      <c r="R50" s="21"/>
      <c r="S50" s="21"/>
      <c r="T50" s="21"/>
      <c r="U50" s="21"/>
      <c r="V50" s="21"/>
      <c r="W50" s="21"/>
      <c r="X50" s="21"/>
      <c r="Y50" s="21"/>
      <c r="Z50" s="21"/>
      <c r="AA50" s="21"/>
      <c r="AB50" s="21"/>
      <c r="AC50" s="21"/>
      <c r="AD50" s="21"/>
      <c r="AE50" s="21"/>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row>
    <row r="51" spans="1:71" ht="20">
      <c r="A51" s="988" t="s">
        <v>364</v>
      </c>
      <c r="B51" s="986"/>
      <c r="C51" s="986"/>
      <c r="D51" s="986"/>
      <c r="E51" s="986"/>
      <c r="F51" s="986"/>
      <c r="G51" s="986"/>
      <c r="H51" s="21"/>
      <c r="I51" s="21"/>
      <c r="J51" s="21"/>
      <c r="K51" s="988" t="s">
        <v>365</v>
      </c>
      <c r="L51" s="986"/>
      <c r="M51" s="987"/>
      <c r="N51" s="986"/>
      <c r="O51" s="986"/>
      <c r="P51" s="986"/>
      <c r="Q51" s="986"/>
      <c r="R51" s="986"/>
      <c r="S51" s="21"/>
      <c r="T51" s="21"/>
      <c r="U51" s="21"/>
      <c r="V51" s="21"/>
      <c r="W51" s="21"/>
      <c r="X51" s="21"/>
      <c r="Y51" s="21"/>
      <c r="Z51" s="21"/>
      <c r="AA51" s="21"/>
      <c r="AB51" s="21"/>
      <c r="AC51" s="21"/>
      <c r="AD51" s="21"/>
      <c r="AE51" s="21"/>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row>
    <row r="52" spans="1:71">
      <c r="A52" t="s">
        <v>65</v>
      </c>
      <c r="J52" s="12"/>
      <c r="K52" t="s">
        <v>65</v>
      </c>
      <c r="T52" s="12"/>
      <c r="U52" s="21"/>
      <c r="V52" s="21"/>
      <c r="W52" s="21"/>
      <c r="X52" s="21"/>
      <c r="Y52" s="21"/>
      <c r="Z52" s="21"/>
      <c r="AA52" s="21"/>
      <c r="AB52" s="21"/>
      <c r="AC52" s="21"/>
      <c r="AD52" s="21"/>
      <c r="AE52" s="21"/>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row>
    <row r="53" spans="1:71" ht="17" thickBot="1">
      <c r="J53" s="12"/>
      <c r="T53" s="12"/>
      <c r="U53" s="21"/>
      <c r="V53" s="21"/>
      <c r="W53" s="21"/>
      <c r="X53" s="21"/>
      <c r="Y53" s="21"/>
      <c r="Z53" s="21"/>
      <c r="AA53" s="21"/>
      <c r="AB53" s="21"/>
      <c r="AC53" s="21"/>
      <c r="AD53" s="21"/>
      <c r="AE53" s="21"/>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row>
    <row r="54" spans="1:71">
      <c r="A54" s="11" t="s">
        <v>66</v>
      </c>
      <c r="B54" s="11"/>
      <c r="J54" s="12"/>
      <c r="K54" s="11" t="s">
        <v>66</v>
      </c>
      <c r="L54" s="11"/>
      <c r="T54" s="12"/>
      <c r="U54" s="21"/>
      <c r="V54" s="21"/>
      <c r="W54" s="21"/>
      <c r="X54" s="21"/>
      <c r="Y54" s="21"/>
      <c r="Z54" s="21"/>
      <c r="AA54" s="21"/>
      <c r="AB54" s="21"/>
      <c r="AC54" s="21"/>
      <c r="AD54" s="21"/>
      <c r="AE54" s="21"/>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row>
    <row r="55" spans="1:71">
      <c r="A55" s="8" t="s">
        <v>67</v>
      </c>
      <c r="B55" s="8">
        <v>0.72068627436331967</v>
      </c>
      <c r="J55" s="12"/>
      <c r="K55" s="8" t="s">
        <v>67</v>
      </c>
      <c r="L55" s="8">
        <v>0.56417019211659425</v>
      </c>
      <c r="T55" s="12"/>
      <c r="U55" s="21"/>
      <c r="V55" s="21"/>
      <c r="W55" s="21"/>
      <c r="X55" s="21"/>
      <c r="Y55" s="21"/>
      <c r="Z55" s="21"/>
      <c r="AA55" s="21"/>
      <c r="AB55" s="21"/>
      <c r="AC55" s="21"/>
      <c r="AD55" s="21"/>
      <c r="AE55" s="21"/>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row>
    <row r="56" spans="1:71">
      <c r="A56" s="8" t="s">
        <v>68</v>
      </c>
      <c r="B56" s="8">
        <v>0.51938870605568199</v>
      </c>
      <c r="J56" s="12"/>
      <c r="K56" s="8" t="s">
        <v>68</v>
      </c>
      <c r="L56" s="8">
        <v>0.31828800567287485</v>
      </c>
      <c r="T56" s="12"/>
      <c r="U56" s="21"/>
      <c r="V56" s="21"/>
      <c r="W56" s="21"/>
      <c r="X56" s="21"/>
      <c r="Y56" s="21"/>
      <c r="Z56" s="21"/>
      <c r="AA56" s="21"/>
      <c r="AB56" s="21"/>
      <c r="AC56" s="21"/>
      <c r="AD56" s="21"/>
      <c r="AE56" s="21"/>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row>
    <row r="57" spans="1:71">
      <c r="A57" s="8" t="s">
        <v>69</v>
      </c>
      <c r="B57" s="8">
        <v>0.50016425429790923</v>
      </c>
      <c r="J57" s="12"/>
      <c r="K57" s="8" t="s">
        <v>69</v>
      </c>
      <c r="L57" s="8">
        <v>0.29101952589978985</v>
      </c>
      <c r="T57" s="12"/>
      <c r="U57" s="21"/>
      <c r="V57" s="21"/>
      <c r="W57" s="21"/>
      <c r="X57" s="21"/>
      <c r="Y57" s="21"/>
      <c r="Z57" s="21"/>
      <c r="AA57" s="21"/>
      <c r="AB57" s="21"/>
      <c r="AC57" s="21"/>
      <c r="AD57" s="21"/>
      <c r="AE57" s="21"/>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row>
    <row r="58" spans="1:71">
      <c r="A58" s="8" t="s">
        <v>70</v>
      </c>
      <c r="B58" s="8">
        <v>5121587.3536787378</v>
      </c>
      <c r="J58" s="12"/>
      <c r="K58" s="8" t="s">
        <v>70</v>
      </c>
      <c r="L58" s="8">
        <v>0.63116999078159552</v>
      </c>
      <c r="T58" s="12"/>
      <c r="U58" s="21"/>
      <c r="V58" s="21"/>
      <c r="W58" s="21"/>
      <c r="X58" s="21"/>
      <c r="Y58" s="21"/>
      <c r="Z58" s="21"/>
      <c r="AA58" s="21"/>
      <c r="AB58" s="21"/>
      <c r="AC58" s="21"/>
      <c r="AD58" s="21"/>
      <c r="AE58" s="21"/>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row>
    <row r="59" spans="1:71" ht="17" thickBot="1">
      <c r="A59" s="9" t="s">
        <v>71</v>
      </c>
      <c r="B59" s="9">
        <v>27</v>
      </c>
      <c r="J59" s="12"/>
      <c r="K59" s="9" t="s">
        <v>71</v>
      </c>
      <c r="L59" s="9">
        <v>27</v>
      </c>
      <c r="T59" s="12"/>
      <c r="U59" s="21"/>
      <c r="V59" s="21"/>
      <c r="W59" s="21"/>
      <c r="X59" s="21"/>
      <c r="Y59" s="21"/>
      <c r="Z59" s="21"/>
      <c r="AA59" s="21"/>
      <c r="AB59" s="21"/>
      <c r="AC59" s="21"/>
      <c r="AD59" s="21"/>
      <c r="AE59" s="21"/>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row>
    <row r="60" spans="1:71">
      <c r="J60" s="12"/>
      <c r="T60" s="12"/>
      <c r="U60" s="21"/>
      <c r="V60" s="21"/>
      <c r="W60" s="21"/>
      <c r="X60" s="21"/>
      <c r="Y60" s="21"/>
      <c r="Z60" s="21"/>
      <c r="AA60" s="21"/>
      <c r="AB60" s="21"/>
      <c r="AC60" s="21"/>
      <c r="AD60" s="21"/>
      <c r="AE60" s="21"/>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row>
    <row r="61" spans="1:71" ht="17" thickBot="1">
      <c r="A61" t="s">
        <v>72</v>
      </c>
      <c r="J61" s="12"/>
      <c r="K61" t="s">
        <v>72</v>
      </c>
      <c r="T61" s="12"/>
      <c r="U61" s="21"/>
      <c r="V61" s="21"/>
      <c r="W61" s="21"/>
      <c r="X61" s="21"/>
      <c r="Y61" s="21"/>
      <c r="Z61" s="21"/>
      <c r="AA61" s="21"/>
      <c r="AB61" s="21"/>
      <c r="AC61" s="21"/>
      <c r="AD61" s="21"/>
      <c r="AE61" s="21"/>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row>
    <row r="62" spans="1:71">
      <c r="A62" s="10"/>
      <c r="B62" s="10" t="s">
        <v>73</v>
      </c>
      <c r="C62" s="10" t="s">
        <v>74</v>
      </c>
      <c r="D62" s="10" t="s">
        <v>75</v>
      </c>
      <c r="E62" s="10" t="s">
        <v>76</v>
      </c>
      <c r="F62" s="10" t="s">
        <v>77</v>
      </c>
      <c r="J62" s="12"/>
      <c r="K62" s="10"/>
      <c r="L62" s="10" t="s">
        <v>73</v>
      </c>
      <c r="M62" s="10" t="s">
        <v>74</v>
      </c>
      <c r="N62" s="10" t="s">
        <v>75</v>
      </c>
      <c r="O62" s="10" t="s">
        <v>76</v>
      </c>
      <c r="P62" s="10" t="s">
        <v>77</v>
      </c>
      <c r="T62" s="12"/>
      <c r="U62" s="21"/>
      <c r="V62" s="21"/>
      <c r="W62" s="21"/>
      <c r="X62" s="21"/>
      <c r="Y62" s="21"/>
      <c r="Z62" s="21"/>
      <c r="AA62" s="21"/>
      <c r="AB62" s="21"/>
      <c r="AC62" s="21"/>
      <c r="AD62" s="21"/>
      <c r="AE62" s="21"/>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row>
    <row r="63" spans="1:71">
      <c r="A63" s="8" t="s">
        <v>78</v>
      </c>
      <c r="B63" s="8">
        <v>1</v>
      </c>
      <c r="C63" s="8">
        <v>708675970632413.5</v>
      </c>
      <c r="D63" s="8">
        <v>708675970632413.5</v>
      </c>
      <c r="E63" s="8">
        <v>27.017088060557345</v>
      </c>
      <c r="F63" s="8">
        <v>2.2358872451044465E-5</v>
      </c>
      <c r="J63" s="12"/>
      <c r="K63" s="8" t="s">
        <v>78</v>
      </c>
      <c r="L63" s="8">
        <v>1</v>
      </c>
      <c r="M63" s="8">
        <v>4.6499901235891805</v>
      </c>
      <c r="N63" s="8">
        <v>4.6499901235891805</v>
      </c>
      <c r="O63" s="8">
        <v>11.67237808346899</v>
      </c>
      <c r="P63" s="8">
        <v>2.1755681915448569E-3</v>
      </c>
      <c r="T63" s="12"/>
      <c r="U63" s="21"/>
      <c r="V63" s="21"/>
      <c r="W63" s="21"/>
      <c r="X63" s="21"/>
      <c r="Y63" s="21"/>
      <c r="Z63" s="21"/>
      <c r="AA63" s="21"/>
      <c r="AB63" s="21"/>
      <c r="AC63" s="21"/>
      <c r="AD63" s="21"/>
      <c r="AE63" s="21"/>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row>
    <row r="64" spans="1:71">
      <c r="A64" s="8" t="s">
        <v>79</v>
      </c>
      <c r="B64" s="8">
        <v>25</v>
      </c>
      <c r="C64" s="8">
        <v>655766425534049.5</v>
      </c>
      <c r="D64" s="8">
        <v>26230657021361.98</v>
      </c>
      <c r="E64" s="8"/>
      <c r="F64" s="8"/>
      <c r="J64" s="12"/>
      <c r="K64" s="8" t="s">
        <v>79</v>
      </c>
      <c r="L64" s="8">
        <v>25</v>
      </c>
      <c r="M64" s="8">
        <v>9.9593889315809836</v>
      </c>
      <c r="N64" s="8">
        <v>0.39837555726323937</v>
      </c>
      <c r="O64" s="8"/>
      <c r="P64" s="8"/>
      <c r="T64" s="12"/>
      <c r="U64" s="21"/>
      <c r="V64" s="21"/>
      <c r="W64" s="21"/>
      <c r="X64" s="21"/>
      <c r="Y64" s="21"/>
      <c r="Z64" s="21"/>
      <c r="AA64" s="21"/>
      <c r="AB64" s="21"/>
      <c r="AC64" s="21"/>
      <c r="AD64" s="21"/>
      <c r="AE64" s="21"/>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row>
    <row r="65" spans="1:71" ht="17" thickBot="1">
      <c r="A65" s="9" t="s">
        <v>4</v>
      </c>
      <c r="B65" s="9">
        <v>26</v>
      </c>
      <c r="C65" s="9">
        <v>1364442396166463</v>
      </c>
      <c r="D65" s="9"/>
      <c r="E65" s="9"/>
      <c r="F65" s="9"/>
      <c r="J65" s="12"/>
      <c r="K65" s="9" t="s">
        <v>4</v>
      </c>
      <c r="L65" s="9">
        <v>26</v>
      </c>
      <c r="M65" s="9">
        <v>14.609379055170164</v>
      </c>
      <c r="N65" s="9"/>
      <c r="O65" s="9"/>
      <c r="P65" s="9"/>
      <c r="T65" s="12"/>
      <c r="U65" s="21"/>
      <c r="V65" s="21"/>
      <c r="W65" s="21"/>
      <c r="X65" s="21"/>
      <c r="Y65" s="21"/>
      <c r="Z65" s="21"/>
      <c r="AA65" s="21"/>
      <c r="AB65" s="21"/>
      <c r="AC65" s="21"/>
      <c r="AD65" s="21"/>
      <c r="AE65" s="21"/>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row>
    <row r="66" spans="1:71" ht="17" thickBot="1">
      <c r="J66" s="12"/>
      <c r="T66" s="12"/>
      <c r="U66" s="21"/>
      <c r="V66" s="21"/>
      <c r="W66" s="21"/>
      <c r="X66" s="21"/>
      <c r="Y66" s="21"/>
      <c r="Z66" s="21"/>
      <c r="AA66" s="21"/>
      <c r="AB66" s="21"/>
      <c r="AC66" s="21"/>
      <c r="AD66" s="21"/>
      <c r="AE66" s="21"/>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row>
    <row r="67" spans="1:71">
      <c r="A67" s="10"/>
      <c r="B67" s="10" t="s">
        <v>80</v>
      </c>
      <c r="C67" s="10" t="s">
        <v>70</v>
      </c>
      <c r="D67" s="10" t="s">
        <v>81</v>
      </c>
      <c r="E67" s="10" t="s">
        <v>82</v>
      </c>
      <c r="F67" s="10" t="s">
        <v>83</v>
      </c>
      <c r="G67" s="10" t="s">
        <v>84</v>
      </c>
      <c r="H67" s="10" t="s">
        <v>199</v>
      </c>
      <c r="I67" s="10" t="s">
        <v>200</v>
      </c>
      <c r="J67" s="816"/>
      <c r="K67" s="10"/>
      <c r="L67" s="10" t="s">
        <v>80</v>
      </c>
      <c r="M67" s="10" t="s">
        <v>70</v>
      </c>
      <c r="N67" s="10" t="s">
        <v>81</v>
      </c>
      <c r="O67" s="10" t="s">
        <v>82</v>
      </c>
      <c r="P67" s="10" t="s">
        <v>83</v>
      </c>
      <c r="Q67" s="10" t="s">
        <v>84</v>
      </c>
      <c r="R67" s="10" t="s">
        <v>199</v>
      </c>
      <c r="S67" s="10" t="s">
        <v>200</v>
      </c>
      <c r="T67" s="990" t="s">
        <v>200</v>
      </c>
      <c r="U67" s="21"/>
      <c r="V67" s="21"/>
      <c r="W67" s="21"/>
      <c r="X67" s="21"/>
      <c r="Y67" s="21"/>
      <c r="Z67" s="21"/>
      <c r="AA67" s="21"/>
      <c r="AB67" s="21"/>
      <c r="AC67" s="21"/>
      <c r="AD67" s="21"/>
      <c r="AE67" s="21"/>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row>
    <row r="68" spans="1:71">
      <c r="A68" s="8" t="s">
        <v>59</v>
      </c>
      <c r="B68" s="8">
        <v>613155.26415225677</v>
      </c>
      <c r="C68" s="8">
        <v>2038653.3390347317</v>
      </c>
      <c r="D68" s="8">
        <v>0.30076484923257013</v>
      </c>
      <c r="E68" s="8">
        <v>0.76608094767307022</v>
      </c>
      <c r="F68" s="8">
        <v>-3585529.8832890121</v>
      </c>
      <c r="G68" s="8">
        <v>4811840.4115935257</v>
      </c>
      <c r="H68" s="8">
        <v>-3585529.8832890121</v>
      </c>
      <c r="I68" s="8">
        <v>4811840.4115935257</v>
      </c>
      <c r="J68" s="815"/>
      <c r="K68" s="8" t="s">
        <v>59</v>
      </c>
      <c r="L68" s="8">
        <v>4.6319175316853265</v>
      </c>
      <c r="M68" s="8">
        <v>3.2862921075713594</v>
      </c>
      <c r="N68" s="8">
        <v>1.4094661643174542</v>
      </c>
      <c r="O68" s="8">
        <v>0.17101631907247677</v>
      </c>
      <c r="P68" s="8">
        <v>-2.1363277594667753</v>
      </c>
      <c r="Q68" s="8">
        <v>11.400162822837428</v>
      </c>
      <c r="R68" s="8">
        <v>-2.1363277594667753</v>
      </c>
      <c r="S68" s="8">
        <v>11.400162822837428</v>
      </c>
      <c r="T68" s="815">
        <v>21.847377513512445</v>
      </c>
      <c r="U68" s="21"/>
      <c r="V68" s="21"/>
      <c r="W68" s="21"/>
      <c r="X68" s="21"/>
      <c r="Y68" s="21"/>
      <c r="Z68" s="21"/>
      <c r="AA68" s="21"/>
      <c r="AB68" s="21"/>
      <c r="AC68" s="21"/>
      <c r="AD68" s="21"/>
      <c r="AE68" s="21"/>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row>
    <row r="69" spans="1:71" ht="17" thickBot="1">
      <c r="A69" s="9" t="s">
        <v>85</v>
      </c>
      <c r="B69" s="9">
        <v>4.7863708358790653</v>
      </c>
      <c r="C69" s="9">
        <v>0.92084614525703068</v>
      </c>
      <c r="D69" s="9">
        <v>5.1977964620170853</v>
      </c>
      <c r="E69" s="9">
        <v>2.235887245104451E-5</v>
      </c>
      <c r="F69" s="9">
        <v>2.8898526985679474</v>
      </c>
      <c r="G69" s="9">
        <v>6.6828889731901828</v>
      </c>
      <c r="H69" s="9">
        <v>2.8898526985679474</v>
      </c>
      <c r="I69" s="9">
        <v>6.6828889731901828</v>
      </c>
      <c r="J69" s="815"/>
      <c r="K69" s="9" t="s">
        <v>85</v>
      </c>
      <c r="L69" s="9">
        <v>0.78248970470548063</v>
      </c>
      <c r="M69" s="9">
        <v>0.22903347316091066</v>
      </c>
      <c r="N69" s="9">
        <v>3.4164862188320027</v>
      </c>
      <c r="O69" s="9">
        <v>2.1755681915448491E-3</v>
      </c>
      <c r="P69" s="9">
        <v>0.31078643685959745</v>
      </c>
      <c r="Q69" s="9">
        <v>1.2541929725513639</v>
      </c>
      <c r="R69" s="9">
        <v>0.31078643685959745</v>
      </c>
      <c r="S69" s="9">
        <v>1.2541929725513639</v>
      </c>
      <c r="T69" s="989">
        <v>1.2153396970600492</v>
      </c>
      <c r="U69" s="21"/>
      <c r="V69" s="21"/>
      <c r="W69" s="21"/>
      <c r="X69" s="21"/>
      <c r="Y69" s="21"/>
      <c r="Z69" s="21"/>
      <c r="AA69" s="21"/>
      <c r="AB69" s="21"/>
      <c r="AC69" s="21"/>
      <c r="AD69" s="21"/>
      <c r="AE69" s="21"/>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row>
    <row r="70" spans="1:71">
      <c r="J70" s="12"/>
      <c r="T70" s="12"/>
      <c r="U70" s="21"/>
      <c r="V70" s="814"/>
      <c r="W70" s="814"/>
      <c r="X70" s="21"/>
      <c r="Y70" s="21"/>
      <c r="Z70" s="21"/>
      <c r="AA70" s="21"/>
      <c r="AB70" s="21"/>
      <c r="AC70" s="21"/>
      <c r="AD70" s="21"/>
      <c r="AE70" s="21"/>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row>
    <row r="71" spans="1:71">
      <c r="J71" s="12"/>
      <c r="T71" s="12"/>
      <c r="U71" s="21"/>
      <c r="V71" s="815"/>
      <c r="W71" s="815"/>
      <c r="X71" s="21"/>
      <c r="Y71" s="21"/>
      <c r="Z71" s="21"/>
      <c r="AA71" s="21"/>
      <c r="AB71" s="21"/>
      <c r="AC71" s="21"/>
      <c r="AD71" s="21"/>
      <c r="AE71" s="21"/>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row>
    <row r="72" spans="1:71">
      <c r="J72" s="12"/>
      <c r="T72" s="12"/>
      <c r="U72" s="21"/>
      <c r="V72" s="815"/>
      <c r="W72" s="815"/>
      <c r="X72" s="21"/>
      <c r="Y72" s="21"/>
      <c r="Z72" s="21"/>
      <c r="AA72" s="21"/>
      <c r="AB72" s="21"/>
      <c r="AC72" s="21"/>
      <c r="AD72" s="21"/>
      <c r="AE72" s="21"/>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row>
    <row r="73" spans="1:71">
      <c r="A73" s="13"/>
      <c r="B73" s="13"/>
      <c r="C73" s="13"/>
      <c r="D73" s="12"/>
      <c r="E73" s="12"/>
      <c r="F73" s="12"/>
      <c r="G73" s="12"/>
      <c r="H73" s="12"/>
      <c r="I73" s="12"/>
      <c r="J73" s="12"/>
      <c r="K73" s="12"/>
      <c r="L73" s="21"/>
      <c r="M73" s="21"/>
      <c r="N73" s="21"/>
      <c r="O73" s="21"/>
      <c r="P73" s="21"/>
      <c r="Q73" s="21"/>
      <c r="R73" s="21"/>
      <c r="S73" s="21"/>
      <c r="T73" s="21"/>
      <c r="U73" s="21"/>
      <c r="V73" s="815"/>
      <c r="W73" s="815"/>
      <c r="X73" s="21"/>
      <c r="Y73" s="21"/>
      <c r="Z73" s="21"/>
      <c r="AA73" s="21"/>
      <c r="AB73" s="21"/>
      <c r="AC73" s="21"/>
      <c r="AD73" s="21"/>
      <c r="AE73" s="21"/>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row>
    <row r="74" spans="1:71">
      <c r="A74" s="3"/>
      <c r="B74" s="3"/>
      <c r="C74" s="3"/>
      <c r="L74" s="21"/>
      <c r="M74" s="21"/>
      <c r="N74" s="21"/>
      <c r="O74" s="21"/>
      <c r="P74" s="21"/>
      <c r="Q74" s="21"/>
      <c r="R74" s="21"/>
      <c r="S74" s="21"/>
      <c r="T74" s="21"/>
      <c r="U74" s="21"/>
      <c r="V74" s="815"/>
      <c r="W74" s="815"/>
      <c r="X74" s="21"/>
      <c r="Y74" s="21"/>
      <c r="Z74" s="21"/>
      <c r="AA74" s="21"/>
      <c r="AB74" s="21"/>
      <c r="AC74" s="21"/>
      <c r="AD74" s="21"/>
      <c r="AE74" s="21"/>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row>
    <row r="75" spans="1:71">
      <c r="A75" s="674"/>
      <c r="B75" s="674"/>
      <c r="C75" s="3"/>
      <c r="L75" s="21"/>
      <c r="M75" s="21"/>
      <c r="N75" s="21"/>
      <c r="O75" s="21"/>
      <c r="P75" s="21"/>
      <c r="Q75" s="21"/>
      <c r="R75" s="21"/>
      <c r="S75" s="21"/>
      <c r="T75" s="21"/>
      <c r="U75" s="21"/>
      <c r="V75" s="815"/>
      <c r="W75" s="815"/>
      <c r="X75" s="21"/>
      <c r="Y75" s="21"/>
      <c r="Z75" s="21"/>
      <c r="AA75" s="21"/>
      <c r="AB75" s="21"/>
      <c r="AC75" s="21"/>
      <c r="AD75" s="21"/>
      <c r="AE75" s="21"/>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row>
    <row r="76" spans="1:71">
      <c r="A76" s="8"/>
      <c r="B76" s="8"/>
      <c r="C76" s="3"/>
      <c r="L76" s="21"/>
      <c r="M76" s="21"/>
      <c r="N76" s="21"/>
      <c r="O76" s="21"/>
      <c r="P76" s="21"/>
      <c r="Q76" s="21"/>
      <c r="R76" s="21"/>
      <c r="S76" s="21"/>
      <c r="T76" s="21"/>
      <c r="U76" s="21"/>
      <c r="V76" s="21"/>
      <c r="W76" s="21"/>
      <c r="X76" s="21"/>
      <c r="Y76" s="21"/>
      <c r="Z76" s="21"/>
      <c r="AA76" s="21"/>
      <c r="AB76" s="21"/>
      <c r="AC76" s="21"/>
      <c r="AD76" s="21"/>
      <c r="AE76" s="21"/>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row>
    <row r="77" spans="1:71">
      <c r="A77" s="8"/>
      <c r="B77" s="8"/>
      <c r="C77" s="3"/>
      <c r="L77" s="21"/>
      <c r="M77" s="21"/>
      <c r="N77" s="21"/>
      <c r="O77" s="21"/>
      <c r="P77" s="21"/>
      <c r="Q77" s="21"/>
      <c r="R77" s="21"/>
      <c r="S77" s="21"/>
      <c r="T77" s="21"/>
      <c r="U77" s="21"/>
      <c r="V77" s="21"/>
      <c r="W77" s="21"/>
      <c r="X77" s="21"/>
      <c r="Y77" s="21"/>
      <c r="Z77" s="21"/>
      <c r="AA77" s="21"/>
      <c r="AB77" s="21"/>
      <c r="AC77" s="21"/>
      <c r="AD77" s="21"/>
      <c r="AE77" s="21"/>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row>
    <row r="78" spans="1:71">
      <c r="A78" s="8"/>
      <c r="B78" s="8"/>
      <c r="C78" s="3"/>
      <c r="L78" s="21"/>
      <c r="M78" s="21"/>
      <c r="N78" s="21"/>
      <c r="O78" s="21"/>
      <c r="P78" s="21"/>
      <c r="Q78" s="21"/>
      <c r="R78" s="21"/>
      <c r="S78" s="21"/>
      <c r="T78" s="21"/>
      <c r="U78" s="21"/>
      <c r="V78" s="816"/>
      <c r="W78" s="816"/>
      <c r="X78" s="816"/>
      <c r="Y78" s="816"/>
      <c r="Z78" s="816"/>
      <c r="AA78" s="816"/>
      <c r="AB78" s="21"/>
      <c r="AC78" s="21"/>
      <c r="AD78" s="21"/>
      <c r="AE78" s="21"/>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row>
    <row r="79" spans="1:71">
      <c r="A79" s="8"/>
      <c r="B79" s="8"/>
      <c r="C79" s="3"/>
      <c r="L79" s="21"/>
      <c r="M79" s="21"/>
      <c r="N79" s="21"/>
      <c r="O79" s="21"/>
      <c r="P79" s="21"/>
      <c r="Q79" s="21"/>
      <c r="R79" s="21"/>
      <c r="S79" s="21"/>
      <c r="T79" s="21"/>
      <c r="U79" s="21"/>
      <c r="V79" s="815"/>
      <c r="W79" s="815"/>
      <c r="X79" s="815"/>
      <c r="Y79" s="815"/>
      <c r="Z79" s="815"/>
      <c r="AA79" s="815"/>
      <c r="AB79" s="21"/>
      <c r="AC79" s="21"/>
      <c r="AD79" s="21"/>
      <c r="AE79" s="21"/>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row>
    <row r="80" spans="1:71">
      <c r="A80" s="8"/>
      <c r="B80" s="8"/>
      <c r="C80" s="3"/>
      <c r="L80" s="21"/>
      <c r="M80" s="21"/>
      <c r="N80" s="21"/>
      <c r="O80" s="21"/>
      <c r="P80" s="21"/>
      <c r="Q80" s="21"/>
      <c r="R80" s="21"/>
      <c r="S80" s="21"/>
      <c r="T80" s="21"/>
      <c r="U80" s="21"/>
      <c r="V80" s="815"/>
      <c r="W80" s="815"/>
      <c r="X80" s="815"/>
      <c r="Y80" s="815"/>
      <c r="Z80" s="815"/>
      <c r="AA80" s="815"/>
      <c r="AB80" s="21"/>
      <c r="AC80" s="21"/>
      <c r="AD80" s="21"/>
      <c r="AE80" s="21"/>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row>
    <row r="81" spans="1:71">
      <c r="A81" s="8"/>
      <c r="B81" s="8"/>
      <c r="C81" s="3"/>
      <c r="L81" s="21"/>
      <c r="M81" s="21"/>
      <c r="N81" s="21"/>
      <c r="O81" s="21"/>
      <c r="P81" s="21"/>
      <c r="Q81" s="21"/>
      <c r="R81" s="21"/>
      <c r="S81" s="21"/>
      <c r="T81" s="21"/>
      <c r="U81" s="21"/>
      <c r="V81" s="815"/>
      <c r="W81" s="815"/>
      <c r="X81" s="815"/>
      <c r="Y81" s="815"/>
      <c r="Z81" s="815"/>
      <c r="AA81" s="815"/>
      <c r="AB81" s="21"/>
      <c r="AC81" s="21"/>
      <c r="AD81" s="21"/>
      <c r="AE81" s="21"/>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row>
    <row r="82" spans="1:71">
      <c r="A82" s="8"/>
      <c r="B82" s="8"/>
      <c r="C82" s="3"/>
      <c r="L82" s="21"/>
      <c r="M82" s="21"/>
      <c r="N82" s="21"/>
      <c r="O82" s="21"/>
      <c r="P82" s="21"/>
      <c r="Q82" s="21"/>
      <c r="R82" s="21"/>
      <c r="S82" s="21"/>
      <c r="T82" s="21"/>
      <c r="U82" s="21"/>
      <c r="V82" s="21"/>
      <c r="W82" s="21"/>
      <c r="X82" s="21"/>
      <c r="Y82" s="21"/>
      <c r="Z82" s="21"/>
      <c r="AA82" s="21"/>
      <c r="AB82" s="21"/>
      <c r="AC82" s="21"/>
      <c r="AD82" s="21"/>
      <c r="AE82" s="21"/>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row>
    <row r="83" spans="1:71">
      <c r="A83" s="8"/>
      <c r="B83" s="8"/>
      <c r="C83" s="3"/>
      <c r="L83" s="21"/>
      <c r="M83" s="21"/>
      <c r="N83" s="21"/>
      <c r="O83" s="21"/>
      <c r="P83" s="21"/>
      <c r="Q83" s="21"/>
      <c r="R83" s="21"/>
      <c r="S83" s="21"/>
      <c r="T83" s="21"/>
      <c r="U83" s="21"/>
      <c r="V83" s="816"/>
      <c r="W83" s="816"/>
      <c r="X83" s="816"/>
      <c r="Y83" s="816"/>
      <c r="Z83" s="816"/>
      <c r="AA83" s="816"/>
      <c r="AB83" s="816"/>
      <c r="AC83" s="816"/>
      <c r="AD83" s="816"/>
      <c r="AE83" s="21"/>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row>
    <row r="84" spans="1:71">
      <c r="A84" s="8"/>
      <c r="B84" s="8"/>
      <c r="C84" s="3"/>
      <c r="L84" s="21"/>
      <c r="M84" s="21"/>
      <c r="N84" s="21"/>
      <c r="O84" s="21"/>
      <c r="P84" s="21"/>
      <c r="Q84" s="21"/>
      <c r="R84" s="21"/>
      <c r="S84" s="21"/>
      <c r="T84" s="21"/>
      <c r="U84" s="21"/>
      <c r="V84" s="815"/>
      <c r="W84" s="815"/>
      <c r="X84" s="815"/>
      <c r="Y84" s="815"/>
      <c r="Z84" s="815"/>
      <c r="AA84" s="815"/>
      <c r="AB84" s="815"/>
      <c r="AC84" s="815"/>
      <c r="AD84" s="815"/>
      <c r="AE84" s="21"/>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row>
    <row r="85" spans="1:71">
      <c r="A85" s="8"/>
      <c r="B85" s="8"/>
      <c r="C85" s="3"/>
      <c r="L85" s="21"/>
      <c r="M85" s="21"/>
      <c r="N85" s="21"/>
      <c r="O85" s="21"/>
      <c r="P85" s="21"/>
      <c r="Q85" s="21"/>
      <c r="R85" s="21"/>
      <c r="S85" s="21"/>
      <c r="T85" s="21"/>
      <c r="U85" s="21"/>
      <c r="V85" s="815"/>
      <c r="W85" s="815"/>
      <c r="X85" s="815"/>
      <c r="Y85" s="815"/>
      <c r="Z85" s="815"/>
      <c r="AA85" s="815"/>
      <c r="AB85" s="815"/>
      <c r="AC85" s="815"/>
      <c r="AD85" s="815"/>
      <c r="AE85" s="21"/>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row>
    <row r="86" spans="1:71">
      <c r="A86" s="8"/>
      <c r="B86" s="8"/>
      <c r="C86" s="3"/>
      <c r="L86" s="21"/>
      <c r="M86" s="21"/>
      <c r="N86" s="21"/>
      <c r="O86" s="21"/>
      <c r="P86" s="21"/>
      <c r="Q86" s="21"/>
      <c r="R86" s="21"/>
      <c r="S86" s="21"/>
      <c r="T86" s="21"/>
      <c r="U86" s="21"/>
      <c r="V86" s="21"/>
      <c r="W86" s="21"/>
      <c r="X86" s="21"/>
      <c r="Y86" s="21"/>
      <c r="Z86" s="21"/>
      <c r="AA86" s="21"/>
      <c r="AB86" s="21"/>
      <c r="AC86" s="21"/>
      <c r="AD86" s="21"/>
      <c r="AE86" s="21"/>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row>
    <row r="87" spans="1:71">
      <c r="A87" s="8"/>
      <c r="B87" s="8"/>
      <c r="C87" s="3"/>
      <c r="L87" s="21"/>
      <c r="M87" s="21"/>
      <c r="N87" s="21"/>
      <c r="O87" s="21"/>
      <c r="P87" s="21"/>
      <c r="Q87" s="21"/>
      <c r="R87" s="21"/>
      <c r="S87" s="21"/>
      <c r="T87" s="21"/>
      <c r="U87" s="21"/>
      <c r="V87" s="21"/>
      <c r="W87" s="21"/>
      <c r="X87" s="21"/>
      <c r="Y87" s="21"/>
      <c r="Z87" s="21"/>
      <c r="AA87" s="21"/>
      <c r="AB87" s="21"/>
      <c r="AC87" s="21"/>
      <c r="AD87" s="21"/>
      <c r="AE87" s="21"/>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row>
    <row r="88" spans="1:71">
      <c r="A88" s="8"/>
      <c r="B88" s="8"/>
      <c r="C88" s="3"/>
      <c r="L88" s="21"/>
      <c r="M88" s="21"/>
      <c r="N88" s="21"/>
      <c r="O88" s="21"/>
      <c r="P88" s="21"/>
      <c r="Q88" s="21"/>
      <c r="R88" s="21"/>
      <c r="S88" s="21"/>
      <c r="T88" s="21"/>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row>
    <row r="89" spans="1:71">
      <c r="A89" s="8"/>
      <c r="B89" s="8"/>
      <c r="C89" s="3"/>
      <c r="L89" s="21"/>
      <c r="M89" s="21"/>
      <c r="N89" s="21"/>
      <c r="O89" s="21"/>
      <c r="P89" s="21"/>
      <c r="Q89" s="21"/>
      <c r="R89" s="21"/>
      <c r="S89" s="21"/>
      <c r="T89" s="21"/>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row>
    <row r="90" spans="1:71">
      <c r="A90" s="8"/>
      <c r="B90" s="8"/>
      <c r="C90" s="3"/>
      <c r="L90" s="21"/>
      <c r="M90" s="21"/>
      <c r="N90" s="21"/>
      <c r="O90" s="21"/>
      <c r="P90" s="21"/>
      <c r="Q90" s="21"/>
      <c r="R90" s="21"/>
      <c r="S90" s="21"/>
      <c r="T90" s="21"/>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row>
    <row r="91" spans="1:71">
      <c r="A91" s="8"/>
      <c r="B91" s="8"/>
      <c r="C91" s="3"/>
      <c r="L91" s="3"/>
      <c r="M91" s="3"/>
      <c r="N91" s="3"/>
      <c r="O91" s="3"/>
      <c r="P91" s="3"/>
      <c r="Q91" s="3"/>
      <c r="R91" s="3"/>
      <c r="S91" s="3"/>
    </row>
    <row r="92" spans="1:71">
      <c r="A92" s="8"/>
      <c r="B92" s="8"/>
      <c r="C92" s="3"/>
      <c r="L92" s="3"/>
      <c r="M92" s="3"/>
      <c r="N92" s="3"/>
      <c r="O92" s="3"/>
      <c r="P92" s="3"/>
      <c r="Q92" s="3"/>
      <c r="R92" s="3"/>
      <c r="S92" s="3"/>
    </row>
    <row r="93" spans="1:71">
      <c r="A93" s="8"/>
      <c r="B93" s="8"/>
      <c r="C93" s="3"/>
      <c r="L93" s="3"/>
      <c r="M93" s="3"/>
      <c r="N93" s="3"/>
      <c r="O93" s="3"/>
      <c r="P93" s="3"/>
      <c r="Q93" s="3"/>
      <c r="R93" s="3"/>
      <c r="S93" s="3"/>
    </row>
    <row r="94" spans="1:71">
      <c r="A94" s="8"/>
      <c r="B94" s="8"/>
      <c r="C94" s="3"/>
      <c r="L94" s="3"/>
      <c r="M94" s="3"/>
      <c r="N94" s="3"/>
      <c r="O94" s="3"/>
      <c r="P94" s="3"/>
      <c r="Q94" s="3"/>
      <c r="R94" s="3"/>
      <c r="S94" s="3"/>
    </row>
    <row r="95" spans="1:71">
      <c r="A95" s="8"/>
      <c r="B95" s="8"/>
      <c r="C95" s="3"/>
      <c r="L95" s="3"/>
      <c r="M95" s="3"/>
      <c r="N95" s="3"/>
      <c r="O95" s="3"/>
      <c r="P95" s="3"/>
      <c r="Q95" s="3"/>
      <c r="R95" s="3"/>
      <c r="S95" s="3"/>
    </row>
    <row r="96" spans="1:71">
      <c r="A96" s="8"/>
      <c r="B96" s="8"/>
      <c r="C96" s="3"/>
      <c r="L96" s="3"/>
      <c r="M96" s="3"/>
      <c r="N96" s="3"/>
      <c r="O96" s="3"/>
      <c r="P96" s="3"/>
      <c r="Q96" s="3"/>
      <c r="R96" s="3"/>
      <c r="S96" s="3"/>
    </row>
    <row r="97" spans="1:19">
      <c r="A97" s="8"/>
      <c r="B97" s="8"/>
      <c r="C97" s="3"/>
      <c r="L97" s="3"/>
      <c r="M97" s="3"/>
      <c r="N97" s="3"/>
      <c r="O97" s="3"/>
      <c r="P97" s="3"/>
      <c r="Q97" s="3"/>
      <c r="R97" s="3"/>
      <c r="S97" s="3"/>
    </row>
    <row r="98" spans="1:19">
      <c r="A98" s="8"/>
      <c r="B98" s="8"/>
      <c r="C98" s="3"/>
      <c r="L98" s="3"/>
      <c r="M98" s="3"/>
      <c r="N98" s="3"/>
      <c r="O98" s="3"/>
      <c r="P98" s="3"/>
      <c r="Q98" s="3"/>
      <c r="R98" s="3"/>
      <c r="S98" s="3"/>
    </row>
    <row r="99" spans="1:19">
      <c r="A99" s="8"/>
      <c r="B99" s="8"/>
      <c r="C99" s="3"/>
      <c r="L99" s="3"/>
      <c r="M99" s="3"/>
      <c r="N99" s="3"/>
      <c r="O99" s="3"/>
      <c r="P99" s="3"/>
      <c r="Q99" s="3"/>
      <c r="R99" s="3"/>
      <c r="S99" s="3"/>
    </row>
    <row r="100" spans="1:19">
      <c r="A100" s="8"/>
      <c r="B100" s="8"/>
      <c r="C100" s="3"/>
      <c r="L100" s="3"/>
      <c r="M100" s="3"/>
      <c r="N100" s="3"/>
      <c r="O100" s="3"/>
      <c r="P100" s="3"/>
      <c r="Q100" s="3"/>
      <c r="R100" s="3"/>
      <c r="S100" s="3"/>
    </row>
    <row r="101" spans="1:19">
      <c r="A101" s="8"/>
      <c r="B101" s="8"/>
      <c r="C101" s="3"/>
      <c r="L101" s="3"/>
      <c r="M101" s="3"/>
      <c r="N101" s="3"/>
      <c r="O101" s="3"/>
      <c r="P101" s="3"/>
      <c r="Q101" s="3"/>
      <c r="R101" s="3"/>
      <c r="S101" s="3"/>
    </row>
    <row r="102" spans="1:19">
      <c r="A102" s="8"/>
      <c r="B102" s="8"/>
      <c r="C102" s="3"/>
      <c r="L102" s="3"/>
      <c r="M102" s="3"/>
      <c r="N102" s="3"/>
      <c r="O102" s="3"/>
      <c r="P102" s="3"/>
      <c r="Q102" s="3"/>
      <c r="R102" s="3"/>
      <c r="S102" s="3"/>
    </row>
    <row r="103" spans="1:19">
      <c r="A103" s="3"/>
      <c r="B103" s="3"/>
      <c r="C103" s="3"/>
      <c r="D103" s="3"/>
      <c r="E103" s="3"/>
      <c r="F103" s="3"/>
      <c r="G103" s="3"/>
      <c r="H103" s="3"/>
      <c r="I103" s="3"/>
      <c r="J103" s="3"/>
      <c r="K103" s="3"/>
      <c r="L103" s="3"/>
      <c r="M103" s="3"/>
      <c r="N103" s="3"/>
      <c r="O103" s="3"/>
      <c r="P103" s="3"/>
      <c r="Q103" s="3"/>
      <c r="R103" s="3"/>
      <c r="S103" s="3"/>
    </row>
    <row r="104" spans="1:19">
      <c r="A104" s="3"/>
      <c r="B104" s="3"/>
      <c r="C104" s="3"/>
      <c r="D104" s="3"/>
      <c r="E104" s="3"/>
      <c r="F104" s="3"/>
      <c r="G104" s="3"/>
      <c r="H104" s="3"/>
      <c r="I104" s="3"/>
      <c r="J104" s="3"/>
      <c r="K104" s="3"/>
      <c r="L104" s="3"/>
      <c r="M104" s="3"/>
      <c r="N104" s="3"/>
      <c r="O104" s="3"/>
      <c r="P104" s="3"/>
      <c r="Q104" s="3"/>
      <c r="R104" s="3"/>
      <c r="S104" s="3"/>
    </row>
    <row r="105" spans="1:19">
      <c r="A105" s="3"/>
      <c r="B105" s="3"/>
      <c r="C105" s="3"/>
      <c r="D105" s="3"/>
      <c r="E105" s="3"/>
      <c r="F105" s="3"/>
      <c r="G105" s="3"/>
      <c r="H105" s="3"/>
      <c r="I105" s="3"/>
      <c r="J105" s="3"/>
      <c r="K105" s="3"/>
      <c r="L105" s="3"/>
      <c r="M105" s="3"/>
      <c r="N105" s="3"/>
      <c r="O105" s="3"/>
      <c r="P105" s="3"/>
      <c r="Q105" s="3"/>
      <c r="R105" s="3"/>
      <c r="S105" s="3"/>
    </row>
  </sheetData>
  <sortState ref="B67:B93">
    <sortCondition ref="B67"/>
  </sortState>
  <mergeCells count="5">
    <mergeCell ref="I8:Q8"/>
    <mergeCell ref="P9:R9"/>
    <mergeCell ref="H46:I46"/>
    <mergeCell ref="H47:I47"/>
    <mergeCell ref="H45:I45"/>
  </mergeCells>
  <conditionalFormatting sqref="J15:J40">
    <cfRule type="cellIs" dxfId="14" priority="2" operator="greaterThan">
      <formula>0.25</formula>
    </cfRule>
  </conditionalFormatting>
  <conditionalFormatting sqref="O15:O40">
    <cfRule type="cellIs" dxfId="13" priority="1" operator="greaterThan">
      <formula>0.25</formula>
    </cfRule>
  </conditionalFormatting>
  <pageMargins left="0.7" right="0.7" top="0.75" bottom="0.75" header="0.3" footer="0.3"/>
  <pageSetup fitToHeight="0" orientation="landscape"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ransitionEvaluation="1" transitionEntry="1" codeName="Sheet30">
    <tabColor rgb="FFFFC000"/>
    <pageSetUpPr fitToPage="1"/>
  </sheetPr>
  <dimension ref="A1:AB159"/>
  <sheetViews>
    <sheetView zoomScaleNormal="100" zoomScaleSheetLayoutView="100" workbookViewId="0">
      <pane ySplit="7" topLeftCell="A8" activePane="bottomLeft" state="frozen"/>
      <selection pane="bottomLeft" activeCell="J49" sqref="J49"/>
    </sheetView>
  </sheetViews>
  <sheetFormatPr baseColWidth="10" defaultColWidth="9.7109375" defaultRowHeight="16"/>
  <cols>
    <col min="1" max="1" width="6.85546875" style="476" customWidth="1"/>
    <col min="2" max="2" width="9.5703125" style="584" customWidth="1"/>
    <col min="3" max="3" width="9.7109375" style="476" customWidth="1"/>
    <col min="4" max="4" width="10.140625" style="476" customWidth="1"/>
    <col min="5" max="5" width="8.7109375" style="476" customWidth="1"/>
    <col min="6" max="6" width="1.85546875" style="476" customWidth="1"/>
    <col min="7" max="7" width="6.7109375" style="476" customWidth="1"/>
    <col min="8" max="8" width="9.7109375" style="476" customWidth="1"/>
    <col min="9" max="9" width="10.5703125" style="476" customWidth="1"/>
    <col min="10" max="10" width="9.28515625" style="476" customWidth="1"/>
    <col min="11" max="11" width="11.85546875" style="476" customWidth="1"/>
    <col min="12" max="12" width="1.85546875" style="476" customWidth="1"/>
    <col min="13" max="13" width="8" style="477" customWidth="1"/>
    <col min="14" max="14" width="9.28515625" style="477" customWidth="1"/>
    <col min="15" max="15" width="10.5703125" style="507" customWidth="1"/>
    <col min="16" max="16" width="11" style="507" customWidth="1"/>
    <col min="17" max="17" width="1.85546875" style="507" customWidth="1"/>
    <col min="18" max="18" width="7.28515625" style="507" customWidth="1"/>
    <col min="19" max="19" width="9.5703125" style="477" customWidth="1"/>
    <col min="20" max="21" width="9.7109375" style="477"/>
    <col min="22" max="22" width="3.140625" style="477" customWidth="1"/>
    <col min="23" max="16384" width="9.7109375" style="477"/>
  </cols>
  <sheetData>
    <row r="1" spans="1:24" ht="18">
      <c r="A1" s="586" t="str">
        <f ca="1">CELL("filename",A1)</f>
        <v>/Users/janohlberger/Work/UW/Thresholds/Data/Rich/[2018_PWS_Wild_Pink_forecast_DRAFT.xlsm]Regression_Performance</v>
      </c>
      <c r="B1" s="472"/>
      <c r="C1" s="473"/>
      <c r="D1" s="473"/>
      <c r="E1" s="473"/>
      <c r="F1" s="473"/>
      <c r="G1" s="473"/>
      <c r="H1" s="473"/>
      <c r="I1" s="473"/>
      <c r="J1" s="473"/>
      <c r="K1" s="473"/>
      <c r="L1" s="473"/>
      <c r="M1" s="473"/>
      <c r="N1" s="473"/>
      <c r="O1" s="474"/>
      <c r="P1" s="475"/>
      <c r="Q1" s="475"/>
      <c r="R1" s="475"/>
      <c r="S1" s="476"/>
    </row>
    <row r="2" spans="1:24" ht="20">
      <c r="A2" s="478" t="s">
        <v>304</v>
      </c>
      <c r="B2" s="472"/>
      <c r="C2" s="473"/>
      <c r="D2" s="473"/>
      <c r="E2" s="473"/>
      <c r="F2" s="473"/>
      <c r="G2" s="473"/>
      <c r="H2" s="473"/>
      <c r="I2" s="473"/>
      <c r="J2" s="473"/>
      <c r="K2" s="473"/>
      <c r="L2" s="473"/>
      <c r="M2" s="472"/>
      <c r="N2" s="472"/>
      <c r="O2" s="480"/>
      <c r="P2" s="481"/>
      <c r="Q2" s="481"/>
      <c r="R2" s="481"/>
    </row>
    <row r="3" spans="1:24" ht="25">
      <c r="A3" s="482" t="s">
        <v>301</v>
      </c>
      <c r="B3" s="472"/>
      <c r="C3" s="473"/>
      <c r="D3" s="473"/>
      <c r="E3" s="473"/>
      <c r="F3" s="473"/>
      <c r="G3" s="473"/>
      <c r="H3" s="473"/>
      <c r="I3" s="473"/>
      <c r="J3" s="472" t="s">
        <v>302</v>
      </c>
      <c r="K3" s="635">
        <v>2017</v>
      </c>
      <c r="L3" s="473"/>
      <c r="O3" s="477"/>
      <c r="P3" s="481"/>
      <c r="Q3" s="481"/>
      <c r="R3" s="481"/>
      <c r="S3" s="476"/>
    </row>
    <row r="4" spans="1:24" ht="20">
      <c r="A4" s="482" t="s">
        <v>349</v>
      </c>
      <c r="B4" s="483"/>
      <c r="C4" s="484"/>
      <c r="D4" s="484"/>
      <c r="E4" s="484"/>
      <c r="F4" s="484"/>
      <c r="G4" s="482" t="s">
        <v>349</v>
      </c>
      <c r="H4" s="482"/>
      <c r="I4" s="482"/>
      <c r="J4" s="484"/>
      <c r="K4" s="484"/>
      <c r="L4" s="484"/>
      <c r="M4" s="482" t="s">
        <v>351</v>
      </c>
      <c r="N4" s="483"/>
      <c r="O4" s="484"/>
      <c r="P4" s="484"/>
      <c r="Q4" s="485"/>
      <c r="R4" s="482" t="s">
        <v>351</v>
      </c>
      <c r="S4" s="483"/>
      <c r="T4" s="484"/>
      <c r="U4" s="484"/>
      <c r="V4" s="486"/>
    </row>
    <row r="5" spans="1:24">
      <c r="A5" s="487"/>
      <c r="B5" s="488" t="s">
        <v>348</v>
      </c>
      <c r="C5" s="1042"/>
      <c r="D5" s="489"/>
      <c r="E5" s="489"/>
      <c r="F5" s="490"/>
      <c r="G5" s="487"/>
      <c r="H5" s="488" t="s">
        <v>350</v>
      </c>
      <c r="I5" s="1025"/>
      <c r="J5" s="489"/>
      <c r="K5" s="489"/>
      <c r="L5" s="490"/>
      <c r="M5" s="487"/>
      <c r="N5" s="488" t="s">
        <v>135</v>
      </c>
      <c r="O5" s="489"/>
      <c r="P5" s="489"/>
      <c r="Q5" s="491"/>
      <c r="R5" s="487"/>
      <c r="S5" s="488" t="s">
        <v>350</v>
      </c>
      <c r="T5" s="489"/>
      <c r="U5" s="489"/>
    </row>
    <row r="6" spans="1:24">
      <c r="A6" s="492"/>
      <c r="B6" s="1038"/>
      <c r="C6" s="1043" t="s">
        <v>31</v>
      </c>
      <c r="D6" s="1040" t="s">
        <v>5</v>
      </c>
      <c r="E6" s="496" t="s">
        <v>6</v>
      </c>
      <c r="F6" s="497"/>
      <c r="G6" s="492"/>
      <c r="H6" s="493"/>
      <c r="I6" s="1045" t="s">
        <v>31</v>
      </c>
      <c r="J6" s="495" t="s">
        <v>5</v>
      </c>
      <c r="K6" s="496" t="s">
        <v>6</v>
      </c>
      <c r="L6" s="497"/>
      <c r="M6" s="492"/>
      <c r="N6" s="493"/>
      <c r="O6" s="495" t="s">
        <v>5</v>
      </c>
      <c r="P6" s="496" t="s">
        <v>6</v>
      </c>
      <c r="Q6" s="498"/>
      <c r="R6" s="492"/>
      <c r="S6" s="493"/>
      <c r="T6" s="495" t="s">
        <v>5</v>
      </c>
      <c r="U6" s="496" t="s">
        <v>6</v>
      </c>
      <c r="W6" s="1008" t="s">
        <v>357</v>
      </c>
    </row>
    <row r="7" spans="1:24">
      <c r="A7" s="494" t="s">
        <v>7</v>
      </c>
      <c r="B7" s="1039" t="s">
        <v>46</v>
      </c>
      <c r="C7" s="1044" t="s">
        <v>135</v>
      </c>
      <c r="D7" s="1041" t="s">
        <v>8</v>
      </c>
      <c r="E7" s="499" t="s">
        <v>8</v>
      </c>
      <c r="F7" s="497"/>
      <c r="G7" s="494" t="s">
        <v>7</v>
      </c>
      <c r="H7" s="492" t="s">
        <v>46</v>
      </c>
      <c r="I7" s="1037" t="s">
        <v>361</v>
      </c>
      <c r="J7" s="494" t="s">
        <v>8</v>
      </c>
      <c r="K7" s="499" t="s">
        <v>8</v>
      </c>
      <c r="L7" s="497"/>
      <c r="M7" s="494" t="s">
        <v>7</v>
      </c>
      <c r="N7" s="492" t="s">
        <v>46</v>
      </c>
      <c r="O7" s="494" t="s">
        <v>8</v>
      </c>
      <c r="P7" s="499" t="s">
        <v>8</v>
      </c>
      <c r="Q7" s="498"/>
      <c r="R7" s="494" t="s">
        <v>7</v>
      </c>
      <c r="S7" s="492" t="s">
        <v>46</v>
      </c>
      <c r="T7" s="494" t="s">
        <v>8</v>
      </c>
      <c r="U7" s="499" t="s">
        <v>8</v>
      </c>
      <c r="W7" s="1008" t="s">
        <v>358</v>
      </c>
    </row>
    <row r="8" spans="1:24" ht="23">
      <c r="A8" s="636">
        <f>IF(ISEVEN($K$3), 1962, 1961)</f>
        <v>1961</v>
      </c>
      <c r="B8" s="1000" t="s">
        <v>138</v>
      </c>
      <c r="C8" s="647">
        <f>VLOOKUP(A8,Database!$A$74:$J$131,10,FALSE)</f>
        <v>4497198</v>
      </c>
      <c r="D8" s="999" t="s">
        <v>138</v>
      </c>
      <c r="E8" s="999" t="s">
        <v>138</v>
      </c>
      <c r="F8" s="497"/>
      <c r="G8" s="643">
        <f t="shared" ref="G8:G35" si="0">A8</f>
        <v>1961</v>
      </c>
      <c r="H8" s="999" t="s">
        <v>138</v>
      </c>
      <c r="I8" s="999"/>
      <c r="J8" s="999" t="s">
        <v>138</v>
      </c>
      <c r="K8" s="999" t="s">
        <v>138</v>
      </c>
      <c r="L8" s="497"/>
      <c r="M8" s="638">
        <f t="shared" ref="M8:M35" si="1">G8</f>
        <v>1961</v>
      </c>
      <c r="N8" s="999" t="s">
        <v>138</v>
      </c>
      <c r="O8" s="999" t="s">
        <v>138</v>
      </c>
      <c r="P8" s="999" t="s">
        <v>138</v>
      </c>
      <c r="Q8" s="498"/>
      <c r="R8" s="638">
        <f t="shared" ref="R8:R35" si="2">M8</f>
        <v>1961</v>
      </c>
      <c r="S8" s="999" t="s">
        <v>138</v>
      </c>
      <c r="T8" s="999" t="s">
        <v>138</v>
      </c>
      <c r="U8" s="999" t="s">
        <v>138</v>
      </c>
    </row>
    <row r="9" spans="1:24">
      <c r="A9" s="998">
        <f>A8+2</f>
        <v>1963</v>
      </c>
      <c r="B9" s="1000" t="s">
        <v>138</v>
      </c>
      <c r="C9" s="647">
        <f>VLOOKUP(A9,Database!$A$74:$J$131,10,FALSE)</f>
        <v>6651118</v>
      </c>
      <c r="D9" s="999" t="s">
        <v>138</v>
      </c>
      <c r="E9" s="999" t="s">
        <v>138</v>
      </c>
      <c r="F9" s="497"/>
      <c r="G9" s="643">
        <f t="shared" si="0"/>
        <v>1963</v>
      </c>
      <c r="H9" s="999" t="s">
        <v>138</v>
      </c>
      <c r="I9" s="999"/>
      <c r="J9" s="999" t="s">
        <v>138</v>
      </c>
      <c r="K9" s="999" t="s">
        <v>138</v>
      </c>
      <c r="L9" s="497"/>
      <c r="M9" s="638">
        <f t="shared" si="1"/>
        <v>1963</v>
      </c>
      <c r="N9" s="999" t="s">
        <v>138</v>
      </c>
      <c r="O9" s="999" t="s">
        <v>138</v>
      </c>
      <c r="P9" s="999" t="s">
        <v>138</v>
      </c>
      <c r="Q9" s="498"/>
      <c r="R9" s="638">
        <f t="shared" si="2"/>
        <v>1963</v>
      </c>
      <c r="S9" s="999" t="s">
        <v>138</v>
      </c>
      <c r="T9" s="999" t="s">
        <v>138</v>
      </c>
      <c r="U9" s="999" t="s">
        <v>138</v>
      </c>
    </row>
    <row r="10" spans="1:24">
      <c r="A10" s="998">
        <f t="shared" ref="A10:A35" si="3">A9+2</f>
        <v>1965</v>
      </c>
      <c r="B10" s="1000" t="s">
        <v>138</v>
      </c>
      <c r="C10" s="647">
        <f>VLOOKUP(A10,Database!$A$74:$J$131,10,FALSE)</f>
        <v>3436427</v>
      </c>
      <c r="D10" s="999" t="s">
        <v>138</v>
      </c>
      <c r="E10" s="999" t="s">
        <v>138</v>
      </c>
      <c r="F10" s="497"/>
      <c r="G10" s="643">
        <f t="shared" si="0"/>
        <v>1965</v>
      </c>
      <c r="H10" s="999" t="s">
        <v>138</v>
      </c>
      <c r="I10" s="999"/>
      <c r="J10" s="999" t="s">
        <v>138</v>
      </c>
      <c r="K10" s="999" t="s">
        <v>138</v>
      </c>
      <c r="L10" s="497"/>
      <c r="M10" s="638">
        <f t="shared" si="1"/>
        <v>1965</v>
      </c>
      <c r="N10" s="999" t="s">
        <v>138</v>
      </c>
      <c r="O10" s="999" t="s">
        <v>138</v>
      </c>
      <c r="P10" s="999" t="s">
        <v>138</v>
      </c>
      <c r="Q10" s="498"/>
      <c r="R10" s="638">
        <f t="shared" si="2"/>
        <v>1965</v>
      </c>
      <c r="S10" s="999" t="s">
        <v>138</v>
      </c>
      <c r="T10" s="999" t="s">
        <v>138</v>
      </c>
      <c r="U10" s="999" t="s">
        <v>138</v>
      </c>
    </row>
    <row r="11" spans="1:24">
      <c r="A11" s="998">
        <f t="shared" si="3"/>
        <v>1967</v>
      </c>
      <c r="B11" s="1000" t="s">
        <v>138</v>
      </c>
      <c r="C11" s="647">
        <f>VLOOKUP(A11,Database!$A$74:$J$131,10,FALSE)</f>
        <v>3468600</v>
      </c>
      <c r="D11" s="999" t="s">
        <v>138</v>
      </c>
      <c r="E11" s="999" t="s">
        <v>138</v>
      </c>
      <c r="F11" s="497"/>
      <c r="G11" s="643">
        <f t="shared" si="0"/>
        <v>1967</v>
      </c>
      <c r="H11" s="999" t="s">
        <v>138</v>
      </c>
      <c r="I11" s="999"/>
      <c r="J11" s="999" t="s">
        <v>138</v>
      </c>
      <c r="K11" s="999" t="s">
        <v>138</v>
      </c>
      <c r="L11" s="497"/>
      <c r="M11" s="638">
        <f t="shared" si="1"/>
        <v>1967</v>
      </c>
      <c r="N11" s="999" t="s">
        <v>138</v>
      </c>
      <c r="O11" s="999" t="s">
        <v>138</v>
      </c>
      <c r="P11" s="999" t="s">
        <v>138</v>
      </c>
      <c r="Q11" s="498"/>
      <c r="R11" s="638">
        <f t="shared" si="2"/>
        <v>1967</v>
      </c>
      <c r="S11" s="999" t="s">
        <v>138</v>
      </c>
      <c r="T11" s="999" t="s">
        <v>138</v>
      </c>
      <c r="U11" s="999" t="s">
        <v>138</v>
      </c>
    </row>
    <row r="12" spans="1:24">
      <c r="A12" s="998">
        <f t="shared" si="3"/>
        <v>1969</v>
      </c>
      <c r="B12" s="644" t="str">
        <f>VLOOKUP($A12,'Esc-Return_Regression'!$B$11:$S$39,8,FALSE)</f>
        <v>NA</v>
      </c>
      <c r="C12" s="647">
        <f>VLOOKUP(A12,Database!$A$74:$J$131,10,FALSE)</f>
        <v>5233149</v>
      </c>
      <c r="D12" s="502">
        <f t="shared" ref="D12:D34" si="4">(B12-$C12)^2</f>
        <v>27385848456201</v>
      </c>
      <c r="E12" s="503">
        <f t="shared" ref="E12:E34" si="5">(B12-$C12)/C12</f>
        <v>-1</v>
      </c>
      <c r="F12" s="497"/>
      <c r="G12" s="643">
        <f t="shared" si="0"/>
        <v>1969</v>
      </c>
      <c r="H12" s="1002"/>
      <c r="I12" s="1032">
        <f>VLOOKUP($A12,Database!$A$74:$C$131,3,FALSE)</f>
        <v>4828579</v>
      </c>
      <c r="J12" s="1034"/>
      <c r="K12" s="1035"/>
      <c r="L12" s="497"/>
      <c r="M12" s="638">
        <f t="shared" si="1"/>
        <v>1969</v>
      </c>
      <c r="N12" s="644">
        <f>VLOOKUP($A12,'Esc-Return_Regression'!$B$11:$S$40,18,FALSE)</f>
        <v>0</v>
      </c>
      <c r="O12" s="502">
        <f t="shared" ref="O12:O34" si="6">(N12-$C12)^2</f>
        <v>27385848456201</v>
      </c>
      <c r="P12" s="503">
        <f t="shared" ref="P12:P34" si="7">(N12-$C12)/$C12</f>
        <v>-1</v>
      </c>
      <c r="Q12" s="498"/>
      <c r="R12" s="638">
        <f t="shared" si="2"/>
        <v>1969</v>
      </c>
      <c r="S12" s="1002"/>
      <c r="T12" s="1034"/>
      <c r="U12" s="1035"/>
      <c r="W12" s="1046"/>
      <c r="X12" s="1048" t="s">
        <v>362</v>
      </c>
    </row>
    <row r="13" spans="1:24">
      <c r="A13" s="998">
        <f t="shared" si="3"/>
        <v>1971</v>
      </c>
      <c r="B13" s="644">
        <f>VLOOKUP($A13,'Esc-Return_Regression'!$B$11:$S$39,8,FALSE)</f>
        <v>3153736.7853320343</v>
      </c>
      <c r="C13" s="647">
        <f>VLOOKUP(A13,Database!$A$74:$J$131,10,FALSE)</f>
        <v>8423514</v>
      </c>
      <c r="D13" s="502">
        <f t="shared" si="4"/>
        <v>27770551892233.664</v>
      </c>
      <c r="E13" s="503">
        <f t="shared" si="5"/>
        <v>-0.62560318824993533</v>
      </c>
      <c r="F13" s="497"/>
      <c r="G13" s="643">
        <f t="shared" si="0"/>
        <v>1971</v>
      </c>
      <c r="H13" s="1002"/>
      <c r="I13" s="1032">
        <f>VLOOKUP($A13,Database!$A$74:$C$131,3,FALSE)</f>
        <v>7310964</v>
      </c>
      <c r="J13" s="1034"/>
      <c r="K13" s="1035"/>
      <c r="L13" s="497"/>
      <c r="M13" s="638">
        <f t="shared" si="1"/>
        <v>1971</v>
      </c>
      <c r="N13" s="644">
        <f>VLOOKUP($A13,'Esc-Return_Regression'!$B$11:$S$40,18,FALSE)</f>
        <v>2954846.3365749563</v>
      </c>
      <c r="O13" s="502">
        <f t="shared" si="6"/>
        <v>29906326012990.723</v>
      </c>
      <c r="P13" s="503">
        <f t="shared" si="7"/>
        <v>-0.64921452774044697</v>
      </c>
      <c r="Q13" s="498"/>
      <c r="R13" s="638">
        <f t="shared" si="2"/>
        <v>1971</v>
      </c>
      <c r="S13" s="1002"/>
      <c r="T13" s="1034"/>
      <c r="U13" s="1035"/>
      <c r="W13" s="1046"/>
      <c r="X13" s="1048" t="s">
        <v>362</v>
      </c>
    </row>
    <row r="14" spans="1:24">
      <c r="A14" s="637">
        <f t="shared" si="3"/>
        <v>1973</v>
      </c>
      <c r="B14" s="644">
        <f>VLOOKUP($A14,'Esc-Return_Regression'!$B$11:$S$39,8,FALSE)</f>
        <v>5465155.7958284514</v>
      </c>
      <c r="C14" s="647">
        <f>VLOOKUP(A14,Database!$A$74:$J$131,10,FALSE)</f>
        <v>8535974</v>
      </c>
      <c r="D14" s="502">
        <f t="shared" si="4"/>
        <v>9429924443071.375</v>
      </c>
      <c r="E14" s="503">
        <f t="shared" si="5"/>
        <v>-0.35975018248316459</v>
      </c>
      <c r="F14" s="497"/>
      <c r="G14" s="634">
        <f t="shared" si="0"/>
        <v>1973</v>
      </c>
      <c r="H14" s="1003"/>
      <c r="I14" s="1032">
        <f>VLOOKUP($A14,Database!$A$74:$C$131,3,FALSE)</f>
        <v>7310964</v>
      </c>
      <c r="J14" s="1034"/>
      <c r="K14" s="1035"/>
      <c r="L14" s="497"/>
      <c r="M14" s="638">
        <f t="shared" si="1"/>
        <v>1973</v>
      </c>
      <c r="N14" s="644">
        <f>VLOOKUP($A14,'Esc-Return_Regression'!$B$11:$S$40,18,FALSE)</f>
        <v>4986985.5701683955</v>
      </c>
      <c r="O14" s="502">
        <f t="shared" si="6"/>
        <v>12595318875078.598</v>
      </c>
      <c r="P14" s="503">
        <f t="shared" si="7"/>
        <v>-0.41576842078380327</v>
      </c>
      <c r="Q14" s="498"/>
      <c r="R14" s="638">
        <f t="shared" si="2"/>
        <v>1973</v>
      </c>
      <c r="S14" s="1002"/>
      <c r="T14" s="1034"/>
      <c r="U14" s="1035"/>
      <c r="W14" s="1046"/>
      <c r="X14" s="1048" t="s">
        <v>362</v>
      </c>
    </row>
    <row r="15" spans="1:24">
      <c r="A15" s="637">
        <f t="shared" si="3"/>
        <v>1975</v>
      </c>
      <c r="B15" s="644">
        <f>VLOOKUP($A15,'Esc-Return_Regression'!$B$11:$S$39,8,FALSE)</f>
        <v>5913181.937030606</v>
      </c>
      <c r="C15" s="647">
        <f>VLOOKUP(A15,Database!$A$74:$J$131,10,FALSE)</f>
        <v>3322438</v>
      </c>
      <c r="D15" s="502">
        <f t="shared" si="4"/>
        <v>6711954147260.8447</v>
      </c>
      <c r="E15" s="503">
        <f t="shared" si="5"/>
        <v>0.77977194368430836</v>
      </c>
      <c r="F15" s="497"/>
      <c r="G15" s="634">
        <f t="shared" si="0"/>
        <v>1975</v>
      </c>
      <c r="H15" s="1003"/>
      <c r="I15" s="1032">
        <f>VLOOKUP($A15,Database!$A$74:$C$131,3,FALSE)</f>
        <v>2056878</v>
      </c>
      <c r="J15" s="1034"/>
      <c r="K15" s="1035"/>
      <c r="L15" s="497"/>
      <c r="M15" s="638">
        <f t="shared" si="1"/>
        <v>1975</v>
      </c>
      <c r="N15" s="644">
        <f>VLOOKUP($A15,'Esc-Return_Regression'!$B$11:$S$40,18,FALSE)</f>
        <v>5365457.7477596169</v>
      </c>
      <c r="O15" s="502">
        <f t="shared" si="6"/>
        <v>4173929689735.769</v>
      </c>
      <c r="P15" s="503">
        <f t="shared" si="7"/>
        <v>0.61491583823674567</v>
      </c>
      <c r="Q15" s="498"/>
      <c r="R15" s="638">
        <f t="shared" si="2"/>
        <v>1975</v>
      </c>
      <c r="S15" s="1002"/>
      <c r="T15" s="1034"/>
      <c r="U15" s="1035"/>
      <c r="W15" s="1046"/>
      <c r="X15" s="1048" t="s">
        <v>362</v>
      </c>
    </row>
    <row r="16" spans="1:24">
      <c r="A16" s="637">
        <f t="shared" si="3"/>
        <v>1977</v>
      </c>
      <c r="B16" s="644">
        <f>VLOOKUP($A16,'Esc-Return_Regression'!$B$11:$S$39,8,FALSE)</f>
        <v>5509414.711942099</v>
      </c>
      <c r="C16" s="647">
        <f>VLOOKUP(A16,Database!$A$74:$J$131,10,FALSE)</f>
        <v>5816401</v>
      </c>
      <c r="D16" s="502">
        <f t="shared" si="4"/>
        <v>94240581055.568542</v>
      </c>
      <c r="E16" s="503">
        <f t="shared" si="5"/>
        <v>-5.2779422886747487E-2</v>
      </c>
      <c r="F16" s="497"/>
      <c r="G16" s="634">
        <f t="shared" si="0"/>
        <v>1977</v>
      </c>
      <c r="H16" s="1003"/>
      <c r="I16" s="1032">
        <f>VLOOKUP($A16,Database!$A$74:$C$131,3,FALSE)</f>
        <v>4298734</v>
      </c>
      <c r="J16" s="1034"/>
      <c r="K16" s="1035"/>
      <c r="L16" s="497"/>
      <c r="M16" s="638">
        <f t="shared" si="1"/>
        <v>1977</v>
      </c>
      <c r="N16" s="644">
        <f>VLOOKUP($A16,'Esc-Return_Regression'!$B$11:$S$40,18,FALSE)</f>
        <v>4932289.0242382763</v>
      </c>
      <c r="O16" s="502">
        <f t="shared" si="6"/>
        <v>781653985685.29871</v>
      </c>
      <c r="P16" s="503">
        <f t="shared" si="7"/>
        <v>-0.15200327071013908</v>
      </c>
      <c r="Q16" s="498"/>
      <c r="R16" s="638">
        <f t="shared" si="2"/>
        <v>1977</v>
      </c>
      <c r="S16" s="1002"/>
      <c r="T16" s="1034"/>
      <c r="U16" s="1035"/>
      <c r="W16" s="1046"/>
      <c r="X16" s="1048" t="s">
        <v>362</v>
      </c>
    </row>
    <row r="17" spans="1:28">
      <c r="A17" s="637">
        <f t="shared" si="3"/>
        <v>1979</v>
      </c>
      <c r="B17" s="644">
        <f>VLOOKUP($A17,'Esc-Return_Regression'!$B$11:$S$39,8,FALSE)</f>
        <v>5381880.3597765686</v>
      </c>
      <c r="C17" s="647">
        <f>VLOOKUP(A17,Database!$A$74:$J$131,10,FALSE)</f>
        <v>17335503</v>
      </c>
      <c r="D17" s="502">
        <f t="shared" si="4"/>
        <v>142889094224862.22</v>
      </c>
      <c r="E17" s="503">
        <f t="shared" si="5"/>
        <v>-0.68954576283269264</v>
      </c>
      <c r="F17" s="497"/>
      <c r="G17" s="634">
        <f t="shared" si="0"/>
        <v>1979</v>
      </c>
      <c r="H17" s="1003"/>
      <c r="I17" s="1032">
        <f>VLOOKUP($A17,Database!$A$74:$C$131,3,FALSE)</f>
        <v>14433526</v>
      </c>
      <c r="J17" s="1034"/>
      <c r="K17" s="1035"/>
      <c r="L17" s="497"/>
      <c r="M17" s="638">
        <f t="shared" si="1"/>
        <v>1979</v>
      </c>
      <c r="N17" s="644">
        <f>VLOOKUP($A17,'Esc-Return_Regression'!$B$11:$S$40,18,FALSE)</f>
        <v>4842455.5781630846</v>
      </c>
      <c r="O17" s="502">
        <f>(N17-$C17)^2</f>
        <v>156076233884266.03</v>
      </c>
      <c r="P17" s="503">
        <f t="shared" si="7"/>
        <v>-0.72066252832911259</v>
      </c>
      <c r="Q17" s="498"/>
      <c r="R17" s="638">
        <f t="shared" si="2"/>
        <v>1979</v>
      </c>
      <c r="S17" s="1002"/>
      <c r="T17" s="1034"/>
      <c r="U17" s="1035"/>
      <c r="W17" s="1046"/>
      <c r="X17" s="1048" t="s">
        <v>362</v>
      </c>
    </row>
    <row r="18" spans="1:28">
      <c r="A18" s="637">
        <f t="shared" si="3"/>
        <v>1981</v>
      </c>
      <c r="B18" s="644">
        <f>VLOOKUP($A18,'Esc-Return_Regression'!$B$11:$S$39,8,FALSE)</f>
        <v>8978296.7873831838</v>
      </c>
      <c r="C18" s="647">
        <f>VLOOKUP(A18,Database!$A$74:$J$131,10,FALSE)</f>
        <v>19568866</v>
      </c>
      <c r="D18" s="502">
        <f t="shared" si="4"/>
        <v>112160156247227.17</v>
      </c>
      <c r="E18" s="503">
        <f t="shared" si="5"/>
        <v>-0.54119483533776647</v>
      </c>
      <c r="F18" s="497"/>
      <c r="G18" s="634">
        <f t="shared" si="0"/>
        <v>1981</v>
      </c>
      <c r="H18" s="1003"/>
      <c r="I18" s="1032">
        <f>VLOOKUP($A18,Database!$A$74:$C$131,3,FALSE)</f>
        <v>17402547</v>
      </c>
      <c r="J18" s="1034"/>
      <c r="K18" s="1035"/>
      <c r="L18" s="497"/>
      <c r="M18" s="638">
        <f t="shared" si="1"/>
        <v>1981</v>
      </c>
      <c r="N18" s="644">
        <f>VLOOKUP($A18,'Esc-Return_Regression'!$B$11:$S$40,18,FALSE)</f>
        <v>5978577.58451859</v>
      </c>
      <c r="O18" s="502">
        <f t="shared" si="6"/>
        <v>184695939215968.25</v>
      </c>
      <c r="P18" s="503">
        <f t="shared" si="7"/>
        <v>-0.69448523054332378</v>
      </c>
      <c r="Q18" s="498"/>
      <c r="R18" s="638">
        <f t="shared" si="2"/>
        <v>1981</v>
      </c>
      <c r="S18" s="1002"/>
      <c r="T18" s="1034"/>
      <c r="U18" s="1035"/>
      <c r="W18" s="1046"/>
      <c r="X18" s="1048" t="s">
        <v>362</v>
      </c>
    </row>
    <row r="19" spans="1:28">
      <c r="A19" s="637">
        <f t="shared" si="3"/>
        <v>1983</v>
      </c>
      <c r="B19" s="644">
        <f>VLOOKUP($A19,'Esc-Return_Regression'!$B$11:$S$39,8,FALSE)</f>
        <v>11943592.577242233</v>
      </c>
      <c r="C19" s="647">
        <f>VLOOKUP(A19,Database!$A$74:$J$131,10,FALSE)</f>
        <v>11567348</v>
      </c>
      <c r="D19" s="502">
        <f t="shared" si="4"/>
        <v>141559981904.18652</v>
      </c>
      <c r="E19" s="503">
        <f t="shared" si="5"/>
        <v>3.252643365119065E-2</v>
      </c>
      <c r="F19" s="504"/>
      <c r="G19" s="634">
        <f t="shared" si="0"/>
        <v>1983</v>
      </c>
      <c r="H19" s="1003"/>
      <c r="I19" s="1032">
        <f>VLOOKUP($A19,Database!$A$74:$C$131,3,FALSE)</f>
        <v>9564242</v>
      </c>
      <c r="J19" s="1034"/>
      <c r="K19" s="1035"/>
      <c r="L19" s="504"/>
      <c r="M19" s="638">
        <f t="shared" si="1"/>
        <v>1983</v>
      </c>
      <c r="N19" s="644">
        <f>VLOOKUP($A19,'Esc-Return_Regression'!$B$11:$S$40,18,FALSE)</f>
        <v>8456387.1839982644</v>
      </c>
      <c r="O19" s="502">
        <f t="shared" si="6"/>
        <v>9678077198698.1855</v>
      </c>
      <c r="P19" s="503">
        <f t="shared" si="7"/>
        <v>-0.26894330627916924</v>
      </c>
      <c r="Q19" s="498"/>
      <c r="R19" s="638">
        <f t="shared" si="2"/>
        <v>1983</v>
      </c>
      <c r="S19" s="1002"/>
      <c r="T19" s="1034"/>
      <c r="U19" s="1035"/>
      <c r="W19" s="1046"/>
      <c r="X19" s="1048" t="s">
        <v>362</v>
      </c>
    </row>
    <row r="20" spans="1:28">
      <c r="A20" s="637">
        <f t="shared" si="3"/>
        <v>1985</v>
      </c>
      <c r="B20" s="644">
        <f>VLOOKUP($A20,'Esc-Return_Regression'!$B$11:$S$39,8,FALSE)</f>
        <v>11098806.730694741</v>
      </c>
      <c r="C20" s="647">
        <f>VLOOKUP(A20,Database!$A$74:$J$131,10,FALSE)</f>
        <v>19938105</v>
      </c>
      <c r="D20" s="502">
        <f t="shared" si="4"/>
        <v>78133193893742.953</v>
      </c>
      <c r="E20" s="503">
        <f t="shared" si="5"/>
        <v>-0.44333693043071343</v>
      </c>
      <c r="F20" s="504"/>
      <c r="G20" s="634">
        <f t="shared" si="0"/>
        <v>1985</v>
      </c>
      <c r="H20" s="1003"/>
      <c r="I20" s="1032">
        <f>VLOOKUP($A20,Database!$A$74:$C$131,3,FALSE)</f>
        <v>17590108</v>
      </c>
      <c r="J20" s="1034"/>
      <c r="K20" s="1035"/>
      <c r="L20" s="504"/>
      <c r="M20" s="638">
        <f t="shared" si="1"/>
        <v>1985</v>
      </c>
      <c r="N20" s="644">
        <f>VLOOKUP($A20,'Esc-Return_Regression'!$B$11:$S$40,18,FALSE)</f>
        <v>8648894.514495831</v>
      </c>
      <c r="O20" s="502">
        <f t="shared" si="6"/>
        <v>127446273386017.28</v>
      </c>
      <c r="P20" s="503">
        <f t="shared" si="7"/>
        <v>-0.56621281137320567</v>
      </c>
      <c r="Q20" s="498"/>
      <c r="R20" s="638">
        <f t="shared" si="2"/>
        <v>1985</v>
      </c>
      <c r="S20" s="1002"/>
      <c r="T20" s="1034"/>
      <c r="U20" s="1035"/>
      <c r="W20" s="1046"/>
      <c r="X20" s="1048" t="s">
        <v>362</v>
      </c>
    </row>
    <row r="21" spans="1:28">
      <c r="A21" s="637">
        <f t="shared" si="3"/>
        <v>1987</v>
      </c>
      <c r="B21" s="644">
        <f>VLOOKUP($A21,'Esc-Return_Regression'!$B$11:$S$39,8,FALSE)</f>
        <v>14177519.792619839</v>
      </c>
      <c r="C21" s="647">
        <f>VLOOKUP(A21,Database!$A$74:$J$131,10,FALSE)</f>
        <v>13066944</v>
      </c>
      <c r="D21" s="502">
        <f t="shared" si="4"/>
        <v>1233378591153.1843</v>
      </c>
      <c r="E21" s="503">
        <f t="shared" si="5"/>
        <v>8.4991241457822067E-2</v>
      </c>
      <c r="F21" s="504"/>
      <c r="G21" s="634">
        <f t="shared" si="0"/>
        <v>1987</v>
      </c>
      <c r="H21" s="1003"/>
      <c r="I21" s="1032">
        <f>VLOOKUP($A21,Database!$A$74:$C$131,3,FALSE)</f>
        <v>11694727</v>
      </c>
      <c r="J21" s="1034"/>
      <c r="K21" s="1035"/>
      <c r="L21" s="504"/>
      <c r="M21" s="638">
        <f t="shared" si="1"/>
        <v>1987</v>
      </c>
      <c r="N21" s="644">
        <f>VLOOKUP($A21,'Esc-Return_Regression'!$B$11:$S$40,18,FALSE)</f>
        <v>10603839.646644091</v>
      </c>
      <c r="O21" s="502">
        <f t="shared" si="6"/>
        <v>6066883055520.8291</v>
      </c>
      <c r="P21" s="503">
        <f t="shared" si="7"/>
        <v>-0.18849888339277407</v>
      </c>
      <c r="Q21" s="498"/>
      <c r="R21" s="638">
        <f t="shared" si="2"/>
        <v>1987</v>
      </c>
      <c r="S21" s="1002"/>
      <c r="T21" s="1034"/>
      <c r="U21" s="1035"/>
      <c r="W21" s="1046"/>
      <c r="X21" s="1048" t="s">
        <v>362</v>
      </c>
    </row>
    <row r="22" spans="1:28">
      <c r="A22" s="637">
        <f t="shared" si="3"/>
        <v>1989</v>
      </c>
      <c r="B22" s="644">
        <f>VLOOKUP($A22,'Esc-Return_Regression'!$B$11:$S$39,8,FALSE)</f>
        <v>8686119.1834620312</v>
      </c>
      <c r="C22" s="647">
        <f>VLOOKUP(A22,Database!$A$74:$J$131,10,FALSE)</f>
        <v>4743750</v>
      </c>
      <c r="D22" s="502">
        <f t="shared" si="4"/>
        <v>15542274778711.082</v>
      </c>
      <c r="E22" s="503">
        <f t="shared" si="5"/>
        <v>0.83106596752822792</v>
      </c>
      <c r="F22" s="504"/>
      <c r="G22" s="634">
        <f t="shared" si="0"/>
        <v>1989</v>
      </c>
      <c r="H22" s="1003"/>
      <c r="I22" s="1032">
        <f>VLOOKUP($A22,Database!$A$74:$C$131,3,FALSE)</f>
        <v>3510074</v>
      </c>
      <c r="J22" s="1034"/>
      <c r="K22" s="1035"/>
      <c r="L22" s="504"/>
      <c r="M22" s="638">
        <f t="shared" si="1"/>
        <v>1989</v>
      </c>
      <c r="N22" s="644">
        <f>VLOOKUP($A22,'Esc-Return_Regression'!$B$11:$S$40,18,FALSE)</f>
        <v>7959797.0341785206</v>
      </c>
      <c r="O22" s="502">
        <f t="shared" si="6"/>
        <v>10342958526048.459</v>
      </c>
      <c r="P22" s="503">
        <f t="shared" si="7"/>
        <v>0.67795457900996481</v>
      </c>
      <c r="Q22" s="498"/>
      <c r="R22" s="638">
        <f t="shared" si="2"/>
        <v>1989</v>
      </c>
      <c r="S22" s="1002"/>
      <c r="T22" s="1034"/>
      <c r="U22" s="1035"/>
      <c r="W22" s="1047"/>
      <c r="X22" s="1048" t="s">
        <v>362</v>
      </c>
      <c r="Y22" s="557"/>
      <c r="Z22" s="557"/>
      <c r="AA22" s="557"/>
      <c r="AB22" s="557"/>
    </row>
    <row r="23" spans="1:28">
      <c r="A23" s="637">
        <f t="shared" si="3"/>
        <v>1991</v>
      </c>
      <c r="B23" s="644">
        <f>VLOOKUP($A23,'Esc-Return_Regression'!$B$11:$S$39,8,FALSE)</f>
        <v>7616762.2688391935</v>
      </c>
      <c r="C23" s="647">
        <f>VLOOKUP(A23,Database!$A$74:$J$131,10,FALSE)</f>
        <v>7544776</v>
      </c>
      <c r="D23" s="502">
        <f t="shared" si="4"/>
        <v>5182022901.3886423</v>
      </c>
      <c r="E23" s="503">
        <f t="shared" si="5"/>
        <v>9.5412069011980623E-3</v>
      </c>
      <c r="F23" s="504"/>
      <c r="G23" s="634">
        <f t="shared" si="0"/>
        <v>1991</v>
      </c>
      <c r="H23" s="1003"/>
      <c r="I23" s="1032">
        <f>VLOOKUP($A23,Database!$A$74:$C$131,3,FALSE)</f>
        <v>5818984</v>
      </c>
      <c r="J23" s="1034"/>
      <c r="K23" s="1035"/>
      <c r="L23" s="504"/>
      <c r="M23" s="638">
        <f t="shared" si="1"/>
        <v>1991</v>
      </c>
      <c r="N23" s="644">
        <f>VLOOKUP($A23,'Esc-Return_Regression'!$B$11:$S$40,18,FALSE)</f>
        <v>7197727.0227602515</v>
      </c>
      <c r="O23" s="502">
        <f t="shared" si="6"/>
        <v>120442992603.15544</v>
      </c>
      <c r="P23" s="503">
        <f t="shared" si="7"/>
        <v>-4.5998579313653379E-2</v>
      </c>
      <c r="Q23" s="498"/>
      <c r="R23" s="638">
        <f t="shared" si="2"/>
        <v>1991</v>
      </c>
      <c r="S23" s="1002"/>
      <c r="T23" s="1034"/>
      <c r="U23" s="1035"/>
      <c r="W23" s="1046"/>
      <c r="X23" s="1048" t="s">
        <v>362</v>
      </c>
      <c r="Y23" s="1008"/>
      <c r="Z23" s="1008"/>
      <c r="AA23" s="1008"/>
      <c r="AB23" s="557"/>
    </row>
    <row r="24" spans="1:28">
      <c r="A24" s="637">
        <f t="shared" si="3"/>
        <v>1993</v>
      </c>
      <c r="B24" s="644">
        <f>VLOOKUP($A24,'Esc-Return_Regression'!$B$11:$S$39,8,FALSE)</f>
        <v>10338440.741509855</v>
      </c>
      <c r="C24" s="647">
        <f>VLOOKUP(A24,Database!$A$74:$J$131,10,FALSE)</f>
        <v>1542942</v>
      </c>
      <c r="D24" s="502">
        <f t="shared" si="4"/>
        <v>77360798111901.438</v>
      </c>
      <c r="E24" s="503">
        <f t="shared" si="5"/>
        <v>5.7004726953507356</v>
      </c>
      <c r="F24" s="504"/>
      <c r="G24" s="634">
        <f t="shared" si="0"/>
        <v>1993</v>
      </c>
      <c r="H24" s="1003"/>
      <c r="I24" s="1032">
        <f>VLOOKUP($A24,Database!$A$74:$C$131,3,FALSE)</f>
        <v>477302</v>
      </c>
      <c r="J24" s="1034"/>
      <c r="K24" s="1035"/>
      <c r="L24" s="504"/>
      <c r="M24" s="638">
        <f t="shared" si="1"/>
        <v>1993</v>
      </c>
      <c r="N24" s="644">
        <f>VLOOKUP($A24,'Esc-Return_Regression'!$B$11:$S$40,18,FALSE)</f>
        <v>8821898.03372881</v>
      </c>
      <c r="O24" s="502">
        <f t="shared" si="6"/>
        <v>52983200940957.047</v>
      </c>
      <c r="P24" s="503">
        <f t="shared" si="7"/>
        <v>4.7175824066807506</v>
      </c>
      <c r="Q24" s="498"/>
      <c r="R24" s="638">
        <f t="shared" si="2"/>
        <v>1993</v>
      </c>
      <c r="S24" s="1002"/>
      <c r="T24" s="1034"/>
      <c r="U24" s="1035"/>
      <c r="W24" s="1046"/>
      <c r="X24" s="1048" t="s">
        <v>362</v>
      </c>
      <c r="Y24" s="1008"/>
      <c r="Z24" s="1008"/>
      <c r="AA24" s="1008"/>
      <c r="AB24" s="557"/>
    </row>
    <row r="25" spans="1:28" s="655" customFormat="1">
      <c r="A25" s="648">
        <f t="shared" si="3"/>
        <v>1995</v>
      </c>
      <c r="B25" s="1015">
        <f>VLOOKUP($A25,'Esc-Return_Regression'!$B$11:$S$39,8,FALSE)</f>
        <v>6254874.2734894678</v>
      </c>
      <c r="C25" s="649">
        <f>VLOOKUP(A25,Database!$A$74:$J$131,10,FALSE)</f>
        <v>3934208</v>
      </c>
      <c r="D25" s="652">
        <f t="shared" si="4"/>
        <v>5385491952911.4932</v>
      </c>
      <c r="E25" s="650">
        <f t="shared" si="5"/>
        <v>0.5898687292307544</v>
      </c>
      <c r="F25" s="650"/>
      <c r="G25" s="651">
        <f t="shared" si="0"/>
        <v>1995</v>
      </c>
      <c r="H25" s="1016">
        <f>B25-W25</f>
        <v>4828674.2734894678</v>
      </c>
      <c r="I25" s="1033">
        <f>VLOOKUP($A25,Database!$A$74:$C$131,3,FALSE)</f>
        <v>2744024</v>
      </c>
      <c r="J25" s="1036">
        <f t="shared" ref="J25:J34" si="8">(H25-$I25)^2</f>
        <v>4345766762759.7129</v>
      </c>
      <c r="K25" s="509">
        <f>(H25-$I25)/$I25</f>
        <v>0.75970555413854535</v>
      </c>
      <c r="L25" s="650"/>
      <c r="M25" s="651">
        <f t="shared" si="1"/>
        <v>1995</v>
      </c>
      <c r="N25" s="1015">
        <f>VLOOKUP($A25,'Esc-Return_Regression'!$B$11:$S$40,18,FALSE)</f>
        <v>6110672.1197038805</v>
      </c>
      <c r="O25" s="652">
        <f t="shared" si="6"/>
        <v>4736996064358.3877</v>
      </c>
      <c r="P25" s="509">
        <f t="shared" si="7"/>
        <v>0.55321531543423241</v>
      </c>
      <c r="Q25" s="654"/>
      <c r="R25" s="651">
        <f t="shared" si="2"/>
        <v>1995</v>
      </c>
      <c r="S25" s="1015">
        <f>N25-W25</f>
        <v>4684472.1197038805</v>
      </c>
      <c r="T25" s="1036">
        <f>(S25-$H25)^2</f>
        <v>20794261156.402164</v>
      </c>
      <c r="U25" s="509">
        <f>(S25-$I25)/$C25</f>
        <v>0.49322458794854784</v>
      </c>
      <c r="W25" s="1017">
        <v>1426200</v>
      </c>
      <c r="X25" s="1018" t="s">
        <v>305</v>
      </c>
      <c r="Y25" s="1012"/>
      <c r="Z25" s="1012"/>
      <c r="AA25" s="1012"/>
      <c r="AB25" s="1013"/>
    </row>
    <row r="26" spans="1:28">
      <c r="A26" s="637">
        <f t="shared" si="3"/>
        <v>1997</v>
      </c>
      <c r="B26" s="644">
        <f>VLOOKUP($A26,'Esc-Return_Regression'!$B$11:$S$39,8,FALSE)</f>
        <v>6723627.002967854</v>
      </c>
      <c r="C26" s="647">
        <f>VLOOKUP(A26,Database!$A$74:$J$131,10,FALSE)</f>
        <v>2588682</v>
      </c>
      <c r="D26" s="502">
        <f t="shared" si="4"/>
        <v>17097770177568.826</v>
      </c>
      <c r="E26" s="503">
        <f t="shared" si="5"/>
        <v>1.5973167051680561</v>
      </c>
      <c r="F26" s="504"/>
      <c r="G26" s="634">
        <f t="shared" si="0"/>
        <v>1997</v>
      </c>
      <c r="H26" s="1003">
        <f t="shared" ref="H26:H34" si="9">B26-W26</f>
        <v>5297427.002967854</v>
      </c>
      <c r="I26" s="1032">
        <f>VLOOKUP($A26,Database!$A$74:$C$131,3,FALSE)</f>
        <v>1088828</v>
      </c>
      <c r="J26" s="502">
        <f t="shared" si="8"/>
        <v>17712305567782.016</v>
      </c>
      <c r="K26" s="506">
        <f t="shared" ref="K26:K34" si="10">(H26-$I26)/$I26</f>
        <v>3.8652560394918702</v>
      </c>
      <c r="L26" s="504"/>
      <c r="M26" s="638">
        <f t="shared" si="1"/>
        <v>1997</v>
      </c>
      <c r="N26" s="644">
        <f>VLOOKUP($A26,'Esc-Return_Regression'!$B$11:$S$40,18,FALSE)</f>
        <v>6255273.7921029832</v>
      </c>
      <c r="O26" s="502">
        <f t="shared" si="6"/>
        <v>13443895369916.967</v>
      </c>
      <c r="P26" s="503">
        <f t="shared" si="7"/>
        <v>1.4163932812539288</v>
      </c>
      <c r="Q26" s="498"/>
      <c r="R26" s="638">
        <f t="shared" si="2"/>
        <v>1997</v>
      </c>
      <c r="S26" s="1002">
        <f t="shared" ref="S26:S35" si="11">N26-W26</f>
        <v>4829073.7921029832</v>
      </c>
      <c r="T26" s="502">
        <f t="shared" ref="T26:T34" si="12">(S26-$H26)^2</f>
        <v>219354730127.43414</v>
      </c>
      <c r="U26" s="506">
        <f>(S26-$I26)/$C26</f>
        <v>1.4448455979154577</v>
      </c>
      <c r="W26" s="1011">
        <v>1426200</v>
      </c>
      <c r="X26" s="1010" t="s">
        <v>305</v>
      </c>
      <c r="Y26" s="1014"/>
      <c r="Z26" s="1008"/>
      <c r="AA26" s="1008"/>
      <c r="AB26" s="557"/>
    </row>
    <row r="27" spans="1:28">
      <c r="A27" s="637">
        <f t="shared" si="3"/>
        <v>1999</v>
      </c>
      <c r="B27" s="644">
        <f>VLOOKUP($A27,'Esc-Return_Regression'!$B$11:$S$39,8,FALSE)</f>
        <v>7745069.2439589882</v>
      </c>
      <c r="C27" s="647">
        <f>VLOOKUP(A27,Database!$A$74:$J$131,10,FALSE)</f>
        <v>9405198</v>
      </c>
      <c r="D27" s="502">
        <f t="shared" si="4"/>
        <v>2756027486634.2773</v>
      </c>
      <c r="E27" s="503">
        <f t="shared" si="5"/>
        <v>-0.17651183484292535</v>
      </c>
      <c r="F27" s="504"/>
      <c r="G27" s="634">
        <f t="shared" si="0"/>
        <v>1999</v>
      </c>
      <c r="H27" s="1003">
        <f t="shared" si="9"/>
        <v>6318869.2439589882</v>
      </c>
      <c r="I27" s="1032">
        <f>VLOOKUP($A27,Database!$A$74:$C$131,3,FALSE)</f>
        <v>6793207</v>
      </c>
      <c r="J27" s="502">
        <f t="shared" si="8"/>
        <v>224996306806.0224</v>
      </c>
      <c r="K27" s="506">
        <f t="shared" si="10"/>
        <v>-6.9825305785766831E-2</v>
      </c>
      <c r="L27" s="504"/>
      <c r="M27" s="638">
        <f t="shared" si="1"/>
        <v>1999</v>
      </c>
      <c r="N27" s="644">
        <f>VLOOKUP($A27,'Esc-Return_Regression'!$B$11:$S$40,18,FALSE)</f>
        <v>6547208.6582992496</v>
      </c>
      <c r="O27" s="502">
        <f t="shared" si="6"/>
        <v>8168103077275.0889</v>
      </c>
      <c r="P27" s="503">
        <f t="shared" si="7"/>
        <v>-0.30387338381400908</v>
      </c>
      <c r="Q27" s="498"/>
      <c r="R27" s="638">
        <f t="shared" si="2"/>
        <v>1999</v>
      </c>
      <c r="S27" s="1002">
        <f t="shared" si="11"/>
        <v>5121008.6582992496</v>
      </c>
      <c r="T27" s="502">
        <f t="shared" si="12"/>
        <v>1434869982677.092</v>
      </c>
      <c r="U27" s="506">
        <f t="shared" ref="U27:U34" si="13">(S27-$I27)/$C27</f>
        <v>-0.17779512368593944</v>
      </c>
      <c r="W27" s="1011">
        <v>1426200</v>
      </c>
      <c r="X27" s="1010" t="s">
        <v>305</v>
      </c>
      <c r="Y27" s="1014"/>
      <c r="Z27" s="1008"/>
      <c r="AA27" s="1008"/>
      <c r="AB27" s="557"/>
    </row>
    <row r="28" spans="1:28">
      <c r="A28" s="637">
        <f t="shared" si="3"/>
        <v>2001</v>
      </c>
      <c r="B28" s="644">
        <f>VLOOKUP($A28,'Esc-Return_Regression'!$B$11:$S$39,8,FALSE)</f>
        <v>13676847.206164915</v>
      </c>
      <c r="C28" s="647">
        <f>VLOOKUP(A28,Database!$A$74:$J$131,10,FALSE)</f>
        <v>8854676.9808041956</v>
      </c>
      <c r="D28" s="502">
        <f t="shared" si="4"/>
        <v>23253325682355.453</v>
      </c>
      <c r="E28" s="503">
        <f t="shared" si="5"/>
        <v>0.54459019067714909</v>
      </c>
      <c r="F28" s="504"/>
      <c r="G28" s="634">
        <f t="shared" si="0"/>
        <v>2001</v>
      </c>
      <c r="H28" s="1003">
        <f t="shared" si="9"/>
        <v>12326125.206164915</v>
      </c>
      <c r="I28" s="1032">
        <f>VLOOKUP($A28,Database!$A$74:$C$131,3,FALSE)</f>
        <v>6705936.700407384</v>
      </c>
      <c r="J28" s="502">
        <f t="shared" si="8"/>
        <v>31586518840249.07</v>
      </c>
      <c r="K28" s="506">
        <f t="shared" si="10"/>
        <v>0.8380914936784456</v>
      </c>
      <c r="L28" s="504"/>
      <c r="M28" s="638">
        <f t="shared" si="1"/>
        <v>2001</v>
      </c>
      <c r="N28" s="644">
        <f>VLOOKUP($A28,'Esc-Return_Regression'!$B$11:$S$40,18,FALSE)</f>
        <v>9084206.3845424689</v>
      </c>
      <c r="O28" s="502">
        <f t="shared" si="6"/>
        <v>52683747180.447273</v>
      </c>
      <c r="P28" s="503">
        <f t="shared" si="7"/>
        <v>2.5921826875883066E-2</v>
      </c>
      <c r="Q28" s="498"/>
      <c r="R28" s="638">
        <f t="shared" si="2"/>
        <v>2001</v>
      </c>
      <c r="S28" s="1002">
        <f t="shared" si="11"/>
        <v>7733484.3845424689</v>
      </c>
      <c r="T28" s="502">
        <f t="shared" si="12"/>
        <v>21092349716432.898</v>
      </c>
      <c r="U28" s="506">
        <f t="shared" si="13"/>
        <v>0.11604575597310626</v>
      </c>
      <c r="W28" s="1011">
        <v>1350722</v>
      </c>
      <c r="X28" s="1010" t="s">
        <v>306</v>
      </c>
      <c r="Y28" s="1014"/>
      <c r="Z28" s="1008"/>
      <c r="AA28" s="1008"/>
      <c r="AB28" s="557"/>
    </row>
    <row r="29" spans="1:28">
      <c r="A29" s="637">
        <f t="shared" si="3"/>
        <v>2003</v>
      </c>
      <c r="B29" s="644">
        <f>VLOOKUP($A29,'Esc-Return_Regression'!$B$11:$S$39,8,FALSE)</f>
        <v>10560632.114141002</v>
      </c>
      <c r="C29" s="647">
        <f>VLOOKUP(A29,Database!$A$74:$J$131,10,FALSE)</f>
        <v>7344511.9398193061</v>
      </c>
      <c r="D29" s="502">
        <f t="shared" si="4"/>
        <v>10343428975679.018</v>
      </c>
      <c r="E29" s="503">
        <f t="shared" si="5"/>
        <v>0.43789433534515038</v>
      </c>
      <c r="F29" s="504"/>
      <c r="G29" s="634">
        <f t="shared" si="0"/>
        <v>2003</v>
      </c>
      <c r="H29" s="1003">
        <f t="shared" si="9"/>
        <v>9233677.1141410023</v>
      </c>
      <c r="I29" s="1032">
        <f>VLOOKUP($A29,Database!$A$74:$C$131,3,FALSE)</f>
        <v>4493948.7314859722</v>
      </c>
      <c r="J29" s="502">
        <f t="shared" si="8"/>
        <v>22465025141345.668</v>
      </c>
      <c r="K29" s="506">
        <f t="shared" si="10"/>
        <v>1.0546912450173387</v>
      </c>
      <c r="L29" s="504"/>
      <c r="M29" s="638">
        <f t="shared" si="1"/>
        <v>2003</v>
      </c>
      <c r="N29" s="644">
        <f>VLOOKUP($A29,'Esc-Return_Regression'!$B$11:$S$40,18,FALSE)</f>
        <v>8061643.8116895743</v>
      </c>
      <c r="O29" s="502">
        <f t="shared" si="6"/>
        <v>514278121652.15466</v>
      </c>
      <c r="P29" s="503">
        <f t="shared" si="7"/>
        <v>9.7641868887466385E-2</v>
      </c>
      <c r="Q29" s="498"/>
      <c r="R29" s="638">
        <f t="shared" si="2"/>
        <v>2003</v>
      </c>
      <c r="S29" s="1002">
        <f t="shared" si="11"/>
        <v>6734688.8116895743</v>
      </c>
      <c r="T29" s="502">
        <f t="shared" si="12"/>
        <v>6244942535789.0703</v>
      </c>
      <c r="U29" s="506">
        <f t="shared" si="13"/>
        <v>0.3050903992755617</v>
      </c>
      <c r="W29" s="1011">
        <v>1326955</v>
      </c>
      <c r="X29" s="1010" t="s">
        <v>307</v>
      </c>
      <c r="Y29" s="1014"/>
      <c r="Z29" s="1008"/>
      <c r="AA29" s="1008"/>
      <c r="AB29" s="557"/>
    </row>
    <row r="30" spans="1:28">
      <c r="A30" s="637">
        <f t="shared" si="3"/>
        <v>2005</v>
      </c>
      <c r="B30" s="644">
        <f>VLOOKUP($A30,'Esc-Return_Regression'!$B$11:$S$39,8,FALSE)</f>
        <v>14414397.661888659</v>
      </c>
      <c r="C30" s="647">
        <f>VLOOKUP(A30,Database!$A$74:$J$131,10,FALSE)</f>
        <v>17032487.685321052</v>
      </c>
      <c r="D30" s="502">
        <f t="shared" si="4"/>
        <v>6854395370796.2266</v>
      </c>
      <c r="E30" s="503">
        <f t="shared" si="5"/>
        <v>-0.15371154653402253</v>
      </c>
      <c r="F30" s="504"/>
      <c r="G30" s="634">
        <f t="shared" si="0"/>
        <v>2005</v>
      </c>
      <c r="H30" s="1003">
        <f t="shared" si="9"/>
        <v>13063675.661888659</v>
      </c>
      <c r="I30" s="1032">
        <f>VLOOKUP($A30,Database!$A$74:$C$131,3,FALSE)</f>
        <v>12256106.828178193</v>
      </c>
      <c r="J30" s="502">
        <f t="shared" si="8"/>
        <v>652167421180.48157</v>
      </c>
      <c r="K30" s="506">
        <f t="shared" si="10"/>
        <v>6.5891138599883312E-2</v>
      </c>
      <c r="L30" s="504"/>
      <c r="M30" s="638">
        <f t="shared" si="1"/>
        <v>2005</v>
      </c>
      <c r="N30" s="644">
        <f>VLOOKUP($A30,'Esc-Return_Regression'!$B$11:$S$40,18,FALSE)</f>
        <v>9720213.5710416138</v>
      </c>
      <c r="O30" s="502">
        <f t="shared" si="6"/>
        <v>53469352722361.141</v>
      </c>
      <c r="P30" s="503">
        <f t="shared" si="7"/>
        <v>-0.42931333633555513</v>
      </c>
      <c r="Q30" s="498"/>
      <c r="R30" s="638">
        <f t="shared" si="2"/>
        <v>2005</v>
      </c>
      <c r="S30" s="1002">
        <f t="shared" si="11"/>
        <v>8369491.5710416138</v>
      </c>
      <c r="T30" s="502">
        <f t="shared" si="12"/>
        <v>22035364278761.5</v>
      </c>
      <c r="U30" s="506">
        <f t="shared" si="13"/>
        <v>-0.22818834975504751</v>
      </c>
      <c r="W30" s="1011">
        <v>1350722</v>
      </c>
      <c r="X30" s="1010" t="s">
        <v>306</v>
      </c>
      <c r="Y30" s="1014"/>
      <c r="Z30" s="1008"/>
      <c r="AA30" s="1008"/>
      <c r="AB30" s="557"/>
    </row>
    <row r="31" spans="1:28">
      <c r="A31" s="637">
        <f t="shared" si="3"/>
        <v>2007</v>
      </c>
      <c r="B31" s="644">
        <f>VLOOKUP($A31,'Esc-Return_Regression'!$B$11:$S$39,8,FALSE)</f>
        <v>24750222.162973151</v>
      </c>
      <c r="C31" s="647">
        <f>VLOOKUP(A31,Database!$A$74:$J$131,10,FALSE)</f>
        <v>11526987.795003444</v>
      </c>
      <c r="D31" s="502">
        <f t="shared" si="4"/>
        <v>174853927150255.22</v>
      </c>
      <c r="E31" s="503">
        <f t="shared" si="5"/>
        <v>1.1471543653148941</v>
      </c>
      <c r="F31" s="504"/>
      <c r="G31" s="634">
        <f t="shared" si="0"/>
        <v>2007</v>
      </c>
      <c r="H31" s="1003">
        <f t="shared" si="9"/>
        <v>23423267.162973151</v>
      </c>
      <c r="I31" s="1032">
        <f>VLOOKUP($A31,Database!$A$74:$C$131,3,FALSE)</f>
        <v>9967663.2895603608</v>
      </c>
      <c r="J31" s="502">
        <f t="shared" si="8"/>
        <v>181053275598201.28</v>
      </c>
      <c r="K31" s="506">
        <f t="shared" si="10"/>
        <v>1.349925602674152</v>
      </c>
      <c r="L31" s="504"/>
      <c r="M31" s="638">
        <f t="shared" si="1"/>
        <v>2007</v>
      </c>
      <c r="N31" s="644">
        <f>VLOOKUP($A31,'Esc-Return_Regression'!$B$11:$S$40,18,FALSE)</f>
        <v>14541563.350112388</v>
      </c>
      <c r="O31" s="502">
        <f t="shared" si="6"/>
        <v>9087665777460.3984</v>
      </c>
      <c r="P31" s="503">
        <f t="shared" si="7"/>
        <v>0.26152327118934399</v>
      </c>
      <c r="Q31" s="498"/>
      <c r="R31" s="638">
        <f t="shared" si="2"/>
        <v>2007</v>
      </c>
      <c r="S31" s="1002">
        <f t="shared" si="11"/>
        <v>13214608.350112388</v>
      </c>
      <c r="T31" s="502">
        <f t="shared" si="12"/>
        <v>104216714757399.72</v>
      </c>
      <c r="U31" s="506">
        <f t="shared" si="13"/>
        <v>0.28168200732887622</v>
      </c>
      <c r="W31" s="1011">
        <v>1326955</v>
      </c>
      <c r="X31" s="1010" t="s">
        <v>307</v>
      </c>
      <c r="Y31" s="1014"/>
      <c r="Z31" s="1008"/>
      <c r="AA31" s="1008"/>
      <c r="AB31" s="557"/>
    </row>
    <row r="32" spans="1:28">
      <c r="A32" s="637">
        <f t="shared" si="3"/>
        <v>2009</v>
      </c>
      <c r="B32" s="644">
        <f>VLOOKUP($A32,'Esc-Return_Regression'!$B$11:$S$39,8,FALSE)</f>
        <v>7983784.2869225359</v>
      </c>
      <c r="C32" s="647">
        <f>VLOOKUP(A32,Database!$A$74:$J$131,10,FALSE)</f>
        <v>2824330.6070667375</v>
      </c>
      <c r="D32" s="502">
        <f t="shared" si="4"/>
        <v>26619962274577.539</v>
      </c>
      <c r="E32" s="503">
        <f t="shared" si="5"/>
        <v>1.8267881482948087</v>
      </c>
      <c r="F32" s="504"/>
      <c r="G32" s="634">
        <f t="shared" si="0"/>
        <v>2009</v>
      </c>
      <c r="H32" s="1003">
        <f t="shared" si="9"/>
        <v>6633062.2869225359</v>
      </c>
      <c r="I32" s="1032">
        <f>VLOOKUP($A32,Database!$A$74:$C$131,3,FALSE)</f>
        <v>910000.69957974285</v>
      </c>
      <c r="J32" s="502">
        <f t="shared" si="8"/>
        <v>32753433932518.609</v>
      </c>
      <c r="K32" s="506">
        <f t="shared" si="10"/>
        <v>6.2890738325649878</v>
      </c>
      <c r="L32" s="504"/>
      <c r="M32" s="638">
        <f t="shared" si="1"/>
        <v>2009</v>
      </c>
      <c r="N32" s="644">
        <f>VLOOKUP($A32,'Esc-Return_Regression'!$B$11:$S$40,18,FALSE)</f>
        <v>6982685.6021936685</v>
      </c>
      <c r="O32" s="502">
        <f t="shared" si="6"/>
        <v>17291916265497.098</v>
      </c>
      <c r="P32" s="503">
        <f t="shared" si="7"/>
        <v>1.4723329431484899</v>
      </c>
      <c r="Q32" s="498"/>
      <c r="R32" s="638">
        <f t="shared" si="2"/>
        <v>2009</v>
      </c>
      <c r="S32" s="1002">
        <f t="shared" si="11"/>
        <v>5631963.6021936685</v>
      </c>
      <c r="T32" s="502">
        <f t="shared" si="12"/>
        <v>1002198576565.8682</v>
      </c>
      <c r="U32" s="506">
        <f t="shared" si="13"/>
        <v>1.6718874521272884</v>
      </c>
      <c r="W32" s="1011">
        <v>1350722</v>
      </c>
      <c r="X32" s="1010" t="s">
        <v>306</v>
      </c>
      <c r="Y32" s="1014"/>
      <c r="Z32" s="1008"/>
      <c r="AA32" s="1008"/>
      <c r="AB32" s="557"/>
    </row>
    <row r="33" spans="1:28">
      <c r="A33" s="637">
        <f t="shared" si="3"/>
        <v>2011</v>
      </c>
      <c r="B33" s="644">
        <f>VLOOKUP($A33,'Esc-Return_Regression'!$B$11:$S$39,8,FALSE)</f>
        <v>8750754.5992437862</v>
      </c>
      <c r="C33" s="647">
        <f>VLOOKUP(A33,Database!$A$74:$J$131,10,FALSE)</f>
        <v>9643099</v>
      </c>
      <c r="D33" s="502">
        <f t="shared" si="4"/>
        <v>796278529560.96631</v>
      </c>
      <c r="E33" s="503">
        <f t="shared" si="5"/>
        <v>-9.2537098370162316E-2</v>
      </c>
      <c r="F33" s="504"/>
      <c r="G33" s="634">
        <f t="shared" si="0"/>
        <v>2011</v>
      </c>
      <c r="H33" s="1003">
        <f t="shared" si="9"/>
        <v>7594754.5992437862</v>
      </c>
      <c r="I33" s="1032">
        <f>VLOOKUP($A33,Database!$A$74:$C$131,3,FALSE)</f>
        <v>5564873</v>
      </c>
      <c r="J33" s="502">
        <f t="shared" si="8"/>
        <v>4120419306948.5112</v>
      </c>
      <c r="K33" s="506">
        <f t="shared" si="10"/>
        <v>0.36476692266719946</v>
      </c>
      <c r="L33" s="504"/>
      <c r="M33" s="638">
        <f t="shared" si="1"/>
        <v>2011</v>
      </c>
      <c r="N33" s="644">
        <f>VLOOKUP($A33,'Esc-Return_Regression'!$B$11:$S$40,18,FALSE)</f>
        <v>7536851.7598772161</v>
      </c>
      <c r="O33" s="502">
        <f t="shared" si="6"/>
        <v>4436277436524.8438</v>
      </c>
      <c r="P33" s="503">
        <f t="shared" si="7"/>
        <v>-0.21842016141520312</v>
      </c>
      <c r="Q33" s="498"/>
      <c r="R33" s="638">
        <f t="shared" si="2"/>
        <v>2011</v>
      </c>
      <c r="S33" s="1002">
        <f t="shared" si="11"/>
        <v>6380851.7598772161</v>
      </c>
      <c r="T33" s="502">
        <f t="shared" si="12"/>
        <v>1473560103422.2209</v>
      </c>
      <c r="U33" s="506">
        <f t="shared" si="13"/>
        <v>8.461789720060077E-2</v>
      </c>
      <c r="W33" s="1011">
        <v>1156000</v>
      </c>
      <c r="X33" s="1010" t="s">
        <v>305</v>
      </c>
      <c r="Y33" s="1014"/>
      <c r="Z33" s="1008"/>
      <c r="AA33" s="1008"/>
      <c r="AB33" s="557"/>
    </row>
    <row r="34" spans="1:28">
      <c r="A34" s="637">
        <f t="shared" si="3"/>
        <v>2013</v>
      </c>
      <c r="B34" s="644">
        <f>VLOOKUP($A34,'Esc-Return_Regression'!$B$11:$S$39,8,FALSE)</f>
        <v>15323901.120830838</v>
      </c>
      <c r="C34" s="647">
        <f>VLOOKUP(A34,Database!$A$74:$J$131,10,FALSE)</f>
        <v>21965453</v>
      </c>
      <c r="D34" s="502">
        <f t="shared" si="4"/>
        <v>44110211363695.43</v>
      </c>
      <c r="E34" s="503">
        <f t="shared" si="5"/>
        <v>-0.30236352872709532</v>
      </c>
      <c r="F34" s="504"/>
      <c r="G34" s="634">
        <f t="shared" si="0"/>
        <v>2013</v>
      </c>
      <c r="H34" s="1003">
        <f t="shared" si="9"/>
        <v>14167901.120830838</v>
      </c>
      <c r="I34" s="1032">
        <f>VLOOKUP($A34,Database!$A$74:$C$131,3,FALSE)</f>
        <v>17267227</v>
      </c>
      <c r="J34" s="502">
        <f t="shared" si="8"/>
        <v>9605820905287.7012</v>
      </c>
      <c r="K34" s="506">
        <f t="shared" si="10"/>
        <v>-0.17949181296853065</v>
      </c>
      <c r="L34" s="504"/>
      <c r="M34" s="638">
        <f t="shared" si="1"/>
        <v>2013</v>
      </c>
      <c r="N34" s="644">
        <f>VLOOKUP($A34,'Esc-Return_Regression'!$B$11:$S$40,18,FALSE)</f>
        <v>12048916.264002074</v>
      </c>
      <c r="O34" s="502">
        <f t="shared" si="6"/>
        <v>98337700836396.406</v>
      </c>
      <c r="P34" s="503">
        <f t="shared" si="7"/>
        <v>-0.45146060661703297</v>
      </c>
      <c r="Q34" s="498"/>
      <c r="R34" s="638">
        <f t="shared" si="2"/>
        <v>2013</v>
      </c>
      <c r="S34" s="1002">
        <f t="shared" si="11"/>
        <v>10892916.264002074</v>
      </c>
      <c r="T34" s="502">
        <f t="shared" si="12"/>
        <v>10725525812457.721</v>
      </c>
      <c r="U34" s="506">
        <f t="shared" si="13"/>
        <v>-0.29019709887148359</v>
      </c>
      <c r="W34" s="1011">
        <v>1156000</v>
      </c>
      <c r="X34" s="1010" t="s">
        <v>305</v>
      </c>
      <c r="Y34" s="1014"/>
      <c r="Z34" s="1008"/>
      <c r="AA34" s="1008"/>
      <c r="AB34" s="557"/>
    </row>
    <row r="35" spans="1:28">
      <c r="A35" s="637">
        <f t="shared" si="3"/>
        <v>2015</v>
      </c>
      <c r="B35" s="510">
        <f>VLOOKUP($A35,'Esc-Return_Regression'!$B$11:$S$39,8,FALSE)</f>
        <v>19655530.77292636</v>
      </c>
      <c r="C35" s="501"/>
      <c r="D35" s="502"/>
      <c r="E35" s="503"/>
      <c r="F35" s="504"/>
      <c r="G35" s="634">
        <f t="shared" si="0"/>
        <v>2015</v>
      </c>
      <c r="H35" s="510">
        <f>B35-W35</f>
        <v>18499530.77292636</v>
      </c>
      <c r="I35" s="519"/>
      <c r="J35" s="501"/>
      <c r="K35" s="502"/>
      <c r="L35" s="504"/>
      <c r="M35" s="638">
        <f t="shared" si="1"/>
        <v>2015</v>
      </c>
      <c r="N35" s="510">
        <f>VLOOKUP($A35,'Esc-Return_Regression'!$B$11:$S$40,18,FALSE)</f>
        <v>14942737.616330244</v>
      </c>
      <c r="O35" s="502"/>
      <c r="P35" s="503"/>
      <c r="Q35" s="498"/>
      <c r="R35" s="638">
        <f t="shared" si="2"/>
        <v>2015</v>
      </c>
      <c r="S35" s="510">
        <f t="shared" si="11"/>
        <v>13786737.616330244</v>
      </c>
      <c r="T35" s="502"/>
      <c r="U35" s="503"/>
      <c r="W35" s="1011">
        <v>1156000</v>
      </c>
      <c r="X35" s="1010" t="s">
        <v>305</v>
      </c>
      <c r="Y35" s="1014"/>
      <c r="Z35" s="1008"/>
      <c r="AA35" s="1008"/>
      <c r="AB35" s="557"/>
    </row>
    <row r="36" spans="1:28">
      <c r="A36" s="637"/>
      <c r="B36" s="640"/>
      <c r="C36" s="511"/>
      <c r="D36" s="512"/>
      <c r="E36" s="513"/>
      <c r="F36" s="513"/>
      <c r="G36" s="634"/>
      <c r="H36" s="641"/>
      <c r="I36" s="641"/>
      <c r="J36" s="511"/>
      <c r="K36" s="512"/>
      <c r="L36" s="513"/>
      <c r="M36" s="634"/>
      <c r="N36" s="640"/>
      <c r="O36" s="512"/>
      <c r="P36" s="513"/>
      <c r="Q36" s="508"/>
      <c r="R36" s="634"/>
      <c r="S36" s="640"/>
      <c r="T36" s="512"/>
      <c r="U36" s="513"/>
      <c r="V36" s="507"/>
      <c r="W36" s="557"/>
      <c r="X36" s="557"/>
      <c r="Y36" s="557"/>
      <c r="Z36" s="557"/>
      <c r="AA36" s="557"/>
      <c r="AB36" s="557"/>
    </row>
    <row r="37" spans="1:28">
      <c r="A37" s="514"/>
      <c r="B37" s="515"/>
      <c r="C37" s="516"/>
      <c r="D37" s="517"/>
      <c r="E37" s="513"/>
      <c r="F37" s="513"/>
      <c r="G37" s="505"/>
      <c r="H37" s="642"/>
      <c r="I37" s="642"/>
      <c r="J37" s="516"/>
      <c r="K37" s="517"/>
      <c r="L37" s="513"/>
      <c r="M37" s="505"/>
      <c r="N37" s="515"/>
      <c r="O37" s="517"/>
      <c r="P37" s="513"/>
      <c r="Q37" s="508"/>
      <c r="R37" s="638"/>
      <c r="S37" s="515"/>
      <c r="T37" s="517"/>
      <c r="U37" s="513"/>
      <c r="V37" s="518"/>
      <c r="W37" s="557"/>
      <c r="X37" s="557"/>
      <c r="Y37" s="557"/>
      <c r="Z37" s="557"/>
      <c r="AA37" s="557"/>
      <c r="AB37" s="557"/>
    </row>
    <row r="38" spans="1:28">
      <c r="A38" s="514"/>
      <c r="B38" s="519"/>
      <c r="C38" s="520"/>
      <c r="D38" s="517"/>
      <c r="E38" s="513"/>
      <c r="F38" s="513"/>
      <c r="G38" s="505"/>
      <c r="H38" s="642"/>
      <c r="I38" s="642"/>
      <c r="J38" s="520"/>
      <c r="K38" s="517"/>
      <c r="L38" s="513"/>
      <c r="M38" s="505"/>
      <c r="N38" s="519"/>
      <c r="O38" s="517"/>
      <c r="P38" s="513"/>
      <c r="Q38" s="508"/>
      <c r="R38" s="638"/>
      <c r="S38" s="519"/>
      <c r="T38" s="517"/>
      <c r="U38" s="513"/>
      <c r="V38" s="518"/>
    </row>
    <row r="39" spans="1:28">
      <c r="A39" s="514"/>
      <c r="B39" s="479"/>
      <c r="C39" s="521"/>
      <c r="D39" s="522"/>
      <c r="E39" s="523"/>
      <c r="F39" s="513"/>
      <c r="G39" s="505"/>
      <c r="H39" s="642"/>
      <c r="I39" s="642"/>
      <c r="J39" s="521"/>
      <c r="K39" s="522"/>
      <c r="L39" s="513"/>
      <c r="M39" s="505"/>
      <c r="N39" s="479"/>
      <c r="O39" s="522"/>
      <c r="P39" s="523"/>
      <c r="Q39" s="508"/>
      <c r="R39" s="638"/>
      <c r="S39" s="479"/>
      <c r="T39" s="522"/>
      <c r="U39" s="523"/>
      <c r="V39" s="518"/>
    </row>
    <row r="40" spans="1:28" ht="51">
      <c r="A40" s="656"/>
      <c r="B40" s="657"/>
      <c r="C40" s="658" t="s">
        <v>178</v>
      </c>
      <c r="D40" s="659">
        <f>SUM(D25:D35)</f>
        <v>312070818964034.44</v>
      </c>
      <c r="E40" s="660">
        <f>SUM(E25:E35)</f>
        <v>5.4184884655566075</v>
      </c>
      <c r="F40" s="661"/>
      <c r="G40" s="656"/>
      <c r="H40" s="658" t="s">
        <v>178</v>
      </c>
      <c r="I40" s="658"/>
      <c r="J40" s="659">
        <f>SUM(J25:J35)</f>
        <v>304519729783079.06</v>
      </c>
      <c r="K40" s="660">
        <f>SUM(K25:K35)</f>
        <v>14.338084710078125</v>
      </c>
      <c r="L40" s="661"/>
      <c r="M40" s="656"/>
      <c r="N40" s="658" t="s">
        <v>178</v>
      </c>
      <c r="O40" s="659">
        <f>SUM(O25:O35)</f>
        <v>209538869418622.94</v>
      </c>
      <c r="P40" s="660">
        <f>SUM(P25:P35)</f>
        <v>2.4239610186075442</v>
      </c>
      <c r="Q40" s="662"/>
      <c r="R40" s="656"/>
      <c r="S40" s="658" t="s">
        <v>178</v>
      </c>
      <c r="T40" s="659">
        <f>SUM(T25:T35)</f>
        <v>168465674754789.94</v>
      </c>
      <c r="U40" s="660">
        <f>SUM(U25:U35)</f>
        <v>3.7012131254569685</v>
      </c>
      <c r="V40" s="663"/>
    </row>
    <row r="41" spans="1:28">
      <c r="A41" s="524"/>
      <c r="B41" s="479"/>
      <c r="C41" s="527" t="s">
        <v>179</v>
      </c>
      <c r="D41" s="528">
        <f>SQRT(D40/(COUNT(D25:D35)-1))</f>
        <v>5888508.7620252604</v>
      </c>
      <c r="E41" s="529">
        <f>E40/COUNTA(E25:E35)</f>
        <v>0.54184884655566079</v>
      </c>
      <c r="F41" s="530"/>
      <c r="G41" s="524"/>
      <c r="H41" s="527" t="s">
        <v>179</v>
      </c>
      <c r="I41" s="527"/>
      <c r="J41" s="528">
        <f>SQRT(J40/(COUNT(J25:J35)-1))</f>
        <v>5816831.227692035</v>
      </c>
      <c r="K41" s="529">
        <f>K40/COUNTA(K25:K35)</f>
        <v>1.4338084710078125</v>
      </c>
      <c r="L41" s="530"/>
      <c r="M41" s="524"/>
      <c r="N41" s="527" t="s">
        <v>179</v>
      </c>
      <c r="O41" s="528">
        <f>SQRT(O40/(COUNT(O25:O35)-1))</f>
        <v>4825152.4952139296</v>
      </c>
      <c r="P41" s="529">
        <f>P40/COUNTA(P25:P35)</f>
        <v>0.24239610186075441</v>
      </c>
      <c r="Q41" s="508"/>
      <c r="R41" s="524"/>
      <c r="S41" s="527" t="s">
        <v>179</v>
      </c>
      <c r="T41" s="528">
        <f>SQRT(T40/(COUNT(T25:T35)-1))</f>
        <v>4326477.5864538774</v>
      </c>
      <c r="U41" s="529">
        <f>U40/COUNTA(U25:U35)</f>
        <v>0.37012131254569686</v>
      </c>
      <c r="V41" s="518"/>
    </row>
    <row r="42" spans="1:28">
      <c r="A42" s="527"/>
      <c r="B42" s="479"/>
      <c r="C42" s="527" t="s">
        <v>180</v>
      </c>
      <c r="D42" s="531"/>
      <c r="E42" s="646">
        <f>E41*0.8</f>
        <v>0.43347907724452867</v>
      </c>
      <c r="F42" s="526"/>
      <c r="G42" s="527"/>
      <c r="H42" s="527" t="s">
        <v>180</v>
      </c>
      <c r="I42" s="527"/>
      <c r="J42" s="531"/>
      <c r="K42" s="646">
        <f>K41*0.8</f>
        <v>1.14704677680625</v>
      </c>
      <c r="L42" s="526"/>
      <c r="M42" s="527"/>
      <c r="N42" s="527" t="s">
        <v>180</v>
      </c>
      <c r="O42" s="531"/>
      <c r="P42" s="646">
        <f>P41*0.8</f>
        <v>0.19391688148860353</v>
      </c>
      <c r="Q42" s="508"/>
      <c r="R42" s="527"/>
      <c r="S42" s="527" t="s">
        <v>180</v>
      </c>
      <c r="T42" s="531"/>
      <c r="U42" s="646">
        <f>U41*0.8</f>
        <v>0.29609705003655751</v>
      </c>
      <c r="V42" s="518"/>
    </row>
    <row r="43" spans="1:28">
      <c r="A43" s="527"/>
      <c r="B43" s="479"/>
      <c r="C43" s="527" t="s">
        <v>262</v>
      </c>
      <c r="D43" s="532">
        <f>COUNT(D25:D35)-1</f>
        <v>9</v>
      </c>
      <c r="E43" s="525"/>
      <c r="F43" s="526"/>
      <c r="G43" s="527"/>
      <c r="H43" s="527" t="s">
        <v>262</v>
      </c>
      <c r="I43" s="527"/>
      <c r="J43" s="532">
        <f>COUNT(J25:J35)-1</f>
        <v>9</v>
      </c>
      <c r="K43" s="525"/>
      <c r="L43" s="526"/>
      <c r="M43" s="527"/>
      <c r="N43" s="527" t="s">
        <v>262</v>
      </c>
      <c r="O43" s="532">
        <f>COUNT(O25:O35)-1</f>
        <v>9</v>
      </c>
      <c r="P43" s="525"/>
      <c r="Q43" s="508"/>
      <c r="R43" s="527"/>
      <c r="S43" s="527" t="s">
        <v>262</v>
      </c>
      <c r="T43" s="532">
        <f>COUNT(T25:T35)-1</f>
        <v>9</v>
      </c>
      <c r="U43" s="525"/>
      <c r="V43" s="518"/>
    </row>
    <row r="44" spans="1:28">
      <c r="A44" s="527"/>
      <c r="B44" s="479"/>
      <c r="C44" s="527" t="s">
        <v>263</v>
      </c>
      <c r="D44" s="533">
        <f>_xlfn.T.INV.2T(0.2,D43)</f>
        <v>1.383028738396632</v>
      </c>
      <c r="E44" s="525"/>
      <c r="F44" s="526"/>
      <c r="G44" s="527"/>
      <c r="H44" s="527" t="s">
        <v>263</v>
      </c>
      <c r="I44" s="527"/>
      <c r="J44" s="533">
        <f>_xlfn.T.INV.2T(0.2,J43)</f>
        <v>1.383028738396632</v>
      </c>
      <c r="K44" s="525"/>
      <c r="L44" s="526"/>
      <c r="M44" s="527"/>
      <c r="N44" s="527" t="s">
        <v>263</v>
      </c>
      <c r="O44" s="533">
        <f>_xlfn.T.INV.2T(0.2,O43)</f>
        <v>1.383028738396632</v>
      </c>
      <c r="P44" s="525"/>
      <c r="Q44" s="508"/>
      <c r="R44" s="527"/>
      <c r="S44" s="527" t="s">
        <v>263</v>
      </c>
      <c r="T44" s="533">
        <f>_xlfn.T.INV.2T(0.2,T43)</f>
        <v>1.383028738396632</v>
      </c>
      <c r="U44" s="525"/>
      <c r="V44" s="518"/>
    </row>
    <row r="45" spans="1:28">
      <c r="A45" s="665"/>
      <c r="B45" s="665" t="s">
        <v>181</v>
      </c>
      <c r="C45" s="666" t="s">
        <v>182</v>
      </c>
      <c r="D45" s="667">
        <f>D41*D44</f>
        <v>8143976.8441813095</v>
      </c>
      <c r="E45" s="668">
        <f>D45/B35</f>
        <v>0.41433512726091676</v>
      </c>
      <c r="F45" s="669"/>
      <c r="G45" s="665" t="s">
        <v>181</v>
      </c>
      <c r="H45" s="666" t="s">
        <v>182</v>
      </c>
      <c r="I45" s="666"/>
      <c r="J45" s="667">
        <f>J41*J44</f>
        <v>8044844.754301047</v>
      </c>
      <c r="K45" s="668">
        <f>J45/H35</f>
        <v>0.43486750302199517</v>
      </c>
      <c r="L45" s="669"/>
      <c r="M45" s="665" t="s">
        <v>181</v>
      </c>
      <c r="N45" s="666" t="s">
        <v>182</v>
      </c>
      <c r="O45" s="667">
        <f>O41*O44</f>
        <v>6673324.5680270819</v>
      </c>
      <c r="P45" s="668">
        <f>O45/N35</f>
        <v>0.44659317050003655</v>
      </c>
      <c r="Q45" s="670"/>
      <c r="R45" s="665" t="s">
        <v>181</v>
      </c>
      <c r="S45" s="666" t="s">
        <v>182</v>
      </c>
      <c r="T45" s="667">
        <f>T41*T44</f>
        <v>5983642.8380946117</v>
      </c>
      <c r="U45" s="668">
        <f>T45/S35</f>
        <v>0.43401441331610247</v>
      </c>
      <c r="V45" s="671"/>
    </row>
    <row r="46" spans="1:28">
      <c r="A46" s="524"/>
      <c r="B46" s="479"/>
      <c r="C46" s="527"/>
      <c r="D46" s="534"/>
      <c r="E46" s="535"/>
      <c r="F46" s="536"/>
      <c r="G46" s="524"/>
      <c r="J46" s="534"/>
      <c r="K46" s="535"/>
      <c r="L46" s="536"/>
      <c r="M46" s="537"/>
      <c r="O46" s="538"/>
      <c r="P46" s="508"/>
      <c r="Q46" s="508"/>
      <c r="R46" s="508"/>
      <c r="T46" s="540"/>
      <c r="U46" s="540"/>
      <c r="V46" s="518"/>
    </row>
    <row r="47" spans="1:28" ht="18" customHeight="1">
      <c r="A47" s="527"/>
      <c r="B47" s="479"/>
      <c r="C47" s="527"/>
      <c r="D47" s="527"/>
      <c r="E47" s="527"/>
      <c r="F47" s="527"/>
      <c r="G47" s="527"/>
      <c r="H47" s="527"/>
      <c r="I47" s="527"/>
      <c r="J47" s="527"/>
      <c r="K47" s="527"/>
      <c r="L47" s="527"/>
      <c r="M47" s="520"/>
      <c r="N47" s="503"/>
      <c r="O47" s="538"/>
      <c r="P47" s="508"/>
      <c r="Q47" s="508"/>
      <c r="R47" s="508"/>
      <c r="S47" s="539"/>
      <c r="T47" s="540"/>
      <c r="U47" s="540"/>
      <c r="V47" s="518"/>
    </row>
    <row r="48" spans="1:28" ht="18" customHeight="1">
      <c r="A48" s="527"/>
      <c r="G48" s="539"/>
      <c r="H48" s="479"/>
      <c r="I48" s="479"/>
      <c r="J48" s="1004" t="s">
        <v>264</v>
      </c>
      <c r="K48" s="527"/>
      <c r="L48" s="520"/>
      <c r="M48" s="520"/>
      <c r="N48" s="520"/>
      <c r="O48" s="520"/>
      <c r="P48" s="520"/>
      <c r="Q48" s="520"/>
      <c r="R48" s="508"/>
      <c r="S48" s="539"/>
      <c r="T48" s="540"/>
      <c r="U48" s="540"/>
      <c r="V48" s="518"/>
    </row>
    <row r="49" spans="1:22" ht="18" customHeight="1">
      <c r="A49" s="479"/>
      <c r="G49" s="539"/>
      <c r="H49" s="1005" t="s">
        <v>353</v>
      </c>
      <c r="I49" s="1005"/>
      <c r="J49" s="546">
        <f>D45</f>
        <v>8143976.8441813095</v>
      </c>
      <c r="K49" s="1006"/>
      <c r="L49" s="480"/>
      <c r="M49" s="480"/>
      <c r="N49" s="480"/>
      <c r="O49" s="480"/>
      <c r="P49" s="480"/>
      <c r="Q49" s="480"/>
      <c r="R49" s="508"/>
      <c r="S49" s="539"/>
      <c r="T49" s="540"/>
      <c r="U49" s="540"/>
      <c r="V49" s="518"/>
    </row>
    <row r="50" spans="1:22" ht="18" customHeight="1">
      <c r="A50" s="548"/>
      <c r="G50" s="539"/>
      <c r="H50" s="1007" t="s">
        <v>354</v>
      </c>
      <c r="I50" s="1007"/>
      <c r="J50" s="546">
        <f>J45</f>
        <v>8044844.754301047</v>
      </c>
      <c r="K50" s="550" t="s">
        <v>267</v>
      </c>
      <c r="M50" s="551"/>
      <c r="N50" s="551"/>
      <c r="O50" s="551"/>
      <c r="P50" s="551"/>
      <c r="Q50" s="551"/>
      <c r="R50" s="508"/>
      <c r="S50" s="476"/>
      <c r="V50" s="552"/>
    </row>
    <row r="51" spans="1:22" ht="18" customHeight="1">
      <c r="A51" s="548"/>
      <c r="G51" s="539"/>
      <c r="H51" s="1007" t="s">
        <v>355</v>
      </c>
      <c r="I51" s="1007"/>
      <c r="J51" s="546">
        <f>O45</f>
        <v>6673324.5680270819</v>
      </c>
      <c r="K51" s="527"/>
      <c r="L51" s="551"/>
      <c r="M51" s="551"/>
      <c r="N51" s="551"/>
      <c r="O51" s="551"/>
      <c r="P51" s="551"/>
      <c r="Q51" s="551"/>
      <c r="R51" s="508"/>
      <c r="S51" s="476"/>
      <c r="V51" s="552"/>
    </row>
    <row r="52" spans="1:22" ht="18" customHeight="1">
      <c r="A52" s="548"/>
      <c r="G52" s="539"/>
      <c r="H52" s="1007" t="s">
        <v>356</v>
      </c>
      <c r="I52" s="1007"/>
      <c r="J52" s="546">
        <f>T45</f>
        <v>5983642.8380946117</v>
      </c>
      <c r="K52" s="527"/>
      <c r="L52" s="551"/>
      <c r="M52" s="551"/>
      <c r="N52" s="551"/>
      <c r="O52" s="551"/>
      <c r="P52" s="551"/>
      <c r="Q52" s="551"/>
      <c r="R52" s="508"/>
      <c r="S52" s="476"/>
      <c r="V52" s="552"/>
    </row>
    <row r="53" spans="1:22" ht="18" customHeight="1">
      <c r="A53" s="551"/>
      <c r="G53" s="539"/>
      <c r="H53" s="1009"/>
      <c r="I53" s="1009"/>
      <c r="J53" s="515"/>
      <c r="K53" s="527"/>
      <c r="L53" s="551"/>
      <c r="M53" s="551"/>
      <c r="N53" s="551"/>
      <c r="O53" s="551"/>
      <c r="P53" s="551"/>
      <c r="Q53" s="551"/>
      <c r="R53" s="508"/>
      <c r="S53" s="476"/>
      <c r="V53" s="552"/>
    </row>
    <row r="54" spans="1:22" ht="18" customHeight="1">
      <c r="A54" s="551"/>
      <c r="G54" s="539"/>
      <c r="H54" s="1009"/>
      <c r="I54" s="1009"/>
      <c r="J54" s="515"/>
      <c r="K54" s="527"/>
      <c r="L54" s="551"/>
      <c r="M54" s="551"/>
      <c r="N54" s="551"/>
      <c r="O54" s="551"/>
      <c r="P54" s="551"/>
      <c r="Q54" s="551"/>
      <c r="R54" s="508"/>
      <c r="S54" s="476"/>
      <c r="V54" s="552"/>
    </row>
    <row r="55" spans="1:22" ht="18" customHeight="1">
      <c r="A55" s="527"/>
      <c r="G55" s="539"/>
      <c r="H55" s="479"/>
      <c r="I55" s="479"/>
      <c r="J55" s="527"/>
      <c r="K55" s="527"/>
      <c r="L55" s="527"/>
      <c r="M55" s="527"/>
      <c r="N55" s="527"/>
      <c r="O55" s="527"/>
      <c r="P55" s="527"/>
      <c r="Q55" s="527"/>
      <c r="R55" s="508"/>
      <c r="S55" s="476"/>
      <c r="V55" s="552"/>
    </row>
    <row r="56" spans="1:22" ht="18" customHeight="1">
      <c r="A56" s="527"/>
      <c r="B56" s="479"/>
      <c r="C56" s="527"/>
      <c r="D56" s="527"/>
      <c r="E56" s="527"/>
      <c r="F56" s="527"/>
      <c r="G56" s="527"/>
      <c r="H56" s="527"/>
      <c r="I56" s="527"/>
      <c r="J56" s="527"/>
      <c r="K56" s="527"/>
      <c r="L56" s="527"/>
      <c r="M56" s="1008"/>
      <c r="N56" s="558"/>
      <c r="O56" s="506"/>
      <c r="P56" s="508"/>
      <c r="Q56" s="508"/>
      <c r="R56" s="508"/>
      <c r="S56" s="476"/>
      <c r="V56" s="552"/>
    </row>
    <row r="57" spans="1:22" ht="18" customHeight="1">
      <c r="A57" s="527"/>
      <c r="B57" s="479"/>
      <c r="C57" s="527"/>
      <c r="D57" s="527"/>
      <c r="E57" s="527"/>
      <c r="F57" s="527"/>
      <c r="G57" s="527"/>
      <c r="H57" s="527"/>
      <c r="I57" s="527"/>
      <c r="J57" s="527"/>
      <c r="K57" s="527"/>
      <c r="L57" s="527"/>
      <c r="M57" s="557"/>
      <c r="N57" s="559"/>
      <c r="O57" s="560"/>
      <c r="P57" s="508"/>
      <c r="Q57" s="508"/>
      <c r="R57" s="508"/>
      <c r="S57" s="476"/>
      <c r="V57" s="552"/>
    </row>
    <row r="58" spans="1:22" ht="18" customHeight="1">
      <c r="A58" s="520"/>
      <c r="B58" s="480"/>
      <c r="C58" s="520"/>
      <c r="D58" s="520"/>
      <c r="E58" s="520"/>
      <c r="F58" s="520"/>
      <c r="G58" s="520"/>
      <c r="H58" s="520"/>
      <c r="I58" s="520"/>
      <c r="J58" s="520"/>
      <c r="K58" s="520"/>
      <c r="L58" s="520"/>
      <c r="M58" s="561"/>
      <c r="N58" s="562"/>
      <c r="O58" s="560"/>
      <c r="P58" s="563"/>
      <c r="Q58" s="563"/>
      <c r="R58" s="563"/>
      <c r="S58" s="476"/>
      <c r="V58" s="552"/>
    </row>
    <row r="59" spans="1:22" ht="18" customHeight="1">
      <c r="A59" s="564"/>
      <c r="B59" s="565"/>
      <c r="C59" s="566"/>
      <c r="D59" s="520"/>
      <c r="E59" s="520"/>
      <c r="F59" s="520"/>
      <c r="G59" s="520"/>
      <c r="H59" s="520"/>
      <c r="I59" s="520"/>
      <c r="J59" s="520"/>
      <c r="K59" s="520"/>
      <c r="L59" s="520"/>
      <c r="M59" s="561"/>
      <c r="N59" s="567"/>
      <c r="O59" s="560"/>
      <c r="P59" s="568"/>
      <c r="Q59" s="568"/>
      <c r="R59" s="568"/>
      <c r="S59" s="476"/>
      <c r="V59" s="552"/>
    </row>
    <row r="60" spans="1:22" ht="18">
      <c r="A60" s="566"/>
      <c r="B60" s="566"/>
      <c r="C60" s="566"/>
      <c r="D60" s="520"/>
      <c r="E60" s="520"/>
      <c r="F60" s="520"/>
      <c r="G60" s="520"/>
      <c r="H60" s="520"/>
      <c r="I60" s="520"/>
      <c r="J60" s="520"/>
      <c r="K60" s="520"/>
      <c r="L60" s="520"/>
      <c r="M60" s="561"/>
      <c r="N60" s="526"/>
      <c r="O60" s="526"/>
      <c r="P60" s="569"/>
      <c r="Q60" s="569"/>
      <c r="R60" s="569"/>
      <c r="S60" s="476"/>
      <c r="V60" s="552"/>
    </row>
    <row r="61" spans="1:22" ht="18">
      <c r="A61" s="570"/>
      <c r="B61" s="570"/>
      <c r="C61" s="571"/>
      <c r="D61" s="520"/>
      <c r="E61" s="520"/>
      <c r="F61" s="520"/>
      <c r="G61" s="520"/>
      <c r="H61" s="520"/>
      <c r="I61" s="520"/>
      <c r="J61" s="520"/>
      <c r="K61" s="520"/>
      <c r="L61" s="520"/>
      <c r="M61" s="561"/>
      <c r="N61" s="567"/>
      <c r="O61" s="530"/>
      <c r="P61" s="568"/>
      <c r="Q61" s="568"/>
      <c r="R61" s="568"/>
      <c r="S61" s="476"/>
      <c r="V61" s="552"/>
    </row>
    <row r="62" spans="1:22" ht="18">
      <c r="A62" s="570"/>
      <c r="B62" s="570"/>
      <c r="C62" s="571"/>
      <c r="D62" s="520"/>
      <c r="E62" s="520"/>
      <c r="F62" s="520"/>
      <c r="G62" s="520"/>
      <c r="H62" s="520"/>
      <c r="I62" s="520"/>
      <c r="J62" s="520"/>
      <c r="K62" s="520"/>
      <c r="L62" s="520"/>
      <c r="M62" s="561"/>
      <c r="N62" s="572"/>
      <c r="O62" s="560"/>
      <c r="P62" s="568"/>
      <c r="Q62" s="568"/>
      <c r="R62" s="568"/>
      <c r="S62" s="476"/>
      <c r="V62" s="552"/>
    </row>
    <row r="63" spans="1:22" ht="18">
      <c r="A63" s="570"/>
      <c r="B63" s="570"/>
      <c r="C63" s="571"/>
      <c r="D63" s="520"/>
      <c r="E63" s="520"/>
      <c r="F63" s="520"/>
      <c r="G63" s="520"/>
      <c r="H63" s="520"/>
      <c r="I63" s="520"/>
      <c r="J63" s="520"/>
      <c r="K63" s="520"/>
      <c r="L63" s="520"/>
      <c r="M63" s="561"/>
      <c r="N63" s="562"/>
      <c r="O63" s="560"/>
      <c r="P63" s="563"/>
      <c r="Q63" s="563"/>
      <c r="R63" s="563"/>
      <c r="S63" s="476"/>
      <c r="V63" s="552"/>
    </row>
    <row r="64" spans="1:22" ht="18">
      <c r="A64" s="570"/>
      <c r="B64" s="570"/>
      <c r="C64" s="571"/>
      <c r="D64" s="520"/>
      <c r="E64" s="520"/>
      <c r="F64" s="520"/>
      <c r="G64" s="520"/>
      <c r="H64" s="520"/>
      <c r="I64" s="520"/>
      <c r="J64" s="520"/>
      <c r="K64" s="520"/>
      <c r="L64" s="520"/>
      <c r="M64" s="561"/>
      <c r="N64" s="567"/>
      <c r="O64" s="560"/>
      <c r="P64" s="573"/>
      <c r="Q64" s="573"/>
      <c r="R64" s="573"/>
      <c r="S64" s="476"/>
      <c r="V64" s="552"/>
    </row>
    <row r="65" spans="1:22" ht="18">
      <c r="A65" s="570"/>
      <c r="B65" s="570"/>
      <c r="C65" s="571"/>
      <c r="D65" s="520"/>
      <c r="E65" s="520"/>
      <c r="F65" s="520"/>
      <c r="G65" s="520"/>
      <c r="H65" s="520"/>
      <c r="I65" s="520"/>
      <c r="J65" s="520"/>
      <c r="K65" s="520"/>
      <c r="L65" s="520"/>
      <c r="M65" s="561"/>
      <c r="N65" s="544"/>
      <c r="O65" s="544"/>
      <c r="P65" s="574"/>
      <c r="Q65" s="574"/>
      <c r="R65" s="574"/>
      <c r="S65" s="476"/>
      <c r="V65" s="552"/>
    </row>
    <row r="66" spans="1:22" ht="18">
      <c r="A66" s="570"/>
      <c r="B66" s="570"/>
      <c r="C66" s="571"/>
      <c r="D66" s="520"/>
      <c r="E66" s="520"/>
      <c r="F66" s="520"/>
      <c r="G66" s="520"/>
      <c r="H66" s="520"/>
      <c r="I66" s="520"/>
      <c r="J66" s="520"/>
      <c r="K66" s="520"/>
      <c r="L66" s="520"/>
      <c r="M66" s="561"/>
      <c r="N66" s="520"/>
      <c r="O66" s="520"/>
      <c r="P66" s="573"/>
      <c r="Q66" s="573"/>
      <c r="R66" s="573"/>
      <c r="S66" s="476"/>
      <c r="V66" s="575"/>
    </row>
    <row r="67" spans="1:22" ht="18">
      <c r="A67" s="570"/>
      <c r="B67" s="570"/>
      <c r="C67" s="571"/>
      <c r="D67" s="520"/>
      <c r="E67" s="520"/>
      <c r="F67" s="520"/>
      <c r="G67" s="520"/>
      <c r="H67" s="520"/>
      <c r="I67" s="520"/>
      <c r="J67" s="520"/>
      <c r="K67" s="520"/>
      <c r="L67" s="520"/>
      <c r="M67" s="561"/>
      <c r="N67" s="520"/>
      <c r="O67" s="520"/>
      <c r="P67" s="573"/>
      <c r="Q67" s="573"/>
      <c r="R67" s="573"/>
      <c r="S67" s="476"/>
      <c r="V67" s="575"/>
    </row>
    <row r="68" spans="1:22" ht="18">
      <c r="A68" s="570"/>
      <c r="B68" s="570"/>
      <c r="C68" s="571"/>
      <c r="D68" s="520"/>
      <c r="E68" s="520"/>
      <c r="F68" s="520"/>
      <c r="G68" s="520"/>
      <c r="H68" s="520"/>
      <c r="I68" s="520"/>
      <c r="J68" s="520"/>
      <c r="K68" s="520"/>
      <c r="L68" s="520"/>
      <c r="M68" s="561"/>
      <c r="N68" s="520"/>
      <c r="O68" s="520"/>
      <c r="P68" s="573"/>
      <c r="Q68" s="573"/>
      <c r="R68" s="573"/>
      <c r="S68" s="476"/>
      <c r="V68" s="575"/>
    </row>
    <row r="69" spans="1:22" ht="18">
      <c r="A69" s="570"/>
      <c r="B69" s="570"/>
      <c r="C69" s="571"/>
      <c r="D69" s="520"/>
      <c r="E69" s="520"/>
      <c r="F69" s="520"/>
      <c r="G69" s="520"/>
      <c r="H69" s="520"/>
      <c r="I69" s="520"/>
      <c r="J69" s="520"/>
      <c r="K69" s="520"/>
      <c r="L69" s="520"/>
      <c r="M69" s="561"/>
      <c r="N69" s="520"/>
      <c r="O69" s="520"/>
      <c r="P69" s="573"/>
      <c r="Q69" s="573"/>
      <c r="R69" s="573"/>
      <c r="S69" s="476"/>
      <c r="V69" s="575"/>
    </row>
    <row r="70" spans="1:22" ht="18">
      <c r="A70" s="570"/>
      <c r="B70" s="570"/>
      <c r="C70" s="571"/>
      <c r="D70" s="520"/>
      <c r="E70" s="520"/>
      <c r="F70" s="520"/>
      <c r="G70" s="520"/>
      <c r="H70" s="520"/>
      <c r="I70" s="520"/>
      <c r="J70" s="520"/>
      <c r="K70" s="520"/>
      <c r="L70" s="520"/>
      <c r="M70" s="561"/>
      <c r="N70" s="520"/>
      <c r="O70" s="520"/>
      <c r="P70" s="573"/>
      <c r="Q70" s="573"/>
      <c r="R70" s="573"/>
      <c r="S70" s="476"/>
      <c r="V70" s="575"/>
    </row>
    <row r="71" spans="1:22" ht="18">
      <c r="A71" s="570"/>
      <c r="B71" s="570"/>
      <c r="C71" s="571"/>
      <c r="D71" s="520"/>
      <c r="E71" s="520"/>
      <c r="F71" s="520"/>
      <c r="G71" s="520"/>
      <c r="H71" s="520"/>
      <c r="I71" s="520"/>
      <c r="J71" s="520"/>
      <c r="K71" s="520"/>
      <c r="L71" s="520"/>
      <c r="M71" s="561"/>
      <c r="N71" s="561"/>
      <c r="O71" s="561"/>
      <c r="P71" s="576"/>
      <c r="Q71" s="576"/>
      <c r="R71" s="576"/>
    </row>
    <row r="72" spans="1:22" ht="18">
      <c r="A72" s="570"/>
      <c r="B72" s="570"/>
      <c r="C72" s="571"/>
      <c r="D72" s="520"/>
      <c r="E72" s="577"/>
      <c r="F72" s="577"/>
      <c r="G72" s="577"/>
      <c r="H72" s="577"/>
      <c r="I72" s="577"/>
      <c r="J72" s="577"/>
      <c r="K72" s="577"/>
      <c r="L72" s="577"/>
      <c r="M72" s="561"/>
      <c r="N72" s="561"/>
      <c r="O72" s="561"/>
      <c r="P72" s="576"/>
      <c r="Q72" s="576"/>
      <c r="R72" s="576"/>
    </row>
    <row r="73" spans="1:22" ht="18">
      <c r="A73" s="570"/>
      <c r="B73" s="570"/>
      <c r="C73" s="571"/>
      <c r="D73" s="520"/>
      <c r="E73" s="520"/>
      <c r="F73" s="520"/>
      <c r="G73" s="520"/>
      <c r="H73" s="520"/>
      <c r="I73" s="520"/>
      <c r="J73" s="520"/>
      <c r="K73" s="520"/>
      <c r="L73" s="520"/>
      <c r="M73" s="561"/>
      <c r="N73" s="561"/>
      <c r="O73" s="561"/>
      <c r="P73" s="576"/>
      <c r="Q73" s="576"/>
      <c r="R73" s="576"/>
    </row>
    <row r="74" spans="1:22" ht="18">
      <c r="A74" s="570"/>
      <c r="B74" s="570"/>
      <c r="C74" s="571"/>
      <c r="D74" s="520"/>
      <c r="E74" s="520"/>
      <c r="F74" s="520"/>
      <c r="G74" s="520"/>
      <c r="H74" s="520"/>
      <c r="I74" s="520"/>
      <c r="J74" s="520"/>
      <c r="K74" s="520"/>
      <c r="L74" s="520"/>
      <c r="M74" s="561"/>
      <c r="N74" s="561"/>
      <c r="O74" s="561"/>
      <c r="P74" s="576"/>
      <c r="Q74" s="576"/>
      <c r="R74" s="576"/>
    </row>
    <row r="75" spans="1:22" ht="18">
      <c r="A75" s="570"/>
      <c r="B75" s="570"/>
      <c r="C75" s="571"/>
      <c r="D75" s="520"/>
      <c r="E75" s="520"/>
      <c r="F75" s="520"/>
      <c r="G75" s="520"/>
      <c r="H75" s="520"/>
      <c r="I75" s="520"/>
      <c r="J75" s="520"/>
      <c r="K75" s="520"/>
      <c r="L75" s="520"/>
      <c r="M75" s="561"/>
      <c r="N75" s="561"/>
      <c r="O75" s="561"/>
      <c r="P75" s="576"/>
      <c r="Q75" s="576"/>
      <c r="R75" s="576"/>
    </row>
    <row r="76" spans="1:22" ht="18">
      <c r="A76" s="570"/>
      <c r="B76" s="570"/>
      <c r="C76" s="571"/>
      <c r="D76" s="520"/>
      <c r="E76" s="520"/>
      <c r="F76" s="520"/>
      <c r="G76" s="520"/>
      <c r="H76" s="520"/>
      <c r="I76" s="520"/>
      <c r="J76" s="520"/>
      <c r="K76" s="520"/>
      <c r="L76" s="520"/>
      <c r="M76" s="561"/>
      <c r="N76" s="561"/>
      <c r="O76" s="561"/>
      <c r="P76" s="576"/>
      <c r="Q76" s="576"/>
      <c r="R76" s="576"/>
    </row>
    <row r="77" spans="1:22" ht="18">
      <c r="A77" s="570"/>
      <c r="B77" s="570"/>
      <c r="C77" s="571"/>
      <c r="D77" s="520"/>
      <c r="E77" s="520"/>
      <c r="F77" s="520"/>
      <c r="G77" s="520"/>
      <c r="H77" s="520"/>
      <c r="I77" s="520"/>
      <c r="J77" s="520"/>
      <c r="K77" s="520"/>
      <c r="L77" s="520"/>
      <c r="M77" s="561"/>
      <c r="N77" s="561"/>
      <c r="O77" s="561"/>
      <c r="P77" s="576"/>
      <c r="Q77" s="576"/>
      <c r="R77" s="576"/>
    </row>
    <row r="78" spans="1:22" ht="18">
      <c r="A78" s="570"/>
      <c r="B78" s="570"/>
      <c r="C78" s="571"/>
      <c r="D78" s="520"/>
      <c r="E78" s="520"/>
      <c r="F78" s="520"/>
      <c r="G78" s="520"/>
      <c r="H78" s="520"/>
      <c r="I78" s="520"/>
      <c r="J78" s="520"/>
      <c r="K78" s="520"/>
      <c r="L78" s="520"/>
      <c r="M78" s="561"/>
      <c r="N78" s="561"/>
      <c r="O78" s="561"/>
      <c r="P78" s="576"/>
      <c r="Q78" s="576"/>
      <c r="R78" s="576"/>
    </row>
    <row r="79" spans="1:22" ht="18">
      <c r="A79" s="570"/>
      <c r="B79" s="570"/>
      <c r="C79" s="571"/>
      <c r="D79" s="520"/>
      <c r="E79" s="520"/>
      <c r="F79" s="520"/>
      <c r="G79" s="520"/>
      <c r="H79" s="520"/>
      <c r="I79" s="520"/>
      <c r="J79" s="520"/>
      <c r="K79" s="520"/>
      <c r="L79" s="520"/>
      <c r="M79" s="561"/>
      <c r="N79" s="561"/>
      <c r="O79" s="561"/>
      <c r="P79" s="576"/>
      <c r="Q79" s="576"/>
      <c r="R79" s="576"/>
    </row>
    <row r="80" spans="1:22" ht="18">
      <c r="A80" s="570"/>
      <c r="B80" s="570"/>
      <c r="C80" s="571"/>
      <c r="D80" s="520"/>
      <c r="E80" s="520"/>
      <c r="F80" s="520"/>
      <c r="G80" s="520"/>
      <c r="H80" s="520"/>
      <c r="I80" s="520"/>
      <c r="J80" s="520"/>
      <c r="K80" s="520"/>
      <c r="L80" s="520"/>
      <c r="M80" s="561"/>
      <c r="N80" s="561"/>
      <c r="O80" s="561"/>
      <c r="P80" s="576"/>
      <c r="Q80" s="576"/>
      <c r="R80" s="576"/>
    </row>
    <row r="81" spans="1:18" ht="18">
      <c r="A81" s="570"/>
      <c r="B81" s="570"/>
      <c r="C81" s="571"/>
      <c r="D81" s="520"/>
      <c r="E81" s="520"/>
      <c r="F81" s="520"/>
      <c r="G81" s="520"/>
      <c r="H81" s="520"/>
      <c r="I81" s="520"/>
      <c r="J81" s="520"/>
      <c r="K81" s="520"/>
      <c r="L81" s="520"/>
      <c r="M81" s="561"/>
      <c r="N81" s="561"/>
      <c r="O81" s="561"/>
      <c r="P81" s="576"/>
      <c r="Q81" s="576"/>
      <c r="R81" s="576"/>
    </row>
    <row r="82" spans="1:18" ht="18">
      <c r="A82" s="570"/>
      <c r="B82" s="570"/>
      <c r="C82" s="571"/>
      <c r="D82" s="520"/>
      <c r="E82" s="520"/>
      <c r="F82" s="520"/>
      <c r="G82" s="520"/>
      <c r="H82" s="520"/>
      <c r="I82" s="520"/>
      <c r="J82" s="520"/>
      <c r="K82" s="520"/>
      <c r="L82" s="520"/>
      <c r="M82" s="561"/>
      <c r="N82" s="561"/>
      <c r="O82" s="561"/>
      <c r="P82" s="576"/>
      <c r="Q82" s="576"/>
      <c r="R82" s="576"/>
    </row>
    <row r="83" spans="1:18" ht="18">
      <c r="A83" s="570"/>
      <c r="B83" s="570"/>
      <c r="C83" s="571"/>
      <c r="D83" s="520"/>
      <c r="E83" s="520"/>
      <c r="F83" s="520"/>
      <c r="G83" s="520"/>
      <c r="H83" s="520"/>
      <c r="I83" s="520"/>
      <c r="J83" s="520"/>
      <c r="K83" s="520"/>
      <c r="L83" s="520"/>
      <c r="M83" s="561"/>
      <c r="N83" s="561"/>
      <c r="O83" s="561"/>
      <c r="P83" s="576"/>
      <c r="Q83" s="576"/>
      <c r="R83" s="576"/>
    </row>
    <row r="84" spans="1:18" ht="18">
      <c r="A84" s="570"/>
      <c r="B84" s="570"/>
      <c r="C84" s="571"/>
      <c r="D84" s="520"/>
      <c r="E84" s="520"/>
      <c r="F84" s="520"/>
      <c r="G84" s="520"/>
      <c r="H84" s="520"/>
      <c r="I84" s="520"/>
      <c r="J84" s="520"/>
      <c r="K84" s="520"/>
      <c r="L84" s="520"/>
      <c r="M84" s="561"/>
      <c r="N84" s="561"/>
      <c r="O84" s="561"/>
      <c r="P84" s="576"/>
      <c r="Q84" s="576"/>
      <c r="R84" s="576"/>
    </row>
    <row r="85" spans="1:18" ht="18">
      <c r="A85" s="570"/>
      <c r="B85" s="570"/>
      <c r="C85" s="571"/>
      <c r="D85" s="520"/>
      <c r="E85" s="520"/>
      <c r="F85" s="520"/>
      <c r="G85" s="520"/>
      <c r="H85" s="520"/>
      <c r="I85" s="520"/>
      <c r="J85" s="520"/>
      <c r="K85" s="520"/>
      <c r="L85" s="520"/>
      <c r="M85" s="561"/>
      <c r="N85" s="561"/>
      <c r="O85" s="561"/>
      <c r="P85" s="576"/>
      <c r="Q85" s="576"/>
      <c r="R85" s="576"/>
    </row>
    <row r="86" spans="1:18" ht="18">
      <c r="A86" s="570"/>
      <c r="B86" s="570"/>
      <c r="C86" s="571"/>
      <c r="D86" s="520"/>
      <c r="E86" s="520"/>
      <c r="F86" s="520"/>
      <c r="G86" s="520"/>
      <c r="H86" s="520"/>
      <c r="I86" s="520"/>
      <c r="J86" s="520"/>
      <c r="K86" s="520"/>
      <c r="L86" s="520"/>
      <c r="M86" s="561"/>
      <c r="N86" s="561"/>
      <c r="O86" s="561"/>
      <c r="P86" s="576"/>
      <c r="Q86" s="576"/>
      <c r="R86" s="576"/>
    </row>
    <row r="87" spans="1:18" ht="18">
      <c r="A87" s="570"/>
      <c r="B87" s="570"/>
      <c r="C87" s="571"/>
      <c r="D87" s="520"/>
      <c r="E87" s="520"/>
      <c r="F87" s="520"/>
      <c r="G87" s="520"/>
      <c r="H87" s="520"/>
      <c r="I87" s="520"/>
      <c r="J87" s="520"/>
      <c r="K87" s="520"/>
      <c r="L87" s="520"/>
      <c r="M87" s="561"/>
      <c r="N87" s="561"/>
      <c r="O87" s="561"/>
      <c r="P87" s="576"/>
      <c r="Q87" s="576"/>
      <c r="R87" s="576"/>
    </row>
    <row r="88" spans="1:18" ht="18">
      <c r="A88" s="570"/>
      <c r="B88" s="570"/>
      <c r="C88" s="571"/>
      <c r="D88" s="520"/>
      <c r="E88" s="520"/>
      <c r="F88" s="520"/>
      <c r="G88" s="520"/>
      <c r="H88" s="520"/>
      <c r="I88" s="520"/>
      <c r="J88" s="520"/>
      <c r="K88" s="520"/>
      <c r="L88" s="520"/>
      <c r="M88" s="561"/>
      <c r="N88" s="561"/>
      <c r="O88" s="561"/>
      <c r="P88" s="576"/>
      <c r="Q88" s="576"/>
      <c r="R88" s="576"/>
    </row>
    <row r="89" spans="1:18" ht="18">
      <c r="A89" s="570"/>
      <c r="B89" s="570"/>
      <c r="C89" s="571"/>
      <c r="D89" s="520"/>
      <c r="E89" s="520"/>
      <c r="F89" s="520"/>
      <c r="G89" s="520"/>
      <c r="H89" s="520"/>
      <c r="I89" s="520"/>
      <c r="J89" s="520"/>
      <c r="K89" s="520"/>
      <c r="L89" s="520"/>
      <c r="M89" s="561"/>
      <c r="N89" s="561"/>
      <c r="O89" s="561"/>
      <c r="P89" s="576"/>
      <c r="Q89" s="576"/>
      <c r="R89" s="576"/>
    </row>
    <row r="90" spans="1:18" ht="18">
      <c r="A90" s="570"/>
      <c r="B90" s="570"/>
      <c r="C90" s="571"/>
      <c r="D90" s="520"/>
      <c r="E90" s="520"/>
      <c r="F90" s="520"/>
      <c r="G90" s="520"/>
      <c r="H90" s="520"/>
      <c r="I90" s="520"/>
      <c r="J90" s="520"/>
      <c r="K90" s="520"/>
      <c r="L90" s="520"/>
      <c r="M90" s="561"/>
      <c r="N90" s="561"/>
      <c r="O90" s="561"/>
      <c r="P90" s="576"/>
      <c r="Q90" s="576"/>
      <c r="R90" s="576"/>
    </row>
    <row r="91" spans="1:18" ht="18">
      <c r="A91" s="570"/>
      <c r="B91" s="570"/>
      <c r="C91" s="571"/>
      <c r="D91" s="520"/>
      <c r="E91" s="520"/>
      <c r="F91" s="520"/>
      <c r="G91" s="520"/>
      <c r="H91" s="520"/>
      <c r="I91" s="520"/>
      <c r="J91" s="520"/>
      <c r="K91" s="520"/>
      <c r="L91" s="520"/>
      <c r="M91" s="561"/>
      <c r="N91" s="561"/>
      <c r="O91" s="561"/>
      <c r="P91" s="576"/>
      <c r="Q91" s="576"/>
      <c r="R91" s="576"/>
    </row>
    <row r="92" spans="1:18" ht="18">
      <c r="A92" s="570"/>
      <c r="B92" s="570"/>
      <c r="C92" s="571"/>
      <c r="D92" s="520"/>
      <c r="E92" s="520"/>
      <c r="F92" s="520"/>
      <c r="G92" s="520"/>
      <c r="H92" s="520"/>
      <c r="I92" s="520"/>
      <c r="J92" s="520"/>
      <c r="K92" s="520"/>
      <c r="L92" s="520"/>
      <c r="M92" s="561"/>
      <c r="N92" s="561"/>
      <c r="O92" s="561"/>
      <c r="P92" s="576"/>
      <c r="Q92" s="576"/>
      <c r="R92" s="576"/>
    </row>
    <row r="93" spans="1:18" ht="18">
      <c r="A93" s="570"/>
      <c r="B93" s="570"/>
      <c r="C93" s="571"/>
      <c r="D93" s="520"/>
      <c r="E93" s="520"/>
      <c r="F93" s="520"/>
      <c r="G93" s="520"/>
      <c r="H93" s="520"/>
      <c r="I93" s="520"/>
      <c r="J93" s="520"/>
      <c r="K93" s="520"/>
      <c r="L93" s="520"/>
      <c r="M93" s="561"/>
      <c r="N93" s="561"/>
      <c r="O93" s="561"/>
      <c r="P93" s="576"/>
      <c r="Q93" s="576"/>
      <c r="R93" s="576"/>
    </row>
    <row r="94" spans="1:18" ht="18">
      <c r="A94" s="570"/>
      <c r="B94" s="578"/>
      <c r="C94" s="520"/>
      <c r="D94" s="520"/>
      <c r="E94" s="520"/>
      <c r="F94" s="520"/>
      <c r="G94" s="520"/>
      <c r="H94" s="520"/>
      <c r="I94" s="520"/>
      <c r="J94" s="520"/>
      <c r="K94" s="520"/>
      <c r="L94" s="520"/>
      <c r="M94" s="561"/>
      <c r="N94" s="561"/>
      <c r="O94" s="561"/>
      <c r="P94" s="576"/>
      <c r="Q94" s="576"/>
      <c r="R94" s="576"/>
    </row>
    <row r="95" spans="1:18">
      <c r="A95" s="480"/>
      <c r="B95" s="520"/>
      <c r="C95" s="520"/>
      <c r="D95" s="520"/>
      <c r="E95" s="520"/>
      <c r="F95" s="520"/>
      <c r="G95" s="520"/>
      <c r="H95" s="520"/>
      <c r="I95" s="520"/>
      <c r="J95" s="520"/>
      <c r="K95" s="520"/>
      <c r="L95" s="520"/>
      <c r="M95" s="561"/>
      <c r="N95" s="561"/>
      <c r="O95" s="561"/>
      <c r="P95" s="576"/>
      <c r="Q95" s="576"/>
      <c r="R95" s="576"/>
    </row>
    <row r="96" spans="1:18">
      <c r="A96" s="480"/>
      <c r="B96" s="520"/>
      <c r="C96" s="579"/>
      <c r="D96" s="573"/>
      <c r="E96" s="573"/>
      <c r="F96" s="573"/>
      <c r="G96" s="573"/>
      <c r="H96" s="573"/>
      <c r="I96" s="573"/>
      <c r="J96" s="573"/>
      <c r="K96" s="573"/>
      <c r="L96" s="573"/>
      <c r="M96" s="576"/>
      <c r="N96" s="576"/>
      <c r="O96" s="576"/>
      <c r="P96" s="576"/>
      <c r="Q96" s="576"/>
      <c r="R96" s="576"/>
    </row>
    <row r="97" spans="1:18">
      <c r="A97" s="480"/>
      <c r="B97" s="480"/>
      <c r="C97" s="579"/>
      <c r="D97" s="573"/>
      <c r="E97" s="573"/>
      <c r="F97" s="573"/>
      <c r="G97" s="573"/>
      <c r="H97" s="573"/>
      <c r="I97" s="573"/>
      <c r="J97" s="573"/>
      <c r="K97" s="573"/>
      <c r="L97" s="573"/>
      <c r="M97" s="576"/>
      <c r="N97" s="576"/>
      <c r="O97" s="576"/>
      <c r="P97" s="576"/>
      <c r="Q97" s="576"/>
      <c r="R97" s="576"/>
    </row>
    <row r="98" spans="1:18">
      <c r="A98" s="480"/>
      <c r="B98" s="520"/>
      <c r="C98" s="580"/>
      <c r="D98" s="573"/>
      <c r="E98" s="573"/>
      <c r="F98" s="573"/>
      <c r="G98" s="573"/>
      <c r="H98" s="573"/>
      <c r="I98" s="573"/>
      <c r="J98" s="573"/>
      <c r="K98" s="573"/>
      <c r="L98" s="573"/>
      <c r="M98" s="576"/>
      <c r="N98" s="576"/>
      <c r="O98" s="576"/>
      <c r="P98" s="576"/>
      <c r="Q98" s="576"/>
      <c r="R98" s="576"/>
    </row>
    <row r="99" spans="1:18">
      <c r="A99" s="480"/>
      <c r="B99" s="520"/>
      <c r="C99" s="579"/>
      <c r="D99" s="573"/>
      <c r="E99" s="573"/>
      <c r="F99" s="573"/>
      <c r="G99" s="573"/>
      <c r="H99" s="573"/>
      <c r="I99" s="573"/>
      <c r="J99" s="573"/>
      <c r="K99" s="573"/>
      <c r="L99" s="573"/>
      <c r="M99" s="576"/>
      <c r="N99" s="576"/>
      <c r="O99" s="576"/>
      <c r="P99" s="576"/>
      <c r="Q99" s="576"/>
      <c r="R99" s="576"/>
    </row>
    <row r="100" spans="1:18">
      <c r="A100" s="520"/>
      <c r="B100" s="480"/>
      <c r="C100" s="520"/>
      <c r="D100" s="581"/>
      <c r="E100" s="573"/>
      <c r="F100" s="573"/>
      <c r="G100" s="573"/>
      <c r="H100" s="573"/>
      <c r="I100" s="573"/>
      <c r="J100" s="573"/>
      <c r="K100" s="573"/>
      <c r="L100" s="573"/>
      <c r="M100" s="576"/>
      <c r="N100" s="576"/>
      <c r="O100" s="576"/>
      <c r="P100" s="576"/>
      <c r="Q100" s="576"/>
      <c r="R100" s="576"/>
    </row>
    <row r="101" spans="1:18">
      <c r="A101" s="520"/>
      <c r="B101" s="480"/>
      <c r="C101" s="520"/>
      <c r="D101" s="581"/>
      <c r="E101" s="573"/>
      <c r="F101" s="573"/>
      <c r="G101" s="573"/>
      <c r="H101" s="573"/>
      <c r="I101" s="573"/>
      <c r="J101" s="573"/>
      <c r="K101" s="573"/>
      <c r="L101" s="573"/>
      <c r="M101" s="576"/>
      <c r="N101" s="576"/>
      <c r="O101" s="576"/>
      <c r="P101" s="576"/>
      <c r="Q101" s="576"/>
      <c r="R101" s="576"/>
    </row>
    <row r="102" spans="1:18">
      <c r="A102" s="520"/>
      <c r="B102" s="480"/>
      <c r="C102" s="480"/>
      <c r="D102" s="497"/>
      <c r="E102" s="573"/>
      <c r="F102" s="573"/>
      <c r="G102" s="573"/>
      <c r="H102" s="573"/>
      <c r="I102" s="573"/>
      <c r="J102" s="573"/>
      <c r="K102" s="573"/>
      <c r="L102" s="573"/>
      <c r="M102" s="576"/>
      <c r="N102" s="576"/>
      <c r="O102" s="576"/>
      <c r="P102" s="576"/>
      <c r="Q102" s="576"/>
      <c r="R102" s="576"/>
    </row>
    <row r="103" spans="1:18" ht="18">
      <c r="A103" s="564"/>
      <c r="B103" s="490"/>
      <c r="C103" s="480"/>
      <c r="D103" s="573"/>
      <c r="E103" s="573"/>
      <c r="F103" s="573"/>
      <c r="G103" s="573"/>
      <c r="H103" s="573"/>
      <c r="I103" s="573"/>
      <c r="J103" s="573"/>
      <c r="K103" s="573"/>
      <c r="L103" s="573"/>
      <c r="M103" s="576"/>
      <c r="N103" s="576"/>
      <c r="O103" s="576"/>
      <c r="P103" s="576"/>
      <c r="Q103" s="576"/>
      <c r="R103" s="576"/>
    </row>
    <row r="104" spans="1:18">
      <c r="A104" s="480"/>
      <c r="B104" s="480"/>
      <c r="C104" s="480"/>
      <c r="D104" s="573"/>
      <c r="E104" s="573"/>
      <c r="F104" s="573"/>
      <c r="G104" s="573"/>
      <c r="H104" s="573"/>
      <c r="I104" s="573"/>
      <c r="J104" s="573"/>
      <c r="K104" s="573"/>
      <c r="L104" s="573"/>
      <c r="M104" s="576"/>
      <c r="N104" s="576"/>
      <c r="O104" s="576"/>
      <c r="P104" s="576"/>
      <c r="Q104" s="576"/>
      <c r="R104" s="576"/>
    </row>
    <row r="105" spans="1:18" ht="18">
      <c r="A105" s="570"/>
      <c r="B105" s="570"/>
      <c r="C105" s="571"/>
      <c r="D105" s="573"/>
      <c r="E105" s="573"/>
      <c r="F105" s="573"/>
      <c r="G105" s="573"/>
      <c r="H105" s="573"/>
      <c r="I105" s="573"/>
      <c r="J105" s="573"/>
      <c r="K105" s="573"/>
      <c r="L105" s="573"/>
      <c r="M105" s="576"/>
      <c r="N105" s="576"/>
      <c r="O105" s="576"/>
      <c r="P105" s="576"/>
      <c r="Q105" s="576"/>
      <c r="R105" s="576"/>
    </row>
    <row r="106" spans="1:18" ht="18">
      <c r="A106" s="570"/>
      <c r="B106" s="570"/>
      <c r="C106" s="571"/>
      <c r="D106" s="573"/>
      <c r="E106" s="573"/>
      <c r="F106" s="573"/>
      <c r="G106" s="573"/>
      <c r="H106" s="573"/>
      <c r="I106" s="573"/>
      <c r="J106" s="573"/>
      <c r="K106" s="573"/>
      <c r="L106" s="573"/>
      <c r="M106" s="576"/>
      <c r="N106" s="576"/>
      <c r="O106" s="576"/>
      <c r="P106" s="576"/>
      <c r="Q106" s="576"/>
      <c r="R106" s="576"/>
    </row>
    <row r="107" spans="1:18" ht="18">
      <c r="A107" s="570"/>
      <c r="B107" s="570"/>
      <c r="C107" s="571"/>
      <c r="D107" s="573"/>
      <c r="E107" s="573"/>
      <c r="F107" s="573"/>
      <c r="G107" s="573"/>
      <c r="H107" s="573"/>
      <c r="I107" s="573"/>
      <c r="J107" s="573"/>
      <c r="K107" s="573"/>
      <c r="L107" s="573"/>
      <c r="M107" s="576"/>
      <c r="N107" s="576"/>
      <c r="O107" s="576"/>
      <c r="P107" s="576"/>
      <c r="Q107" s="576"/>
      <c r="R107" s="576"/>
    </row>
    <row r="108" spans="1:18" ht="18">
      <c r="A108" s="570"/>
      <c r="B108" s="570"/>
      <c r="C108" s="571"/>
      <c r="D108" s="573"/>
      <c r="E108" s="573"/>
      <c r="F108" s="573"/>
      <c r="G108" s="573"/>
      <c r="H108" s="573"/>
      <c r="I108" s="573"/>
      <c r="J108" s="573"/>
      <c r="K108" s="573"/>
      <c r="L108" s="573"/>
      <c r="M108" s="576"/>
      <c r="N108" s="576"/>
      <c r="O108" s="576"/>
      <c r="P108" s="576"/>
      <c r="Q108" s="576"/>
      <c r="R108" s="576"/>
    </row>
    <row r="109" spans="1:18" ht="18">
      <c r="A109" s="570"/>
      <c r="B109" s="570"/>
      <c r="C109" s="571"/>
      <c r="D109" s="573"/>
      <c r="E109" s="573"/>
      <c r="F109" s="573"/>
      <c r="G109" s="573"/>
      <c r="H109" s="573"/>
      <c r="I109" s="573"/>
      <c r="J109" s="573"/>
      <c r="K109" s="573"/>
      <c r="L109" s="573"/>
      <c r="M109" s="576"/>
      <c r="N109" s="576"/>
      <c r="O109" s="576"/>
      <c r="P109" s="576"/>
      <c r="Q109" s="576"/>
      <c r="R109" s="576"/>
    </row>
    <row r="110" spans="1:18" ht="23.25" customHeight="1">
      <c r="A110" s="570"/>
      <c r="B110" s="570"/>
      <c r="C110" s="571"/>
      <c r="D110" s="573"/>
      <c r="E110" s="573"/>
      <c r="F110" s="573"/>
      <c r="G110" s="573"/>
      <c r="H110" s="573"/>
      <c r="I110" s="573"/>
      <c r="J110" s="573"/>
      <c r="K110" s="573"/>
      <c r="L110" s="573"/>
      <c r="M110" s="576"/>
      <c r="N110" s="576"/>
      <c r="O110" s="576"/>
      <c r="P110" s="576"/>
      <c r="Q110" s="576"/>
      <c r="R110" s="576"/>
    </row>
    <row r="111" spans="1:18" ht="18">
      <c r="A111" s="570"/>
      <c r="B111" s="570"/>
      <c r="C111" s="571"/>
      <c r="D111" s="573"/>
      <c r="E111" s="573"/>
      <c r="F111" s="573"/>
      <c r="G111" s="573"/>
      <c r="H111" s="573"/>
      <c r="I111" s="573"/>
      <c r="J111" s="573"/>
      <c r="K111" s="573"/>
      <c r="L111" s="573"/>
      <c r="M111" s="576"/>
      <c r="N111" s="576"/>
      <c r="O111" s="576"/>
      <c r="P111" s="576"/>
      <c r="Q111" s="576"/>
      <c r="R111" s="576"/>
    </row>
    <row r="112" spans="1:18" ht="18">
      <c r="A112" s="570"/>
      <c r="B112" s="570"/>
      <c r="C112" s="571"/>
      <c r="D112" s="573"/>
      <c r="E112" s="573"/>
      <c r="F112" s="573"/>
      <c r="G112" s="573"/>
      <c r="H112" s="573"/>
      <c r="I112" s="573"/>
      <c r="J112" s="573"/>
      <c r="K112" s="573"/>
      <c r="L112" s="573"/>
      <c r="M112" s="576"/>
      <c r="N112" s="576"/>
      <c r="O112" s="576"/>
      <c r="P112" s="576"/>
      <c r="Q112" s="576"/>
      <c r="R112" s="576"/>
    </row>
    <row r="113" spans="1:22" ht="18">
      <c r="A113" s="570"/>
      <c r="B113" s="570"/>
      <c r="C113" s="571"/>
      <c r="D113" s="573"/>
      <c r="E113" s="573"/>
      <c r="F113" s="573"/>
      <c r="G113" s="573"/>
      <c r="H113" s="573"/>
      <c r="I113" s="573"/>
      <c r="J113" s="573"/>
      <c r="K113" s="573"/>
      <c r="L113" s="573"/>
      <c r="M113" s="576"/>
      <c r="N113" s="576"/>
      <c r="O113" s="576"/>
      <c r="P113" s="576"/>
      <c r="Q113" s="576"/>
      <c r="R113" s="576"/>
    </row>
    <row r="114" spans="1:22" ht="18">
      <c r="A114" s="570"/>
      <c r="B114" s="570"/>
      <c r="C114" s="571"/>
      <c r="D114" s="573"/>
      <c r="E114" s="573"/>
      <c r="F114" s="573"/>
      <c r="G114" s="573"/>
      <c r="H114" s="573"/>
      <c r="I114" s="573"/>
      <c r="J114" s="573"/>
      <c r="K114" s="573"/>
      <c r="L114" s="573"/>
      <c r="M114" s="576"/>
      <c r="N114" s="576"/>
      <c r="O114" s="576"/>
      <c r="P114" s="576"/>
      <c r="Q114" s="576"/>
      <c r="R114" s="576"/>
    </row>
    <row r="115" spans="1:22" ht="18">
      <c r="A115" s="570"/>
      <c r="B115" s="570"/>
      <c r="C115" s="571"/>
      <c r="D115" s="573"/>
      <c r="E115" s="573"/>
      <c r="F115" s="573"/>
      <c r="G115" s="573"/>
      <c r="H115" s="573"/>
      <c r="I115" s="573"/>
      <c r="J115" s="573"/>
      <c r="K115" s="573"/>
      <c r="L115" s="573"/>
      <c r="M115" s="576"/>
      <c r="N115" s="576"/>
      <c r="O115" s="576"/>
      <c r="P115" s="576"/>
      <c r="Q115" s="576"/>
      <c r="R115" s="576"/>
    </row>
    <row r="116" spans="1:22" ht="18">
      <c r="A116" s="570"/>
      <c r="B116" s="570"/>
      <c r="C116" s="571"/>
      <c r="D116" s="573"/>
      <c r="E116" s="573"/>
      <c r="F116" s="573"/>
      <c r="G116" s="573"/>
      <c r="H116" s="573"/>
      <c r="I116" s="573"/>
      <c r="J116" s="573"/>
      <c r="K116" s="573"/>
      <c r="L116" s="573"/>
      <c r="M116" s="576"/>
      <c r="N116" s="576"/>
      <c r="O116" s="576"/>
      <c r="P116" s="576"/>
      <c r="Q116" s="576"/>
      <c r="R116" s="576"/>
    </row>
    <row r="117" spans="1:22" ht="18">
      <c r="A117" s="570"/>
      <c r="B117" s="570"/>
      <c r="C117" s="571"/>
      <c r="D117" s="573"/>
      <c r="E117" s="573"/>
      <c r="F117" s="573"/>
      <c r="G117" s="573"/>
      <c r="H117" s="573"/>
      <c r="I117" s="573"/>
      <c r="J117" s="573"/>
      <c r="K117" s="573"/>
      <c r="L117" s="573"/>
      <c r="M117" s="576"/>
      <c r="N117" s="576"/>
      <c r="O117" s="576"/>
      <c r="P117" s="576"/>
      <c r="Q117" s="576"/>
      <c r="R117" s="576"/>
    </row>
    <row r="118" spans="1:22" ht="27.75" customHeight="1">
      <c r="A118" s="570"/>
      <c r="B118" s="570"/>
      <c r="C118" s="571"/>
      <c r="D118" s="573"/>
      <c r="E118" s="573"/>
      <c r="F118" s="573"/>
      <c r="G118" s="573"/>
      <c r="H118" s="573"/>
      <c r="I118" s="573"/>
      <c r="J118" s="573"/>
      <c r="K118" s="573"/>
      <c r="L118" s="573"/>
      <c r="M118" s="576"/>
      <c r="N118" s="576"/>
      <c r="O118" s="576"/>
      <c r="P118" s="576"/>
      <c r="Q118" s="576"/>
      <c r="R118" s="576"/>
    </row>
    <row r="119" spans="1:22" ht="18">
      <c r="A119" s="570"/>
      <c r="B119" s="570"/>
      <c r="C119" s="571"/>
      <c r="D119" s="573"/>
      <c r="E119" s="573"/>
      <c r="F119" s="573"/>
      <c r="G119" s="573"/>
      <c r="H119" s="573"/>
      <c r="I119" s="573"/>
      <c r="J119" s="573"/>
      <c r="K119" s="573"/>
      <c r="L119" s="573"/>
      <c r="M119" s="576"/>
      <c r="N119" s="576"/>
      <c r="O119" s="576"/>
      <c r="P119" s="576"/>
      <c r="Q119" s="576"/>
      <c r="R119" s="576"/>
    </row>
    <row r="120" spans="1:22" ht="18">
      <c r="A120" s="570"/>
      <c r="B120" s="570"/>
      <c r="C120" s="571"/>
      <c r="D120" s="573"/>
      <c r="E120" s="573"/>
      <c r="F120" s="573"/>
      <c r="G120" s="573"/>
      <c r="H120" s="573"/>
      <c r="I120" s="573"/>
      <c r="J120" s="573"/>
      <c r="K120" s="573"/>
      <c r="L120" s="573"/>
      <c r="M120" s="576"/>
      <c r="N120" s="576"/>
      <c r="O120" s="576"/>
      <c r="P120" s="576"/>
      <c r="Q120" s="576"/>
      <c r="R120" s="576"/>
    </row>
    <row r="121" spans="1:22" ht="18">
      <c r="A121" s="570"/>
      <c r="B121" s="570"/>
      <c r="C121" s="571"/>
      <c r="D121" s="573"/>
      <c r="E121" s="573"/>
      <c r="F121" s="573"/>
      <c r="G121" s="573"/>
      <c r="H121" s="573"/>
      <c r="I121" s="573"/>
      <c r="J121" s="573"/>
      <c r="K121" s="573"/>
      <c r="L121" s="573"/>
      <c r="M121" s="576"/>
      <c r="N121" s="576"/>
      <c r="O121" s="576"/>
      <c r="P121" s="576"/>
      <c r="Q121" s="576"/>
      <c r="R121" s="576"/>
    </row>
    <row r="122" spans="1:22" ht="18">
      <c r="A122" s="570"/>
      <c r="B122" s="570"/>
      <c r="C122" s="571"/>
      <c r="D122" s="573"/>
      <c r="E122" s="573"/>
      <c r="F122" s="573"/>
      <c r="G122" s="573"/>
      <c r="H122" s="573"/>
      <c r="I122" s="573"/>
      <c r="J122" s="573"/>
      <c r="K122" s="573"/>
      <c r="L122" s="573"/>
      <c r="M122" s="576"/>
      <c r="N122" s="576"/>
      <c r="O122" s="576"/>
      <c r="P122" s="576"/>
      <c r="Q122" s="576"/>
      <c r="R122" s="576"/>
    </row>
    <row r="123" spans="1:22" ht="18">
      <c r="A123" s="570"/>
      <c r="B123" s="570"/>
      <c r="C123" s="571"/>
      <c r="D123" s="573"/>
      <c r="E123" s="573"/>
      <c r="F123" s="573"/>
      <c r="G123" s="573"/>
      <c r="H123" s="573"/>
      <c r="I123" s="573"/>
      <c r="J123" s="573"/>
      <c r="K123" s="573"/>
      <c r="L123" s="573"/>
      <c r="M123" s="576"/>
      <c r="N123" s="576"/>
      <c r="O123" s="576"/>
      <c r="P123" s="576"/>
      <c r="Q123" s="576"/>
      <c r="R123" s="576"/>
    </row>
    <row r="124" spans="1:22" ht="18">
      <c r="A124" s="570"/>
      <c r="B124" s="570"/>
      <c r="C124" s="571"/>
      <c r="D124" s="573"/>
      <c r="E124" s="573"/>
      <c r="F124" s="573"/>
      <c r="G124" s="573"/>
      <c r="H124" s="573"/>
      <c r="I124" s="573"/>
      <c r="J124" s="573"/>
      <c r="K124" s="573"/>
      <c r="L124" s="573"/>
      <c r="M124" s="576"/>
      <c r="N124" s="576"/>
      <c r="O124" s="576"/>
      <c r="P124" s="576"/>
      <c r="Q124" s="576"/>
      <c r="R124" s="576"/>
    </row>
    <row r="125" spans="1:22" ht="18">
      <c r="A125" s="570"/>
      <c r="B125" s="570"/>
      <c r="C125" s="571"/>
      <c r="D125" s="573"/>
      <c r="E125" s="573"/>
      <c r="F125" s="573"/>
      <c r="G125" s="573"/>
      <c r="H125" s="573"/>
      <c r="I125" s="573"/>
      <c r="J125" s="573"/>
      <c r="K125" s="573"/>
      <c r="L125" s="573"/>
      <c r="M125" s="576"/>
      <c r="N125" s="576"/>
      <c r="O125" s="576"/>
      <c r="P125" s="576"/>
      <c r="Q125" s="576"/>
      <c r="R125" s="576"/>
    </row>
    <row r="126" spans="1:22" s="476" customFormat="1" ht="18">
      <c r="A126" s="570"/>
      <c r="B126" s="570"/>
      <c r="C126" s="571"/>
      <c r="D126" s="573"/>
      <c r="E126" s="573"/>
      <c r="F126" s="573"/>
      <c r="G126" s="573"/>
      <c r="H126" s="573"/>
      <c r="I126" s="573"/>
      <c r="J126" s="573"/>
      <c r="K126" s="573"/>
      <c r="L126" s="573"/>
      <c r="M126" s="576"/>
      <c r="N126" s="576"/>
      <c r="O126" s="576"/>
      <c r="P126" s="576"/>
      <c r="Q126" s="576"/>
      <c r="R126" s="576"/>
      <c r="S126" s="477"/>
      <c r="T126" s="477"/>
      <c r="U126" s="477"/>
      <c r="V126" s="477"/>
    </row>
    <row r="127" spans="1:22" s="476" customFormat="1" ht="18">
      <c r="A127" s="570"/>
      <c r="B127" s="570"/>
      <c r="C127" s="571"/>
      <c r="D127" s="573"/>
      <c r="E127" s="573"/>
      <c r="F127" s="573"/>
      <c r="G127" s="573"/>
      <c r="H127" s="573"/>
      <c r="I127" s="573"/>
      <c r="J127" s="573"/>
      <c r="K127" s="573"/>
      <c r="L127" s="573"/>
      <c r="M127" s="576"/>
      <c r="N127" s="576"/>
      <c r="O127" s="576"/>
      <c r="P127" s="576"/>
      <c r="Q127" s="576"/>
      <c r="R127" s="576"/>
      <c r="S127" s="477"/>
      <c r="T127" s="477"/>
      <c r="U127" s="477"/>
      <c r="V127" s="477"/>
    </row>
    <row r="128" spans="1:22" s="476" customFormat="1" ht="18">
      <c r="A128" s="570"/>
      <c r="B128" s="570"/>
      <c r="C128" s="571"/>
      <c r="D128" s="573"/>
      <c r="E128" s="573"/>
      <c r="F128" s="573"/>
      <c r="G128" s="573"/>
      <c r="H128" s="573"/>
      <c r="I128" s="573"/>
      <c r="J128" s="573"/>
      <c r="K128" s="573"/>
      <c r="L128" s="573"/>
      <c r="M128" s="576"/>
      <c r="N128" s="576"/>
      <c r="O128" s="576"/>
      <c r="P128" s="576"/>
      <c r="Q128" s="576"/>
      <c r="R128" s="576"/>
      <c r="S128" s="477"/>
      <c r="T128" s="477"/>
      <c r="U128" s="477"/>
      <c r="V128" s="477"/>
    </row>
    <row r="129" spans="1:22" s="476" customFormat="1" ht="18">
      <c r="A129" s="570"/>
      <c r="B129" s="570"/>
      <c r="C129" s="571"/>
      <c r="D129" s="573"/>
      <c r="E129" s="573"/>
      <c r="F129" s="573"/>
      <c r="G129" s="573"/>
      <c r="H129" s="573"/>
      <c r="I129" s="573"/>
      <c r="J129" s="573"/>
      <c r="K129" s="573"/>
      <c r="L129" s="573"/>
      <c r="M129" s="576"/>
      <c r="N129" s="576"/>
      <c r="O129" s="576"/>
      <c r="P129" s="576"/>
      <c r="Q129" s="576"/>
      <c r="R129" s="576"/>
      <c r="S129" s="477"/>
      <c r="T129" s="477"/>
      <c r="U129" s="477"/>
      <c r="V129" s="477"/>
    </row>
    <row r="130" spans="1:22" s="476" customFormat="1" ht="18">
      <c r="A130" s="570"/>
      <c r="B130" s="570"/>
      <c r="C130" s="571"/>
      <c r="D130" s="573"/>
      <c r="E130" s="573"/>
      <c r="F130" s="573"/>
      <c r="G130" s="573"/>
      <c r="H130" s="573"/>
      <c r="I130" s="573"/>
      <c r="J130" s="573"/>
      <c r="K130" s="573"/>
      <c r="L130" s="573"/>
      <c r="M130" s="576"/>
      <c r="N130" s="576"/>
      <c r="O130" s="576"/>
      <c r="P130" s="576"/>
      <c r="Q130" s="576"/>
      <c r="R130" s="576"/>
      <c r="S130" s="477"/>
      <c r="T130" s="477"/>
      <c r="U130" s="477"/>
      <c r="V130" s="477"/>
    </row>
    <row r="131" spans="1:22" s="476" customFormat="1" ht="18">
      <c r="A131" s="570"/>
      <c r="B131" s="570"/>
      <c r="C131" s="571"/>
      <c r="D131" s="573"/>
      <c r="E131" s="573"/>
      <c r="F131" s="573"/>
      <c r="G131" s="573"/>
      <c r="H131" s="573"/>
      <c r="I131" s="573"/>
      <c r="J131" s="573"/>
      <c r="K131" s="573"/>
      <c r="L131" s="573"/>
      <c r="M131" s="576"/>
      <c r="N131" s="576"/>
      <c r="O131" s="576"/>
      <c r="P131" s="576"/>
      <c r="Q131" s="576"/>
      <c r="R131" s="576"/>
      <c r="S131" s="477"/>
      <c r="T131" s="477"/>
      <c r="U131" s="477"/>
      <c r="V131" s="477"/>
    </row>
    <row r="132" spans="1:22" s="476" customFormat="1" ht="18">
      <c r="A132" s="570"/>
      <c r="B132" s="570"/>
      <c r="C132" s="571"/>
      <c r="D132" s="573"/>
      <c r="E132" s="573"/>
      <c r="F132" s="573"/>
      <c r="G132" s="573"/>
      <c r="H132" s="573"/>
      <c r="I132" s="573"/>
      <c r="J132" s="573"/>
      <c r="K132" s="573"/>
      <c r="L132" s="573"/>
      <c r="M132" s="576"/>
      <c r="N132" s="576"/>
      <c r="O132" s="576"/>
      <c r="P132" s="576"/>
      <c r="Q132" s="576"/>
      <c r="R132" s="576"/>
      <c r="S132" s="477"/>
      <c r="T132" s="477"/>
      <c r="U132" s="477"/>
      <c r="V132" s="477"/>
    </row>
    <row r="133" spans="1:22" s="476" customFormat="1" ht="18">
      <c r="A133" s="570"/>
      <c r="B133" s="570"/>
      <c r="C133" s="571"/>
      <c r="D133" s="573"/>
      <c r="E133" s="573"/>
      <c r="F133" s="573"/>
      <c r="G133" s="573"/>
      <c r="H133" s="573"/>
      <c r="I133" s="573"/>
      <c r="J133" s="573"/>
      <c r="K133" s="573"/>
      <c r="L133" s="573"/>
      <c r="M133" s="576"/>
      <c r="N133" s="576"/>
      <c r="O133" s="576"/>
      <c r="P133" s="576"/>
      <c r="Q133" s="576"/>
      <c r="R133" s="576"/>
      <c r="S133" s="477"/>
      <c r="T133" s="477"/>
      <c r="U133" s="477"/>
      <c r="V133" s="477"/>
    </row>
    <row r="134" spans="1:22" s="476" customFormat="1" ht="18">
      <c r="A134" s="570"/>
      <c r="B134" s="570"/>
      <c r="C134" s="571"/>
      <c r="D134" s="573"/>
      <c r="E134" s="573"/>
      <c r="F134" s="573"/>
      <c r="G134" s="573"/>
      <c r="H134" s="573"/>
      <c r="I134" s="573"/>
      <c r="J134" s="573"/>
      <c r="K134" s="573"/>
      <c r="L134" s="573"/>
      <c r="M134" s="576"/>
      <c r="N134" s="576"/>
      <c r="O134" s="576"/>
      <c r="P134" s="576"/>
      <c r="Q134" s="576"/>
      <c r="R134" s="576"/>
      <c r="S134" s="477"/>
      <c r="T134" s="477"/>
      <c r="U134" s="477"/>
      <c r="V134" s="477"/>
    </row>
    <row r="135" spans="1:22" s="476" customFormat="1" ht="18">
      <c r="A135" s="570"/>
      <c r="B135" s="570"/>
      <c r="C135" s="571"/>
      <c r="D135" s="573"/>
      <c r="E135" s="573"/>
      <c r="F135" s="573"/>
      <c r="G135" s="573"/>
      <c r="H135" s="573"/>
      <c r="I135" s="573"/>
      <c r="J135" s="573"/>
      <c r="K135" s="573"/>
      <c r="L135" s="573"/>
      <c r="M135" s="576"/>
      <c r="N135" s="576"/>
      <c r="O135" s="576"/>
      <c r="P135" s="576"/>
      <c r="Q135" s="576"/>
      <c r="R135" s="576"/>
      <c r="S135" s="477"/>
      <c r="T135" s="477"/>
      <c r="U135" s="477"/>
      <c r="V135" s="477"/>
    </row>
    <row r="136" spans="1:22" s="476" customFormat="1" ht="18">
      <c r="A136" s="570"/>
      <c r="B136" s="570"/>
      <c r="C136" s="571"/>
      <c r="D136" s="573"/>
      <c r="E136" s="573"/>
      <c r="F136" s="573"/>
      <c r="G136" s="573"/>
      <c r="H136" s="573"/>
      <c r="I136" s="573"/>
      <c r="J136" s="573"/>
      <c r="K136" s="573"/>
      <c r="L136" s="573"/>
      <c r="M136" s="576"/>
      <c r="N136" s="576"/>
      <c r="O136" s="576"/>
      <c r="P136" s="576"/>
      <c r="Q136" s="576"/>
      <c r="R136" s="576"/>
      <c r="S136" s="477"/>
      <c r="T136" s="477"/>
      <c r="U136" s="477"/>
      <c r="V136" s="477"/>
    </row>
    <row r="137" spans="1:22" s="476" customFormat="1" ht="18">
      <c r="A137" s="570"/>
      <c r="B137" s="570"/>
      <c r="C137" s="571"/>
      <c r="D137" s="573"/>
      <c r="E137" s="573"/>
      <c r="F137" s="573"/>
      <c r="G137" s="573"/>
      <c r="H137" s="573"/>
      <c r="I137" s="573"/>
      <c r="J137" s="573"/>
      <c r="K137" s="573"/>
      <c r="L137" s="573"/>
      <c r="M137" s="576"/>
      <c r="N137" s="576"/>
      <c r="O137" s="576"/>
      <c r="P137" s="576"/>
      <c r="Q137" s="576"/>
      <c r="R137" s="576"/>
      <c r="S137" s="477"/>
      <c r="T137" s="477"/>
      <c r="U137" s="477"/>
      <c r="V137" s="477"/>
    </row>
    <row r="138" spans="1:22" s="476" customFormat="1" ht="18">
      <c r="A138" s="570"/>
      <c r="B138" s="578"/>
      <c r="C138" s="520"/>
      <c r="D138" s="573"/>
      <c r="E138" s="573"/>
      <c r="F138" s="573"/>
      <c r="G138" s="573"/>
      <c r="H138" s="573"/>
      <c r="I138" s="573"/>
      <c r="J138" s="573"/>
      <c r="K138" s="573"/>
      <c r="L138" s="573"/>
      <c r="M138" s="576"/>
      <c r="N138" s="576"/>
      <c r="O138" s="576"/>
      <c r="P138" s="576"/>
      <c r="Q138" s="576"/>
      <c r="R138" s="576"/>
      <c r="S138" s="477"/>
      <c r="T138" s="477"/>
      <c r="U138" s="477"/>
      <c r="V138" s="477"/>
    </row>
    <row r="139" spans="1:22" s="476" customFormat="1">
      <c r="A139" s="480"/>
      <c r="B139" s="520"/>
      <c r="C139" s="520"/>
      <c r="D139" s="573"/>
      <c r="E139" s="573"/>
      <c r="F139" s="573"/>
      <c r="G139" s="573"/>
      <c r="H139" s="573"/>
      <c r="I139" s="573"/>
      <c r="J139" s="573"/>
      <c r="K139" s="573"/>
      <c r="L139" s="573"/>
      <c r="M139" s="576"/>
      <c r="N139" s="576"/>
      <c r="O139" s="576"/>
      <c r="P139" s="576"/>
      <c r="Q139" s="576"/>
      <c r="R139" s="576"/>
      <c r="S139" s="477"/>
      <c r="T139" s="477"/>
      <c r="U139" s="477"/>
      <c r="V139" s="477"/>
    </row>
    <row r="140" spans="1:22" s="476" customFormat="1">
      <c r="A140" s="480"/>
      <c r="B140" s="520"/>
      <c r="C140" s="579"/>
      <c r="D140" s="573"/>
      <c r="E140" s="573"/>
      <c r="F140" s="573"/>
      <c r="G140" s="573"/>
      <c r="H140" s="573"/>
      <c r="I140" s="573"/>
      <c r="J140" s="573"/>
      <c r="K140" s="573"/>
      <c r="L140" s="573"/>
      <c r="M140" s="576"/>
      <c r="N140" s="576"/>
      <c r="O140" s="576"/>
      <c r="P140" s="576"/>
      <c r="Q140" s="576"/>
      <c r="R140" s="576"/>
      <c r="S140" s="477"/>
      <c r="T140" s="477"/>
      <c r="U140" s="477"/>
      <c r="V140" s="477"/>
    </row>
    <row r="141" spans="1:22" s="476" customFormat="1">
      <c r="A141" s="480"/>
      <c r="B141" s="480"/>
      <c r="C141" s="579"/>
      <c r="D141" s="573"/>
      <c r="E141" s="573"/>
      <c r="F141" s="573"/>
      <c r="G141" s="573"/>
      <c r="H141" s="573"/>
      <c r="I141" s="573"/>
      <c r="J141" s="573"/>
      <c r="K141" s="573"/>
      <c r="L141" s="573"/>
      <c r="M141" s="576"/>
      <c r="N141" s="576"/>
      <c r="O141" s="576"/>
      <c r="P141" s="576"/>
      <c r="Q141" s="576"/>
      <c r="R141" s="576"/>
      <c r="S141" s="477"/>
      <c r="T141" s="477"/>
      <c r="U141" s="477"/>
      <c r="V141" s="477"/>
    </row>
    <row r="142" spans="1:22">
      <c r="A142" s="480"/>
      <c r="B142" s="520"/>
      <c r="C142" s="580"/>
      <c r="D142" s="573"/>
      <c r="E142" s="573"/>
      <c r="F142" s="573"/>
      <c r="G142" s="573"/>
      <c r="H142" s="573"/>
      <c r="I142" s="573"/>
      <c r="J142" s="573"/>
      <c r="K142" s="573"/>
      <c r="L142" s="573"/>
      <c r="M142" s="576"/>
      <c r="N142" s="576"/>
      <c r="O142" s="576"/>
      <c r="P142" s="576"/>
      <c r="Q142" s="576"/>
      <c r="R142" s="576"/>
    </row>
    <row r="143" spans="1:22">
      <c r="A143" s="480"/>
      <c r="B143" s="520"/>
      <c r="C143" s="579"/>
      <c r="D143" s="573"/>
      <c r="E143" s="573"/>
      <c r="F143" s="573"/>
      <c r="G143" s="573"/>
      <c r="H143" s="573"/>
      <c r="I143" s="573"/>
      <c r="J143" s="573"/>
      <c r="K143" s="573"/>
      <c r="L143" s="573"/>
      <c r="M143" s="576"/>
      <c r="N143" s="576"/>
      <c r="O143" s="576"/>
      <c r="P143" s="576"/>
      <c r="Q143" s="576"/>
      <c r="R143" s="576"/>
    </row>
    <row r="144" spans="1:22">
      <c r="A144" s="573"/>
      <c r="B144" s="582"/>
      <c r="C144" s="573"/>
      <c r="D144" s="573"/>
      <c r="E144" s="573"/>
      <c r="F144" s="573"/>
      <c r="G144" s="573"/>
      <c r="H144" s="573"/>
      <c r="I144" s="573"/>
      <c r="J144" s="573"/>
      <c r="K144" s="573"/>
      <c r="L144" s="573"/>
      <c r="M144" s="576"/>
      <c r="N144" s="576"/>
      <c r="O144" s="576"/>
      <c r="P144" s="576"/>
      <c r="Q144" s="576"/>
      <c r="R144" s="576"/>
    </row>
    <row r="145" spans="1:22">
      <c r="A145" s="573"/>
      <c r="B145" s="582"/>
      <c r="C145" s="498"/>
      <c r="D145" s="583"/>
      <c r="E145" s="573"/>
      <c r="F145" s="573"/>
      <c r="G145" s="573"/>
      <c r="H145" s="573"/>
      <c r="I145" s="573"/>
      <c r="J145" s="573"/>
      <c r="K145" s="573"/>
      <c r="L145" s="573"/>
      <c r="M145" s="576"/>
      <c r="N145" s="576"/>
      <c r="O145" s="576"/>
      <c r="P145" s="576"/>
      <c r="Q145" s="576"/>
      <c r="R145" s="576"/>
    </row>
    <row r="146" spans="1:22">
      <c r="A146" s="573"/>
      <c r="B146" s="582"/>
      <c r="C146" s="573"/>
      <c r="D146" s="583"/>
      <c r="E146" s="573"/>
      <c r="F146" s="573"/>
      <c r="G146" s="573"/>
      <c r="H146" s="573"/>
      <c r="I146" s="573"/>
      <c r="J146" s="573"/>
      <c r="K146" s="573"/>
      <c r="L146" s="573"/>
      <c r="M146" s="576"/>
      <c r="N146" s="576"/>
      <c r="O146" s="576"/>
      <c r="P146" s="576"/>
      <c r="Q146" s="576"/>
      <c r="R146" s="576"/>
    </row>
    <row r="147" spans="1:22">
      <c r="A147" s="573"/>
      <c r="B147" s="582"/>
      <c r="C147" s="573"/>
      <c r="D147" s="573"/>
      <c r="E147" s="573"/>
      <c r="F147" s="573"/>
      <c r="G147" s="573"/>
      <c r="H147" s="573"/>
      <c r="I147" s="573"/>
      <c r="J147" s="573"/>
      <c r="K147" s="573"/>
      <c r="L147" s="573"/>
      <c r="M147" s="576"/>
      <c r="N147" s="576"/>
      <c r="O147" s="576"/>
      <c r="P147" s="576"/>
      <c r="Q147" s="576"/>
      <c r="R147" s="576"/>
    </row>
    <row r="148" spans="1:22">
      <c r="A148" s="573"/>
      <c r="B148" s="582"/>
      <c r="C148" s="573"/>
      <c r="D148" s="573"/>
      <c r="E148" s="573"/>
      <c r="F148" s="573"/>
      <c r="G148" s="573"/>
      <c r="H148" s="573"/>
      <c r="I148" s="573"/>
      <c r="J148" s="573"/>
      <c r="K148" s="573"/>
      <c r="L148" s="573"/>
      <c r="M148" s="576"/>
      <c r="N148" s="576"/>
      <c r="O148" s="576"/>
      <c r="P148" s="576"/>
      <c r="Q148" s="576"/>
      <c r="R148" s="576"/>
    </row>
    <row r="149" spans="1:22" ht="21" customHeight="1">
      <c r="A149" s="573"/>
      <c r="B149" s="582"/>
      <c r="C149" s="573"/>
      <c r="D149" s="573"/>
      <c r="E149" s="573"/>
      <c r="F149" s="573"/>
      <c r="G149" s="573"/>
      <c r="H149" s="573"/>
      <c r="I149" s="573"/>
      <c r="J149" s="573"/>
      <c r="K149" s="573"/>
      <c r="L149" s="573"/>
      <c r="M149" s="576"/>
      <c r="N149" s="576"/>
      <c r="O149" s="576"/>
      <c r="P149" s="576"/>
      <c r="Q149" s="576"/>
      <c r="R149" s="576"/>
    </row>
    <row r="150" spans="1:22">
      <c r="A150" s="573"/>
      <c r="B150" s="582"/>
      <c r="C150" s="573"/>
      <c r="D150" s="573"/>
      <c r="E150" s="573"/>
      <c r="F150" s="573"/>
      <c r="G150" s="573"/>
      <c r="H150" s="573"/>
      <c r="I150" s="573"/>
      <c r="J150" s="573"/>
      <c r="K150" s="573"/>
      <c r="L150" s="573"/>
      <c r="M150" s="576"/>
      <c r="N150" s="576"/>
      <c r="O150" s="576"/>
      <c r="P150" s="576"/>
      <c r="Q150" s="576"/>
      <c r="R150" s="576"/>
    </row>
    <row r="151" spans="1:22">
      <c r="A151" s="573"/>
      <c r="B151" s="582"/>
      <c r="C151" s="573"/>
      <c r="D151" s="573"/>
      <c r="E151" s="573"/>
      <c r="F151" s="573"/>
      <c r="G151" s="573"/>
      <c r="H151" s="573"/>
      <c r="I151" s="573"/>
      <c r="J151" s="573"/>
      <c r="K151" s="573"/>
      <c r="L151" s="573"/>
      <c r="M151" s="576"/>
      <c r="N151" s="576"/>
      <c r="O151" s="576"/>
      <c r="P151" s="576"/>
      <c r="Q151" s="576"/>
      <c r="R151" s="576"/>
    </row>
    <row r="152" spans="1:22">
      <c r="A152" s="573"/>
      <c r="B152" s="582"/>
      <c r="C152" s="573"/>
      <c r="D152" s="573"/>
      <c r="E152" s="573"/>
      <c r="F152" s="573"/>
      <c r="G152" s="573"/>
      <c r="H152" s="573"/>
      <c r="I152" s="573"/>
      <c r="J152" s="573"/>
      <c r="K152" s="573"/>
      <c r="L152" s="573"/>
      <c r="M152" s="576"/>
      <c r="N152" s="576"/>
      <c r="O152" s="576"/>
      <c r="P152" s="576"/>
      <c r="Q152" s="576"/>
      <c r="R152" s="576"/>
    </row>
    <row r="153" spans="1:22">
      <c r="A153" s="573"/>
      <c r="B153" s="582"/>
      <c r="C153" s="573"/>
      <c r="D153" s="573"/>
      <c r="E153" s="573"/>
      <c r="F153" s="573"/>
      <c r="G153" s="573"/>
      <c r="H153" s="573"/>
      <c r="I153" s="573"/>
      <c r="J153" s="573"/>
      <c r="K153" s="573"/>
      <c r="L153" s="573"/>
      <c r="M153" s="576"/>
      <c r="N153" s="576"/>
      <c r="O153" s="576"/>
      <c r="P153" s="576"/>
      <c r="Q153" s="576"/>
      <c r="R153" s="576"/>
    </row>
    <row r="154" spans="1:22" ht="19.5" customHeight="1">
      <c r="A154" s="573"/>
      <c r="B154" s="582"/>
      <c r="C154" s="573"/>
      <c r="D154" s="573"/>
      <c r="E154" s="573"/>
      <c r="F154" s="573"/>
      <c r="G154" s="573"/>
      <c r="H154" s="573"/>
      <c r="I154" s="573"/>
      <c r="J154" s="573"/>
      <c r="K154" s="573"/>
      <c r="L154" s="573"/>
      <c r="M154" s="576"/>
      <c r="N154" s="576"/>
      <c r="O154" s="576"/>
      <c r="P154" s="576"/>
      <c r="Q154" s="576"/>
      <c r="R154" s="576"/>
    </row>
    <row r="155" spans="1:22">
      <c r="A155" s="573"/>
      <c r="B155" s="582"/>
      <c r="C155" s="573"/>
      <c r="D155" s="573"/>
      <c r="E155" s="573"/>
      <c r="F155" s="573"/>
      <c r="G155" s="573"/>
      <c r="H155" s="573"/>
      <c r="I155" s="573"/>
      <c r="J155" s="573"/>
      <c r="K155" s="573"/>
      <c r="L155" s="573"/>
      <c r="M155" s="576"/>
      <c r="N155" s="576"/>
      <c r="O155" s="576"/>
      <c r="P155" s="576"/>
      <c r="Q155" s="576"/>
      <c r="R155" s="576"/>
    </row>
    <row r="156" spans="1:22">
      <c r="A156" s="573"/>
      <c r="B156" s="582"/>
      <c r="C156" s="573"/>
      <c r="D156" s="573"/>
      <c r="E156" s="573"/>
      <c r="F156" s="573"/>
      <c r="G156" s="573"/>
      <c r="H156" s="573"/>
      <c r="I156" s="573"/>
      <c r="J156" s="573"/>
      <c r="K156" s="573"/>
      <c r="L156" s="573"/>
      <c r="M156" s="576"/>
      <c r="N156" s="576"/>
      <c r="O156" s="576"/>
      <c r="P156" s="576"/>
      <c r="Q156" s="576"/>
      <c r="R156" s="576"/>
    </row>
    <row r="157" spans="1:22">
      <c r="A157" s="573"/>
      <c r="B157" s="582"/>
      <c r="C157" s="573"/>
      <c r="D157" s="573"/>
      <c r="E157" s="573"/>
      <c r="F157" s="573"/>
      <c r="G157" s="573"/>
      <c r="H157" s="573"/>
      <c r="I157" s="573"/>
      <c r="J157" s="573"/>
      <c r="K157" s="573"/>
      <c r="L157" s="573"/>
      <c r="M157" s="576"/>
      <c r="N157" s="576"/>
      <c r="O157" s="576"/>
      <c r="P157" s="576"/>
      <c r="Q157" s="576"/>
      <c r="R157" s="576"/>
    </row>
    <row r="158" spans="1:22" s="476" customFormat="1">
      <c r="A158" s="573"/>
      <c r="B158" s="582"/>
      <c r="C158" s="573"/>
      <c r="D158" s="573"/>
      <c r="E158" s="573"/>
      <c r="F158" s="573"/>
      <c r="G158" s="573"/>
      <c r="H158" s="573"/>
      <c r="I158" s="573"/>
      <c r="J158" s="573"/>
      <c r="K158" s="573"/>
      <c r="L158" s="573"/>
      <c r="M158" s="576"/>
      <c r="N158" s="576"/>
      <c r="O158" s="576"/>
      <c r="P158" s="576"/>
      <c r="Q158" s="576"/>
      <c r="R158" s="576"/>
      <c r="S158" s="477"/>
      <c r="T158" s="477"/>
      <c r="U158" s="477"/>
      <c r="V158" s="477"/>
    </row>
    <row r="159" spans="1:22" s="476" customFormat="1">
      <c r="A159" s="573"/>
      <c r="B159" s="582"/>
      <c r="C159" s="573"/>
      <c r="D159" s="573"/>
      <c r="E159" s="573"/>
      <c r="F159" s="573"/>
      <c r="G159" s="573"/>
      <c r="H159" s="573"/>
      <c r="I159" s="573"/>
      <c r="J159" s="573"/>
      <c r="K159" s="573"/>
      <c r="L159" s="573"/>
      <c r="M159" s="576"/>
      <c r="N159" s="576"/>
      <c r="O159" s="576"/>
      <c r="P159" s="576"/>
      <c r="Q159" s="576"/>
      <c r="R159" s="576"/>
      <c r="S159" s="477"/>
      <c r="T159" s="477"/>
      <c r="U159" s="477"/>
      <c r="V159" s="477"/>
    </row>
  </sheetData>
  <printOptions horizontalCentered="1"/>
  <pageMargins left="1" right="1" top="1" bottom="1" header="0.5" footer="0.4"/>
  <pageSetup scale="27"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ransitionEvaluation="1" transitionEntry="1" codeName="Sheet4">
    <tabColor rgb="FF00B0F0"/>
  </sheetPr>
  <dimension ref="A1:AO83"/>
  <sheetViews>
    <sheetView showGridLines="0" topLeftCell="U1" zoomScale="85" zoomScaleNormal="85" workbookViewId="0">
      <selection activeCell="AH40" sqref="AH40"/>
    </sheetView>
  </sheetViews>
  <sheetFormatPr baseColWidth="10" defaultColWidth="9.7109375" defaultRowHeight="16"/>
  <cols>
    <col min="1" max="2" width="6.7109375" customWidth="1"/>
    <col min="3" max="3" width="10.28515625" customWidth="1"/>
    <col min="4" max="4" width="7.7109375" customWidth="1"/>
    <col min="5" max="5" width="4.7109375" customWidth="1"/>
    <col min="6" max="6" width="7.5703125" customWidth="1"/>
    <col min="7" max="7" width="7.7109375" customWidth="1"/>
    <col min="8" max="8" width="9.5703125" customWidth="1"/>
    <col min="10" max="10" width="6.7109375" customWidth="1"/>
    <col min="12" max="12" width="9.85546875" bestFit="1" customWidth="1"/>
    <col min="14" max="14" width="14.7109375" bestFit="1" customWidth="1"/>
    <col min="15" max="15" width="11.5703125" customWidth="1"/>
    <col min="19" max="19" width="8.7109375" customWidth="1"/>
    <col min="20" max="20" width="13.7109375" customWidth="1"/>
    <col min="21" max="21" width="12.140625" bestFit="1" customWidth="1"/>
    <col min="22" max="22" width="11" bestFit="1" customWidth="1"/>
    <col min="23" max="23" width="15.85546875" customWidth="1"/>
    <col min="24" max="24" width="11.42578125" customWidth="1"/>
    <col min="25" max="25" width="10.140625" bestFit="1" customWidth="1"/>
    <col min="31" max="31" width="6.7109375" customWidth="1"/>
    <col min="38" max="38" width="13" bestFit="1" customWidth="1"/>
  </cols>
  <sheetData>
    <row r="1" spans="1:41">
      <c r="A1" s="31" t="s">
        <v>0</v>
      </c>
      <c r="B1" s="240" t="str">
        <f ca="1">CELL("filename",C2)</f>
        <v>/Users/janohlberger/Work/UW/Thresholds/Data/Rich/[2018_PWS_Wild_Pink_forecast_DRAFT.xlsm]Regression_Jackknife</v>
      </c>
      <c r="D1" s="849"/>
      <c r="E1" s="850"/>
      <c r="F1" s="12"/>
      <c r="G1" s="12" t="s">
        <v>326</v>
      </c>
      <c r="H1" s="12"/>
      <c r="I1" s="851"/>
      <c r="J1" s="850"/>
      <c r="K1" s="12"/>
      <c r="L1" s="12"/>
      <c r="M1" s="852"/>
      <c r="N1" s="12"/>
      <c r="O1" s="852"/>
      <c r="P1" s="850"/>
      <c r="Q1" s="12"/>
      <c r="R1" s="12"/>
      <c r="S1" s="12"/>
      <c r="T1" s="12"/>
      <c r="U1" s="849"/>
      <c r="V1" s="849"/>
      <c r="W1" s="12"/>
      <c r="X1" s="12"/>
      <c r="Y1" s="849"/>
      <c r="Z1" s="12"/>
      <c r="AA1" s="12"/>
      <c r="AB1" s="12"/>
      <c r="AC1" s="12"/>
      <c r="AD1" s="12"/>
      <c r="AE1" s="12"/>
      <c r="AF1" s="12"/>
      <c r="AG1" s="12"/>
      <c r="AH1" s="12"/>
      <c r="AI1" s="12"/>
      <c r="AJ1" s="12"/>
      <c r="AK1" s="12"/>
      <c r="AL1" s="12"/>
      <c r="AM1" s="12"/>
      <c r="AN1" s="12"/>
      <c r="AO1" s="12"/>
    </row>
    <row r="2" spans="1:41">
      <c r="A2" s="12"/>
      <c r="B2" s="12"/>
      <c r="C2" s="12"/>
      <c r="D2" s="849"/>
      <c r="E2" s="850"/>
      <c r="F2" s="12"/>
      <c r="G2" s="624" t="s">
        <v>12</v>
      </c>
      <c r="H2" s="853" t="s">
        <v>327</v>
      </c>
      <c r="I2" s="851" t="s">
        <v>330</v>
      </c>
      <c r="J2" s="850"/>
      <c r="K2" s="12"/>
      <c r="L2" s="12"/>
      <c r="M2" s="852"/>
      <c r="N2" s="12"/>
      <c r="O2" s="852"/>
      <c r="P2" s="850"/>
      <c r="Q2" s="12"/>
      <c r="R2" s="12"/>
      <c r="S2" s="12"/>
      <c r="T2" s="12"/>
      <c r="U2" s="849"/>
      <c r="V2" s="849"/>
      <c r="W2" s="12"/>
      <c r="X2" s="12"/>
      <c r="Y2" s="849"/>
      <c r="Z2" s="12"/>
      <c r="AA2" s="12"/>
      <c r="AB2" s="12"/>
      <c r="AC2" s="12"/>
      <c r="AD2" s="12"/>
      <c r="AE2" s="12"/>
      <c r="AF2" s="12"/>
      <c r="AG2" s="12"/>
      <c r="AH2" s="12"/>
      <c r="AI2" s="12"/>
      <c r="AJ2" s="12"/>
      <c r="AK2" s="12"/>
      <c r="AL2" s="12"/>
      <c r="AM2" s="12"/>
      <c r="AN2" s="12"/>
      <c r="AO2" s="12"/>
    </row>
    <row r="3" spans="1:41" ht="23">
      <c r="A3" s="12"/>
      <c r="B3" s="22" t="s">
        <v>331</v>
      </c>
      <c r="C3" s="956">
        <v>2017</v>
      </c>
      <c r="D3" s="849"/>
      <c r="E3" s="850"/>
      <c r="F3" s="12"/>
      <c r="G3" s="624" t="s">
        <v>13</v>
      </c>
      <c r="H3" s="853" t="s">
        <v>328</v>
      </c>
      <c r="I3" s="851" t="s">
        <v>329</v>
      </c>
      <c r="J3" s="850"/>
      <c r="K3" s="12"/>
      <c r="L3" s="958" t="s">
        <v>332</v>
      </c>
      <c r="M3" s="852"/>
      <c r="N3" s="12"/>
      <c r="O3" s="852"/>
      <c r="P3" s="850"/>
      <c r="Q3" s="12"/>
      <c r="R3" s="12"/>
      <c r="S3" s="12"/>
      <c r="T3" s="12"/>
      <c r="U3" s="849"/>
      <c r="V3" s="849"/>
      <c r="W3" s="12"/>
      <c r="X3" s="12"/>
      <c r="Y3" s="849"/>
      <c r="Z3" s="12"/>
      <c r="AA3" s="12"/>
      <c r="AB3" s="12"/>
      <c r="AC3" s="12"/>
      <c r="AD3" s="12"/>
      <c r="AE3" s="12"/>
      <c r="AF3" s="12"/>
      <c r="AG3" s="12"/>
      <c r="AH3" s="12"/>
      <c r="AI3" s="12"/>
      <c r="AJ3" s="12"/>
      <c r="AK3" s="12"/>
      <c r="AL3" s="12"/>
      <c r="AM3" s="12"/>
      <c r="AN3" s="12"/>
      <c r="AO3" s="12"/>
    </row>
    <row r="4" spans="1:41">
      <c r="A4" s="12"/>
      <c r="B4" s="12"/>
      <c r="C4" s="849"/>
      <c r="D4" s="850"/>
      <c r="E4" s="12"/>
      <c r="F4" s="12"/>
      <c r="G4" s="931" t="s">
        <v>323</v>
      </c>
      <c r="H4" s="932">
        <v>2</v>
      </c>
      <c r="I4" s="851"/>
      <c r="J4" s="850"/>
      <c r="K4" s="12"/>
      <c r="L4" s="12"/>
      <c r="M4" s="852"/>
      <c r="N4" s="12"/>
      <c r="O4" s="852"/>
      <c r="P4" s="850"/>
      <c r="Q4" s="12"/>
      <c r="R4" s="12"/>
      <c r="S4" s="12"/>
      <c r="T4" s="12"/>
      <c r="U4" s="849"/>
      <c r="V4" s="849"/>
      <c r="W4" s="12"/>
      <c r="X4" s="12"/>
      <c r="Y4" s="849"/>
      <c r="Z4" s="12" t="s">
        <v>14</v>
      </c>
      <c r="AA4" s="12"/>
      <c r="AB4" s="12"/>
      <c r="AC4" s="12"/>
      <c r="AD4" s="12"/>
      <c r="AE4" s="12"/>
      <c r="AF4" s="12"/>
      <c r="AG4" s="12"/>
      <c r="AH4" s="12"/>
      <c r="AI4" s="12"/>
      <c r="AJ4" s="12"/>
      <c r="AK4" s="12"/>
      <c r="AL4" s="12"/>
      <c r="AM4" s="12"/>
      <c r="AN4" s="12"/>
      <c r="AO4" s="12"/>
    </row>
    <row r="5" spans="1:41" ht="18">
      <c r="A5" s="869"/>
      <c r="B5" s="869"/>
      <c r="C5" s="854" t="s">
        <v>15</v>
      </c>
      <c r="D5" s="855"/>
      <c r="E5" s="18"/>
      <c r="F5" s="856"/>
      <c r="G5" s="857"/>
      <c r="H5" s="856" t="s">
        <v>16</v>
      </c>
      <c r="I5" s="858"/>
      <c r="J5" s="857"/>
      <c r="K5" s="856"/>
      <c r="L5" s="856"/>
      <c r="M5" s="859"/>
      <c r="N5" s="18" t="s">
        <v>17</v>
      </c>
      <c r="O5" s="860"/>
      <c r="P5" s="857"/>
      <c r="Q5" s="856"/>
      <c r="R5" s="861"/>
      <c r="S5" s="18"/>
      <c r="T5" s="856"/>
      <c r="U5" s="1122" t="s">
        <v>325</v>
      </c>
      <c r="V5" s="1122"/>
      <c r="W5" s="1123"/>
      <c r="X5" s="945" t="s">
        <v>6</v>
      </c>
      <c r="Y5" s="863" t="s">
        <v>18</v>
      </c>
      <c r="Z5" s="864" t="s">
        <v>19</v>
      </c>
      <c r="AA5" s="864" t="s">
        <v>20</v>
      </c>
      <c r="AB5" s="865" t="s">
        <v>22</v>
      </c>
      <c r="AC5" s="866"/>
      <c r="AD5" s="12"/>
      <c r="AE5" s="864" t="s">
        <v>21</v>
      </c>
      <c r="AF5" s="12"/>
      <c r="AG5" s="12"/>
      <c r="AH5" s="12"/>
      <c r="AI5" s="12"/>
      <c r="AJ5" s="12"/>
      <c r="AK5" s="12"/>
      <c r="AL5" s="12"/>
      <c r="AM5" s="12"/>
      <c r="AN5" s="12"/>
      <c r="AO5" s="12"/>
    </row>
    <row r="6" spans="1:41">
      <c r="A6" s="876" t="s">
        <v>2</v>
      </c>
      <c r="B6" s="926" t="s">
        <v>3</v>
      </c>
      <c r="C6" s="867" t="s">
        <v>23</v>
      </c>
      <c r="D6" s="868" t="s">
        <v>24</v>
      </c>
      <c r="E6" s="869"/>
      <c r="F6" s="869"/>
      <c r="G6" s="870"/>
      <c r="H6" s="869"/>
      <c r="I6" s="871" t="s">
        <v>25</v>
      </c>
      <c r="J6" s="868" t="s">
        <v>26</v>
      </c>
      <c r="K6" s="872" t="s">
        <v>25</v>
      </c>
      <c r="L6" s="869"/>
      <c r="M6" s="873" t="s">
        <v>27</v>
      </c>
      <c r="N6" s="869"/>
      <c r="O6" s="874"/>
      <c r="P6" s="875" t="s">
        <v>28</v>
      </c>
      <c r="Q6" s="862" t="s">
        <v>9</v>
      </c>
      <c r="R6" s="862" t="s">
        <v>10</v>
      </c>
      <c r="S6" s="869"/>
      <c r="T6" s="869"/>
      <c r="U6" s="948" t="s">
        <v>28</v>
      </c>
      <c r="V6" s="948" t="s">
        <v>9</v>
      </c>
      <c r="W6" s="945" t="s">
        <v>10</v>
      </c>
      <c r="X6" s="946" t="s">
        <v>8</v>
      </c>
      <c r="Y6" s="877" t="s">
        <v>29</v>
      </c>
      <c r="Z6" s="862" t="s">
        <v>30</v>
      </c>
      <c r="AA6" s="862" t="s">
        <v>31</v>
      </c>
      <c r="AB6" s="864" t="s">
        <v>32</v>
      </c>
      <c r="AC6" s="864" t="s">
        <v>33</v>
      </c>
      <c r="AD6" s="12"/>
      <c r="AE6" s="862" t="s">
        <v>3</v>
      </c>
      <c r="AF6" s="12"/>
      <c r="AG6" s="12"/>
      <c r="AH6" s="12"/>
      <c r="AI6" s="12"/>
      <c r="AJ6" s="12"/>
      <c r="AK6" s="12"/>
      <c r="AL6" s="12"/>
      <c r="AM6" s="12"/>
      <c r="AN6" s="12"/>
      <c r="AO6" s="12"/>
    </row>
    <row r="7" spans="1:41">
      <c r="A7" s="884" t="s">
        <v>7</v>
      </c>
      <c r="B7" s="927" t="s">
        <v>7</v>
      </c>
      <c r="C7" s="878" t="s">
        <v>18</v>
      </c>
      <c r="D7" s="879" t="s">
        <v>34</v>
      </c>
      <c r="E7" s="880" t="s">
        <v>35</v>
      </c>
      <c r="F7" s="880" t="s">
        <v>36</v>
      </c>
      <c r="G7" s="879" t="s">
        <v>11</v>
      </c>
      <c r="H7" s="880" t="s">
        <v>37</v>
      </c>
      <c r="I7" s="881" t="s">
        <v>37</v>
      </c>
      <c r="J7" s="879" t="s">
        <v>38</v>
      </c>
      <c r="K7" s="880" t="s">
        <v>26</v>
      </c>
      <c r="L7" s="880" t="s">
        <v>324</v>
      </c>
      <c r="M7" s="882" t="s">
        <v>39</v>
      </c>
      <c r="N7" s="880" t="s">
        <v>40</v>
      </c>
      <c r="O7" s="929" t="s">
        <v>41</v>
      </c>
      <c r="P7" s="879" t="s">
        <v>38</v>
      </c>
      <c r="Q7" s="930" t="s">
        <v>42</v>
      </c>
      <c r="R7" s="930" t="s">
        <v>43</v>
      </c>
      <c r="S7" s="880" t="s">
        <v>40</v>
      </c>
      <c r="T7" s="880" t="s">
        <v>41</v>
      </c>
      <c r="U7" s="949"/>
      <c r="V7" s="949"/>
      <c r="W7" s="947"/>
      <c r="X7" s="947"/>
      <c r="Y7" s="883" t="s">
        <v>44</v>
      </c>
      <c r="Z7" s="884" t="s">
        <v>45</v>
      </c>
      <c r="AA7" s="884" t="s">
        <v>45</v>
      </c>
      <c r="AB7" s="864" t="s">
        <v>9</v>
      </c>
      <c r="AC7" s="864" t="s">
        <v>10</v>
      </c>
      <c r="AD7" s="864" t="s">
        <v>46</v>
      </c>
      <c r="AE7" s="884" t="s">
        <v>7</v>
      </c>
      <c r="AF7" s="12"/>
      <c r="AG7" s="12"/>
      <c r="AH7" s="12"/>
      <c r="AI7" s="12"/>
      <c r="AJ7" s="12"/>
      <c r="AK7" s="12"/>
      <c r="AL7" s="12"/>
      <c r="AM7" s="12"/>
      <c r="AN7" s="12"/>
      <c r="AO7" s="12"/>
    </row>
    <row r="8" spans="1:41">
      <c r="A8" s="19"/>
      <c r="B8" s="887"/>
      <c r="C8" s="885"/>
      <c r="D8" s="886"/>
      <c r="E8" s="887"/>
      <c r="F8" s="887"/>
      <c r="G8" s="886"/>
      <c r="H8" s="887"/>
      <c r="I8" s="888"/>
      <c r="J8" s="886"/>
      <c r="K8" s="887"/>
      <c r="L8" s="887"/>
      <c r="M8" s="889"/>
      <c r="N8" s="887"/>
      <c r="O8" s="889"/>
      <c r="P8" s="886"/>
      <c r="Q8" s="887"/>
      <c r="R8" s="887"/>
      <c r="S8" s="887"/>
      <c r="T8" s="887"/>
      <c r="U8" s="885"/>
      <c r="V8" s="885"/>
      <c r="W8" s="887"/>
      <c r="X8" s="890"/>
      <c r="Y8" s="891"/>
      <c r="Z8" s="869"/>
      <c r="AA8" s="869"/>
      <c r="AB8" s="19"/>
      <c r="AC8" s="890"/>
      <c r="AD8" s="12"/>
      <c r="AE8" s="869"/>
      <c r="AF8" s="12"/>
      <c r="AG8" s="12"/>
      <c r="AH8" s="12"/>
      <c r="AI8" s="12"/>
      <c r="AJ8" s="12"/>
      <c r="AK8" s="12"/>
      <c r="AL8" s="12"/>
      <c r="AM8" s="12"/>
      <c r="AN8" s="12"/>
      <c r="AO8" s="12"/>
    </row>
    <row r="9" spans="1:41" ht="18.75" customHeight="1">
      <c r="A9" s="962">
        <f>IF(ISEVEN($C$3), 1960, 1961)</f>
        <v>1961</v>
      </c>
      <c r="B9" s="957">
        <f t="shared" ref="B9:B35" si="0">A9+$H$4</f>
        <v>1963</v>
      </c>
      <c r="C9" s="951">
        <f>VLOOKUP(A9,'Esc-Return_Regression'!$A$11:$E$40,4,FALSE)</f>
        <v>14.603504174452336</v>
      </c>
      <c r="D9" s="952">
        <f>VLOOKUP($A9,'Esc-Return_Regression'!$A$11:$H$40,6,FALSE)</f>
        <v>15.710295518802155</v>
      </c>
      <c r="E9" s="146">
        <v>26</v>
      </c>
      <c r="F9" s="146">
        <v>24</v>
      </c>
      <c r="G9" s="893">
        <v>4.4626690122690764</v>
      </c>
      <c r="H9" s="893">
        <v>0.79523773466210967</v>
      </c>
      <c r="I9" s="146">
        <v>0.2333766015385477</v>
      </c>
      <c r="J9" s="148">
        <v>16.075926590089214</v>
      </c>
      <c r="K9" s="146">
        <v>0.64004844785548431</v>
      </c>
      <c r="L9" s="934">
        <v>0.32605585302006768</v>
      </c>
      <c r="M9" s="893">
        <v>48.647982734632819</v>
      </c>
      <c r="N9" s="811">
        <f t="shared" ref="N9:N35" si="1">D9-J9</f>
        <v>-0.36563107128705852</v>
      </c>
      <c r="O9" s="894">
        <f t="shared" ref="O9:O35" si="2">N9^2</f>
        <v>0.13368608029052206</v>
      </c>
      <c r="P9" s="20">
        <f t="shared" ref="P9:P35" si="3">J9</f>
        <v>16.075926590089214</v>
      </c>
      <c r="Q9" s="895">
        <f t="shared" ref="Q9:Q35" si="4">$P9-SQRT($O$39)*$Q$39</f>
        <v>15.179780872933472</v>
      </c>
      <c r="R9" s="895">
        <f t="shared" ref="R9:R35" si="5">$P9+SQRT($O$39)*$Q$39</f>
        <v>16.972072307244954</v>
      </c>
      <c r="S9" s="942">
        <f t="shared" ref="S9:S35" si="6">EXP(D9)-U9</f>
        <v>-2935958.8691625446</v>
      </c>
      <c r="T9" s="941">
        <f t="shared" ref="T9:T35" si="7">S9^2</f>
        <v>8619854481414.208</v>
      </c>
      <c r="U9" s="935">
        <f t="shared" ref="U9:U35" si="8">EXP(P9)</f>
        <v>9587076.8691625483</v>
      </c>
      <c r="V9" s="935">
        <f t="shared" ref="V9:V35" si="9">EXP(Q9)</f>
        <v>3912866.8496876801</v>
      </c>
      <c r="W9" s="935">
        <f t="shared" ref="W9:W35" si="10">EXP(R9)</f>
        <v>23489693.471825577</v>
      </c>
      <c r="X9" s="896">
        <f t="shared" ref="X9:X35" si="11">(+U9-EXP(D9))/(EXP(D9))</f>
        <v>0.44142336208176475</v>
      </c>
      <c r="Y9" s="897">
        <f t="shared" ref="Y9:Y35" si="12">C9</f>
        <v>14.603504174452336</v>
      </c>
      <c r="Z9" s="897">
        <f t="shared" ref="Z9:Z35" si="13">(+G$37+H$37*C9)</f>
        <v>16.05900920081779</v>
      </c>
      <c r="AA9" s="898">
        <f t="shared" ref="AA9:AA35" si="14">D9</f>
        <v>15.710295518802155</v>
      </c>
      <c r="AB9" s="899">
        <f t="shared" ref="AB9:AB35" si="15">Z9-SQRT($O$39)*$Q$39</f>
        <v>15.162863483662049</v>
      </c>
      <c r="AC9" s="900">
        <f t="shared" ref="AC9:AC35" si="16">Z9+SQRT($O$39)*$Q$39</f>
        <v>16.95515491797353</v>
      </c>
      <c r="AD9" s="901"/>
      <c r="AE9" s="902">
        <f t="shared" ref="AE9:AE35" si="17">B9</f>
        <v>1963</v>
      </c>
      <c r="AF9" s="12"/>
      <c r="AG9" s="12"/>
      <c r="AH9" s="12"/>
      <c r="AI9" s="12"/>
      <c r="AJ9" s="12"/>
      <c r="AK9" s="12"/>
      <c r="AL9" s="12"/>
      <c r="AM9" s="12"/>
      <c r="AN9" s="12"/>
      <c r="AO9" s="12"/>
    </row>
    <row r="10" spans="1:41" ht="15.75" customHeight="1">
      <c r="A10" s="1063">
        <v>1963</v>
      </c>
      <c r="B10" s="957">
        <f t="shared" si="0"/>
        <v>1965</v>
      </c>
      <c r="C10" s="951">
        <f>VLOOKUP(A10,'Esc-Return_Regression'!$A$11:$E$40,4,FALSE)</f>
        <v>14.119857988684956</v>
      </c>
      <c r="D10" s="952">
        <f>VLOOKUP($A10,'Esc-Return_Regression'!$A$11:$H$40,6,FALSE)</f>
        <v>15.049942826774886</v>
      </c>
      <c r="E10" s="146">
        <v>26</v>
      </c>
      <c r="F10" s="146">
        <v>24</v>
      </c>
      <c r="G10" s="893">
        <v>4.9287234547694609</v>
      </c>
      <c r="H10" s="893">
        <v>0.7634927860486902</v>
      </c>
      <c r="I10" s="146">
        <v>0.22957899338153359</v>
      </c>
      <c r="J10" s="148">
        <v>15.709133169162392</v>
      </c>
      <c r="K10" s="146">
        <v>0.63059797995844713</v>
      </c>
      <c r="L10" s="934">
        <v>0.31545446634138957</v>
      </c>
      <c r="M10" s="893">
        <v>48.653124238793858</v>
      </c>
      <c r="N10" s="811">
        <f t="shared" si="1"/>
        <v>-0.65919034238750562</v>
      </c>
      <c r="O10" s="894">
        <f t="shared" si="2"/>
        <v>0.43453190749695692</v>
      </c>
      <c r="P10" s="20">
        <f t="shared" si="3"/>
        <v>15.709133169162392</v>
      </c>
      <c r="Q10" s="895">
        <f t="shared" si="4"/>
        <v>14.81298745200665</v>
      </c>
      <c r="R10" s="895">
        <f t="shared" si="5"/>
        <v>16.605278886318132</v>
      </c>
      <c r="S10" s="942">
        <f t="shared" si="6"/>
        <v>-3206964.5666670827</v>
      </c>
      <c r="T10" s="941">
        <f t="shared" si="7"/>
        <v>10284621731858.189</v>
      </c>
      <c r="U10" s="935">
        <f t="shared" si="8"/>
        <v>6643391.5666670855</v>
      </c>
      <c r="V10" s="935">
        <f t="shared" si="9"/>
        <v>2711431.9604883939</v>
      </c>
      <c r="W10" s="935">
        <f t="shared" si="10"/>
        <v>16277248.388011761</v>
      </c>
      <c r="X10" s="896">
        <f t="shared" si="11"/>
        <v>0.93322644906092289</v>
      </c>
      <c r="Y10" s="897">
        <f t="shared" si="12"/>
        <v>14.119857988684956</v>
      </c>
      <c r="Z10" s="897">
        <f t="shared" si="13"/>
        <v>15.680561039734739</v>
      </c>
      <c r="AA10" s="898">
        <f t="shared" si="14"/>
        <v>15.049942826774886</v>
      </c>
      <c r="AB10" s="899">
        <f t="shared" si="15"/>
        <v>14.784415322578997</v>
      </c>
      <c r="AC10" s="900">
        <f t="shared" si="16"/>
        <v>16.576706756890481</v>
      </c>
      <c r="AD10" s="901"/>
      <c r="AE10" s="902">
        <f t="shared" si="17"/>
        <v>1965</v>
      </c>
      <c r="AF10" s="12"/>
      <c r="AG10" s="12"/>
      <c r="AH10" s="12"/>
      <c r="AI10" s="12"/>
      <c r="AJ10" s="12"/>
      <c r="AK10" s="12"/>
      <c r="AL10" s="12"/>
      <c r="AM10" s="12"/>
      <c r="AN10" s="12"/>
      <c r="AO10" s="12"/>
    </row>
    <row r="11" spans="1:41" ht="15.75" customHeight="1">
      <c r="A11" s="1063">
        <v>1965</v>
      </c>
      <c r="B11" s="957">
        <f t="shared" si="0"/>
        <v>1967</v>
      </c>
      <c r="C11" s="951">
        <f>VLOOKUP(A11,'Esc-Return_Regression'!$A$11:$E$40,4,FALSE)</f>
        <v>13.791172782411794</v>
      </c>
      <c r="D11" s="952">
        <f>VLOOKUP($A11,'Esc-Return_Regression'!$A$11:$H$40,6,FALSE)</f>
        <v>15.059261612298622</v>
      </c>
      <c r="E11" s="146">
        <v>26</v>
      </c>
      <c r="F11" s="146">
        <v>24</v>
      </c>
      <c r="G11" s="893">
        <v>5.0541202979128173</v>
      </c>
      <c r="H11" s="893">
        <v>0.75406317395440337</v>
      </c>
      <c r="I11" s="146">
        <v>0.23697373365585436</v>
      </c>
      <c r="J11" s="148">
        <v>15.453535818771835</v>
      </c>
      <c r="K11" s="146">
        <v>0.63952557533017329</v>
      </c>
      <c r="L11" s="934">
        <v>0.29671291088804419</v>
      </c>
      <c r="M11" s="893">
        <v>48.669479154225172</v>
      </c>
      <c r="N11" s="811">
        <f t="shared" si="1"/>
        <v>-0.39427420647321298</v>
      </c>
      <c r="O11" s="894">
        <f t="shared" si="2"/>
        <v>0.1554521498900818</v>
      </c>
      <c r="P11" s="20">
        <f t="shared" si="3"/>
        <v>15.453535818771835</v>
      </c>
      <c r="Q11" s="895">
        <f t="shared" si="4"/>
        <v>14.557390101616093</v>
      </c>
      <c r="R11" s="895">
        <f t="shared" si="5"/>
        <v>16.349681535927576</v>
      </c>
      <c r="S11" s="942">
        <f t="shared" si="6"/>
        <v>-1676399.4418783956</v>
      </c>
      <c r="T11" s="941">
        <f t="shared" si="7"/>
        <v>2810315088730.1963</v>
      </c>
      <c r="U11" s="935">
        <f t="shared" si="8"/>
        <v>5144999.4418783933</v>
      </c>
      <c r="V11" s="935">
        <f t="shared" si="9"/>
        <v>2099878.6212450727</v>
      </c>
      <c r="W11" s="935">
        <f t="shared" si="10"/>
        <v>12605975.883136341</v>
      </c>
      <c r="X11" s="896">
        <f t="shared" si="11"/>
        <v>0.4833072253584722</v>
      </c>
      <c r="Y11" s="897">
        <f t="shared" si="12"/>
        <v>13.791172782411794</v>
      </c>
      <c r="Z11" s="897">
        <f t="shared" si="13"/>
        <v>15.423368249736992</v>
      </c>
      <c r="AA11" s="898">
        <f t="shared" si="14"/>
        <v>15.059261612298622</v>
      </c>
      <c r="AB11" s="899">
        <f t="shared" si="15"/>
        <v>14.52722253258125</v>
      </c>
      <c r="AC11" s="900">
        <f t="shared" si="16"/>
        <v>16.319513966892732</v>
      </c>
      <c r="AD11" s="901"/>
      <c r="AE11" s="902">
        <f t="shared" si="17"/>
        <v>1967</v>
      </c>
      <c r="AF11" s="12"/>
      <c r="AG11" s="12"/>
      <c r="AH11" s="12"/>
      <c r="AI11" s="12"/>
      <c r="AJ11" s="12"/>
      <c r="AK11" s="12"/>
      <c r="AL11" s="12"/>
      <c r="AM11" s="12"/>
      <c r="AN11" s="12"/>
      <c r="AO11" s="12"/>
    </row>
    <row r="12" spans="1:41" ht="15.75" customHeight="1">
      <c r="A12" s="1063">
        <v>1967</v>
      </c>
      <c r="B12" s="957">
        <f t="shared" si="0"/>
        <v>1969</v>
      </c>
      <c r="C12" s="951">
        <f>VLOOKUP(A12,'Esc-Return_Regression'!$A$11:$E$40,4,FALSE)</f>
        <v>13.643844034157651</v>
      </c>
      <c r="D12" s="952">
        <f>VLOOKUP($A12,'Esc-Return_Regression'!$A$11:$H$40,6,FALSE)</f>
        <v>15.470523758100148</v>
      </c>
      <c r="E12" s="146">
        <v>26</v>
      </c>
      <c r="F12" s="146">
        <v>24</v>
      </c>
      <c r="G12" s="893">
        <v>4.3882728474949229</v>
      </c>
      <c r="H12" s="893">
        <v>0.7990152667350785</v>
      </c>
      <c r="I12" s="146">
        <v>0.24152110876196828</v>
      </c>
      <c r="J12" s="148">
        <v>15.289912527739208</v>
      </c>
      <c r="K12" s="146">
        <v>0.64323565767851998</v>
      </c>
      <c r="L12" s="934">
        <v>0.31319864225892591</v>
      </c>
      <c r="M12" s="893">
        <v>48.674572081480129</v>
      </c>
      <c r="N12" s="811">
        <f t="shared" si="1"/>
        <v>0.18061123036093996</v>
      </c>
      <c r="O12" s="894">
        <f t="shared" si="2"/>
        <v>3.2620416532492522E-2</v>
      </c>
      <c r="P12" s="20">
        <f t="shared" si="3"/>
        <v>15.289912527739208</v>
      </c>
      <c r="Q12" s="895">
        <f t="shared" si="4"/>
        <v>14.393766810583466</v>
      </c>
      <c r="R12" s="895">
        <f t="shared" si="5"/>
        <v>16.186058244894948</v>
      </c>
      <c r="S12" s="942">
        <f t="shared" si="6"/>
        <v>864726.45710414089</v>
      </c>
      <c r="T12" s="941">
        <f t="shared" si="7"/>
        <v>747751845615.87964</v>
      </c>
      <c r="U12" s="935">
        <f t="shared" si="8"/>
        <v>4368422.5428958563</v>
      </c>
      <c r="V12" s="935">
        <f t="shared" si="9"/>
        <v>1782926.7447000945</v>
      </c>
      <c r="W12" s="935">
        <f t="shared" si="10"/>
        <v>10703252.710750399</v>
      </c>
      <c r="X12" s="896">
        <f t="shared" si="11"/>
        <v>-0.16524017510377428</v>
      </c>
      <c r="Y12" s="897">
        <f t="shared" si="12"/>
        <v>13.643844034157651</v>
      </c>
      <c r="Z12" s="897">
        <f t="shared" si="13"/>
        <v>15.308085021020981</v>
      </c>
      <c r="AA12" s="898">
        <f t="shared" si="14"/>
        <v>15.470523758100148</v>
      </c>
      <c r="AB12" s="899">
        <f t="shared" si="15"/>
        <v>14.411939303865239</v>
      </c>
      <c r="AC12" s="900">
        <f t="shared" si="16"/>
        <v>16.204230738176722</v>
      </c>
      <c r="AD12" s="901"/>
      <c r="AE12" s="902">
        <f t="shared" si="17"/>
        <v>1969</v>
      </c>
      <c r="AF12" s="12"/>
      <c r="AG12" s="12"/>
      <c r="AH12" s="12"/>
      <c r="AI12" s="12"/>
      <c r="AJ12" s="12"/>
      <c r="AK12" s="12"/>
      <c r="AL12" s="12"/>
      <c r="AM12" s="12"/>
      <c r="AN12" s="12"/>
      <c r="AO12" s="12"/>
    </row>
    <row r="13" spans="1:41" ht="15.75" customHeight="1">
      <c r="A13" s="1063">
        <v>1969</v>
      </c>
      <c r="B13" s="957">
        <f t="shared" si="0"/>
        <v>1971</v>
      </c>
      <c r="C13" s="951">
        <f>VLOOKUP(A13,'Esc-Return_Regression'!$A$11:$E$40,4,FALSE)</f>
        <v>12.910580053660754</v>
      </c>
      <c r="D13" s="952">
        <f>VLOOKUP($A13,'Esc-Return_Regression'!$A$11:$H$40,6,FALSE)</f>
        <v>15.94653763882399</v>
      </c>
      <c r="E13" s="146">
        <v>26</v>
      </c>
      <c r="F13" s="146">
        <v>24</v>
      </c>
      <c r="G13" s="893">
        <v>-0.13989792727904948</v>
      </c>
      <c r="H13" s="893">
        <v>1.1107728382591198</v>
      </c>
      <c r="I13" s="146">
        <v>0.24428302890891918</v>
      </c>
      <c r="J13" s="148">
        <v>14.200823722497285</v>
      </c>
      <c r="K13" s="146">
        <v>0.57166395986644125</v>
      </c>
      <c r="L13" s="934">
        <v>0.46279732220641256</v>
      </c>
      <c r="M13" s="893">
        <v>48.656073679463283</v>
      </c>
      <c r="N13" s="811">
        <f t="shared" si="1"/>
        <v>1.7457139163267055</v>
      </c>
      <c r="O13" s="894">
        <f t="shared" si="2"/>
        <v>3.0475170776567237</v>
      </c>
      <c r="P13" s="20">
        <f t="shared" si="3"/>
        <v>14.200823722497285</v>
      </c>
      <c r="Q13" s="895">
        <f t="shared" si="4"/>
        <v>13.304678005341543</v>
      </c>
      <c r="R13" s="895">
        <f t="shared" si="5"/>
        <v>15.096969439653027</v>
      </c>
      <c r="S13" s="942">
        <f t="shared" si="6"/>
        <v>6953439.3754046205</v>
      </c>
      <c r="T13" s="941">
        <f t="shared" si="7"/>
        <v>48350319147427.398</v>
      </c>
      <c r="U13" s="935">
        <f t="shared" si="8"/>
        <v>1470074.6245953736</v>
      </c>
      <c r="V13" s="935">
        <f t="shared" si="9"/>
        <v>599995.8427003586</v>
      </c>
      <c r="W13" s="935">
        <f t="shared" si="10"/>
        <v>3601890.6266963989</v>
      </c>
      <c r="X13" s="896">
        <f t="shared" si="11"/>
        <v>-0.82547964844655386</v>
      </c>
      <c r="Y13" s="897">
        <f t="shared" si="12"/>
        <v>12.910580053660754</v>
      </c>
      <c r="Z13" s="897">
        <f t="shared" si="13"/>
        <v>14.734313505450798</v>
      </c>
      <c r="AA13" s="898">
        <f t="shared" si="14"/>
        <v>15.94653763882399</v>
      </c>
      <c r="AB13" s="899">
        <f t="shared" si="15"/>
        <v>13.838167788295056</v>
      </c>
      <c r="AC13" s="900">
        <f t="shared" si="16"/>
        <v>15.63045922260654</v>
      </c>
      <c r="AD13" s="901"/>
      <c r="AE13" s="902">
        <f t="shared" si="17"/>
        <v>1971</v>
      </c>
      <c r="AF13" s="12"/>
      <c r="AG13" s="12"/>
      <c r="AH13" s="12"/>
      <c r="AI13" s="12"/>
      <c r="AJ13" s="12"/>
      <c r="AK13" s="12"/>
      <c r="AL13" s="12"/>
      <c r="AM13" s="12"/>
      <c r="AN13" s="12"/>
      <c r="AO13" s="12"/>
    </row>
    <row r="14" spans="1:41" ht="15.75" customHeight="1">
      <c r="A14" s="1063">
        <v>1971</v>
      </c>
      <c r="B14" s="957">
        <f t="shared" si="0"/>
        <v>1973</v>
      </c>
      <c r="C14" s="951">
        <f>VLOOKUP(A14,'Esc-Return_Regression'!$A$11:$E$40,4,FALSE)</f>
        <v>13.922165235832814</v>
      </c>
      <c r="D14" s="952">
        <f>VLOOKUP($A14,'Esc-Return_Regression'!$A$11:$H$40,6,FALSE)</f>
        <v>15.959800026035939</v>
      </c>
      <c r="E14" s="146">
        <v>26</v>
      </c>
      <c r="F14" s="146">
        <v>24</v>
      </c>
      <c r="G14" s="893">
        <v>4.2518059378804232</v>
      </c>
      <c r="H14" s="893">
        <v>0.80780691207716626</v>
      </c>
      <c r="I14" s="146">
        <v>0.2341887978046365</v>
      </c>
      <c r="J14" s="148">
        <v>15.498227246466602</v>
      </c>
      <c r="K14" s="146">
        <v>0.63767474562822846</v>
      </c>
      <c r="L14" s="934">
        <v>0.33144363416866646</v>
      </c>
      <c r="M14" s="893">
        <v>48.744580437694815</v>
      </c>
      <c r="N14" s="811">
        <f t="shared" si="1"/>
        <v>0.4615727795693374</v>
      </c>
      <c r="O14" s="894">
        <f t="shared" si="2"/>
        <v>0.21304943083936415</v>
      </c>
      <c r="P14" s="20">
        <f t="shared" si="3"/>
        <v>15.498227246466602</v>
      </c>
      <c r="Q14" s="895">
        <f t="shared" si="4"/>
        <v>14.60208152931086</v>
      </c>
      <c r="R14" s="895">
        <f t="shared" si="5"/>
        <v>16.394372963622342</v>
      </c>
      <c r="S14" s="942">
        <f t="shared" si="6"/>
        <v>3155821.666755355</v>
      </c>
      <c r="T14" s="941">
        <f t="shared" si="7"/>
        <v>9959210392362.5469</v>
      </c>
      <c r="U14" s="935">
        <f t="shared" si="8"/>
        <v>5380152.3332446506</v>
      </c>
      <c r="V14" s="935">
        <f t="shared" si="9"/>
        <v>2195853.85601083</v>
      </c>
      <c r="W14" s="935">
        <f t="shared" si="10"/>
        <v>13182133.706067115</v>
      </c>
      <c r="X14" s="896">
        <f t="shared" si="11"/>
        <v>-0.36970844413951504</v>
      </c>
      <c r="Y14" s="897">
        <f t="shared" si="12"/>
        <v>13.922165235832814</v>
      </c>
      <c r="Z14" s="897">
        <f t="shared" si="13"/>
        <v>15.525868495933054</v>
      </c>
      <c r="AA14" s="898">
        <f t="shared" si="14"/>
        <v>15.959800026035939</v>
      </c>
      <c r="AB14" s="899">
        <f t="shared" si="15"/>
        <v>14.629722778777312</v>
      </c>
      <c r="AC14" s="900">
        <f t="shared" si="16"/>
        <v>16.422014213088794</v>
      </c>
      <c r="AD14" s="901"/>
      <c r="AE14" s="902">
        <f t="shared" si="17"/>
        <v>1973</v>
      </c>
      <c r="AF14" s="12"/>
      <c r="AG14" s="12"/>
      <c r="AH14" s="12"/>
      <c r="AI14" s="12"/>
      <c r="AJ14" s="12"/>
      <c r="AK14" s="12"/>
      <c r="AL14" s="12"/>
      <c r="AM14" s="12"/>
      <c r="AN14" s="12"/>
      <c r="AO14" s="12"/>
    </row>
    <row r="15" spans="1:41" ht="15.75" customHeight="1">
      <c r="A15" s="1063">
        <v>1973</v>
      </c>
      <c r="B15" s="957">
        <f t="shared" si="0"/>
        <v>1975</v>
      </c>
      <c r="C15" s="951">
        <f>VLOOKUP(A15,'Esc-Return_Regression'!$A$11:$E$40,4,FALSE)</f>
        <v>14.018459565192952</v>
      </c>
      <c r="D15" s="952">
        <f>VLOOKUP($A15,'Esc-Return_Regression'!$A$11:$H$40,6,FALSE)</f>
        <v>15.016209408748322</v>
      </c>
      <c r="E15" s="146">
        <v>26</v>
      </c>
      <c r="F15" s="146">
        <v>24</v>
      </c>
      <c r="G15" s="893">
        <v>5.0273038517492363</v>
      </c>
      <c r="H15" s="893">
        <v>0.75650649366565581</v>
      </c>
      <c r="I15" s="146">
        <v>0.23111362748135264</v>
      </c>
      <c r="J15" s="148">
        <v>15.63235954400713</v>
      </c>
      <c r="K15" s="146">
        <v>0.63242047990035011</v>
      </c>
      <c r="L15" s="934">
        <v>0.3086473744732714</v>
      </c>
      <c r="M15" s="893">
        <v>48.752031131714418</v>
      </c>
      <c r="N15" s="811">
        <f t="shared" si="1"/>
        <v>-0.61615013525880791</v>
      </c>
      <c r="O15" s="894">
        <f t="shared" si="2"/>
        <v>0.37964098917944727</v>
      </c>
      <c r="P15" s="20">
        <f t="shared" si="3"/>
        <v>15.63235954400713</v>
      </c>
      <c r="Q15" s="895">
        <f t="shared" si="4"/>
        <v>14.736213826851388</v>
      </c>
      <c r="R15" s="895">
        <f t="shared" si="5"/>
        <v>16.52850526116287</v>
      </c>
      <c r="S15" s="942">
        <f t="shared" si="6"/>
        <v>-2830003.4454581994</v>
      </c>
      <c r="T15" s="941">
        <f t="shared" si="7"/>
        <v>8008919501305.2793</v>
      </c>
      <c r="U15" s="935">
        <f t="shared" si="8"/>
        <v>6152441.4454581989</v>
      </c>
      <c r="V15" s="935">
        <f t="shared" si="9"/>
        <v>2511055.7164731305</v>
      </c>
      <c r="W15" s="935">
        <f t="shared" si="10"/>
        <v>15074351.194786301</v>
      </c>
      <c r="X15" s="896">
        <f t="shared" si="11"/>
        <v>0.85178517867246872</v>
      </c>
      <c r="Y15" s="897">
        <f t="shared" si="12"/>
        <v>14.018459565192952</v>
      </c>
      <c r="Z15" s="897">
        <f t="shared" si="13"/>
        <v>15.601217817278879</v>
      </c>
      <c r="AA15" s="898">
        <f t="shared" si="14"/>
        <v>15.016209408748322</v>
      </c>
      <c r="AB15" s="899">
        <f t="shared" si="15"/>
        <v>14.705072100123138</v>
      </c>
      <c r="AC15" s="900">
        <f t="shared" si="16"/>
        <v>16.497363534434619</v>
      </c>
      <c r="AD15" s="901"/>
      <c r="AE15" s="902">
        <f t="shared" si="17"/>
        <v>1975</v>
      </c>
      <c r="AF15" s="12"/>
      <c r="AG15" s="12"/>
      <c r="AH15" s="12"/>
      <c r="AI15" s="12"/>
      <c r="AJ15" s="12"/>
      <c r="AK15" s="12"/>
      <c r="AL15" s="12"/>
      <c r="AM15" s="12"/>
      <c r="AN15" s="12"/>
      <c r="AO15" s="12"/>
    </row>
    <row r="16" spans="1:41" ht="15.75" customHeight="1">
      <c r="A16" s="1063">
        <v>1975</v>
      </c>
      <c r="B16" s="957">
        <f t="shared" si="0"/>
        <v>1977</v>
      </c>
      <c r="C16" s="951">
        <f>VLOOKUP(A16,'Esc-Return_Regression'!$A$11:$E$40,4,FALSE)</f>
        <v>14.051025269933481</v>
      </c>
      <c r="D16" s="952">
        <f>VLOOKUP($A16,'Esc-Return_Regression'!$A$11:$H$40,6,FALSE)</f>
        <v>15.576192243549105</v>
      </c>
      <c r="E16" s="146">
        <v>26</v>
      </c>
      <c r="F16" s="146">
        <v>24</v>
      </c>
      <c r="G16" s="893">
        <v>4.6626986607684326</v>
      </c>
      <c r="H16" s="893">
        <v>0.78048002159529573</v>
      </c>
      <c r="I16" s="146">
        <v>0.23505879853461945</v>
      </c>
      <c r="J16" s="148">
        <v>15.629243166882162</v>
      </c>
      <c r="K16" s="146">
        <v>0.64409851215743807</v>
      </c>
      <c r="L16" s="934">
        <v>0.31477116714606379</v>
      </c>
      <c r="M16" s="893">
        <v>48.752808139250369</v>
      </c>
      <c r="N16" s="811">
        <f t="shared" si="1"/>
        <v>-5.3050923333056943E-2</v>
      </c>
      <c r="O16" s="894">
        <f t="shared" si="2"/>
        <v>2.8144004664898857E-3</v>
      </c>
      <c r="P16" s="20">
        <f t="shared" si="3"/>
        <v>15.629243166882162</v>
      </c>
      <c r="Q16" s="895">
        <f t="shared" si="4"/>
        <v>14.73309744972642</v>
      </c>
      <c r="R16" s="895">
        <f t="shared" si="5"/>
        <v>16.525388884037902</v>
      </c>
      <c r="S16" s="942">
        <f t="shared" si="6"/>
        <v>-316896.96232448425</v>
      </c>
      <c r="T16" s="941">
        <f t="shared" si="7"/>
        <v>100423684730.4856</v>
      </c>
      <c r="U16" s="935">
        <f t="shared" si="8"/>
        <v>6133297.9623244805</v>
      </c>
      <c r="V16" s="935">
        <f t="shared" si="9"/>
        <v>2503242.5006656698</v>
      </c>
      <c r="W16" s="935">
        <f t="shared" si="10"/>
        <v>15027446.955159254</v>
      </c>
      <c r="X16" s="896">
        <f t="shared" si="11"/>
        <v>5.448334155854874E-2</v>
      </c>
      <c r="Y16" s="897">
        <f t="shared" si="12"/>
        <v>14.051025269933481</v>
      </c>
      <c r="Z16" s="897">
        <f t="shared" si="13"/>
        <v>15.626700145964822</v>
      </c>
      <c r="AA16" s="898">
        <f t="shared" si="14"/>
        <v>15.576192243549105</v>
      </c>
      <c r="AB16" s="899">
        <f t="shared" si="15"/>
        <v>14.73055442880908</v>
      </c>
      <c r="AC16" s="900">
        <f t="shared" si="16"/>
        <v>16.522845863120562</v>
      </c>
      <c r="AD16" s="901"/>
      <c r="AE16" s="902">
        <f t="shared" si="17"/>
        <v>1977</v>
      </c>
      <c r="AF16" s="12"/>
      <c r="AG16" s="12"/>
      <c r="AH16" s="12"/>
      <c r="AI16" s="12"/>
      <c r="AJ16" s="12"/>
      <c r="AK16" s="12"/>
      <c r="AL16" s="12"/>
      <c r="AM16" s="12"/>
      <c r="AN16" s="12"/>
      <c r="AO16" s="12"/>
    </row>
    <row r="17" spans="1:41" ht="15.75" customHeight="1">
      <c r="A17" s="1063">
        <v>1977</v>
      </c>
      <c r="B17" s="957">
        <f t="shared" si="0"/>
        <v>1979</v>
      </c>
      <c r="C17" s="951">
        <f>VLOOKUP(A17,'Esc-Return_Regression'!$A$11:$E$40,4,FALSE)</f>
        <v>14.23268484528419</v>
      </c>
      <c r="D17" s="952">
        <f>VLOOKUP($A17,'Esc-Return_Regression'!$A$11:$H$40,6,FALSE)</f>
        <v>16.668267153121018</v>
      </c>
      <c r="E17" s="146">
        <v>26</v>
      </c>
      <c r="F17" s="146">
        <v>24</v>
      </c>
      <c r="G17" s="893">
        <v>4.4099961316882315</v>
      </c>
      <c r="H17" s="893">
        <v>0.79555049884055995</v>
      </c>
      <c r="I17" s="146">
        <v>0.22383679479330729</v>
      </c>
      <c r="J17" s="148">
        <v>15.732815660194547</v>
      </c>
      <c r="K17" s="146">
        <v>0.61637464618025806</v>
      </c>
      <c r="L17" s="934">
        <v>0.34483534108409647</v>
      </c>
      <c r="M17" s="893">
        <v>48.666530060154919</v>
      </c>
      <c r="N17" s="811">
        <f t="shared" si="1"/>
        <v>0.93545149292647167</v>
      </c>
      <c r="O17" s="894">
        <f t="shared" si="2"/>
        <v>0.87506949561836467</v>
      </c>
      <c r="P17" s="20">
        <f t="shared" si="3"/>
        <v>15.732815660194547</v>
      </c>
      <c r="Q17" s="895">
        <f t="shared" si="4"/>
        <v>14.836669943038805</v>
      </c>
      <c r="R17" s="895">
        <f t="shared" si="5"/>
        <v>16.628961377350286</v>
      </c>
      <c r="S17" s="942">
        <f t="shared" si="6"/>
        <v>10532901.570193361</v>
      </c>
      <c r="T17" s="941">
        <f t="shared" si="7"/>
        <v>110942015487381.78</v>
      </c>
      <c r="U17" s="935">
        <f t="shared" si="8"/>
        <v>6802601.4298066283</v>
      </c>
      <c r="V17" s="935">
        <f t="shared" si="9"/>
        <v>2776411.8291307162</v>
      </c>
      <c r="W17" s="935">
        <f t="shared" si="10"/>
        <v>16667335.057168284</v>
      </c>
      <c r="X17" s="896">
        <f t="shared" si="11"/>
        <v>-0.60759134420232097</v>
      </c>
      <c r="Y17" s="897">
        <f t="shared" si="12"/>
        <v>14.23268484528419</v>
      </c>
      <c r="Z17" s="897">
        <f t="shared" si="13"/>
        <v>15.768846893437921</v>
      </c>
      <c r="AA17" s="898">
        <f t="shared" si="14"/>
        <v>16.668267153121018</v>
      </c>
      <c r="AB17" s="899">
        <f t="shared" si="15"/>
        <v>14.872701176282179</v>
      </c>
      <c r="AC17" s="900">
        <f t="shared" si="16"/>
        <v>16.664992610593661</v>
      </c>
      <c r="AD17" s="901"/>
      <c r="AE17" s="902">
        <f t="shared" si="17"/>
        <v>1979</v>
      </c>
      <c r="AF17" s="12"/>
      <c r="AG17" s="12"/>
      <c r="AH17" s="12"/>
      <c r="AI17" s="12"/>
      <c r="AJ17" s="12"/>
      <c r="AK17" s="12"/>
      <c r="AL17" s="12"/>
      <c r="AM17" s="12"/>
      <c r="AN17" s="12"/>
      <c r="AO17" s="12"/>
    </row>
    <row r="18" spans="1:41" ht="15.75" customHeight="1">
      <c r="A18" s="1063">
        <v>1979</v>
      </c>
      <c r="B18" s="957">
        <f t="shared" si="0"/>
        <v>1981</v>
      </c>
      <c r="C18" s="951">
        <f>VLOOKUP(A18,'Esc-Return_Regression'!$A$11:$E$40,4,FALSE)</f>
        <v>14.88090278682629</v>
      </c>
      <c r="D18" s="952">
        <f>VLOOKUP($A18,'Esc-Return_Regression'!$A$11:$H$40,6,FALSE)</f>
        <v>16.789450391857873</v>
      </c>
      <c r="E18" s="146">
        <v>26</v>
      </c>
      <c r="F18" s="146">
        <v>24</v>
      </c>
      <c r="G18" s="893">
        <v>5.1799485656407054</v>
      </c>
      <c r="H18" s="893">
        <v>0.7428346024418373</v>
      </c>
      <c r="I18" s="146">
        <v>0.23516034594854204</v>
      </c>
      <c r="J18" s="148">
        <v>16.233998071268442</v>
      </c>
      <c r="K18" s="146">
        <v>0.63489602243275089</v>
      </c>
      <c r="L18" s="934">
        <v>0.29366660797589295</v>
      </c>
      <c r="M18" s="893">
        <v>48.594487145461692</v>
      </c>
      <c r="N18" s="811">
        <f t="shared" si="1"/>
        <v>0.55545232058943128</v>
      </c>
      <c r="O18" s="894">
        <f t="shared" si="2"/>
        <v>0.30852728044818434</v>
      </c>
      <c r="P18" s="20">
        <f t="shared" si="3"/>
        <v>16.233998071268442</v>
      </c>
      <c r="Q18" s="895">
        <f t="shared" si="4"/>
        <v>15.3378523541127</v>
      </c>
      <c r="R18" s="895">
        <f t="shared" si="5"/>
        <v>17.130143788424181</v>
      </c>
      <c r="S18" s="942">
        <f t="shared" si="6"/>
        <v>8340003.0410939008</v>
      </c>
      <c r="T18" s="941">
        <f t="shared" si="7"/>
        <v>69555650725455.516</v>
      </c>
      <c r="U18" s="935">
        <f t="shared" si="8"/>
        <v>11228862.958906122</v>
      </c>
      <c r="V18" s="935">
        <f t="shared" si="9"/>
        <v>4582944.9613485448</v>
      </c>
      <c r="W18" s="935">
        <f t="shared" si="10"/>
        <v>27512301.459712964</v>
      </c>
      <c r="X18" s="896">
        <f t="shared" si="11"/>
        <v>-0.42618734479013198</v>
      </c>
      <c r="Y18" s="897">
        <f t="shared" si="12"/>
        <v>14.88090278682629</v>
      </c>
      <c r="Z18" s="897">
        <f t="shared" si="13"/>
        <v>16.276070759099994</v>
      </c>
      <c r="AA18" s="898">
        <f t="shared" si="14"/>
        <v>16.789450391857873</v>
      </c>
      <c r="AB18" s="899">
        <f t="shared" si="15"/>
        <v>15.379925041944253</v>
      </c>
      <c r="AC18" s="900">
        <f t="shared" si="16"/>
        <v>17.172216476255734</v>
      </c>
      <c r="AD18" s="901"/>
      <c r="AE18" s="902">
        <f t="shared" si="17"/>
        <v>1981</v>
      </c>
      <c r="AF18" s="12"/>
      <c r="AG18" s="12"/>
      <c r="AH18" s="12"/>
      <c r="AI18" s="12"/>
      <c r="AJ18" s="12"/>
      <c r="AK18" s="12"/>
      <c r="AL18" s="12"/>
      <c r="AM18" s="12"/>
      <c r="AN18" s="12"/>
      <c r="AO18" s="12"/>
    </row>
    <row r="19" spans="1:41" ht="15.75" customHeight="1">
      <c r="A19" s="1063">
        <v>1981</v>
      </c>
      <c r="B19" s="957">
        <f t="shared" si="0"/>
        <v>1983</v>
      </c>
      <c r="C19" s="951">
        <f>VLOOKUP(A19,'Esc-Return_Regression'!$A$11:$E$40,4,FALSE)</f>
        <v>14.588539971783964</v>
      </c>
      <c r="D19" s="952">
        <f>VLOOKUP($A19,'Esc-Return_Regression'!$A$11:$H$40,6,FALSE)</f>
        <v>16.263696859413287</v>
      </c>
      <c r="E19" s="146">
        <v>26</v>
      </c>
      <c r="F19" s="146">
        <v>24</v>
      </c>
      <c r="G19" s="893">
        <v>4.7304307436677977</v>
      </c>
      <c r="H19" s="893">
        <v>0.77503382121892594</v>
      </c>
      <c r="I19" s="146">
        <v>0.23418140625481509</v>
      </c>
      <c r="J19" s="148">
        <v>16.037042624004563</v>
      </c>
      <c r="K19" s="146">
        <v>0.64259699775468493</v>
      </c>
      <c r="L19" s="934">
        <v>0.31336534564689411</v>
      </c>
      <c r="M19" s="893">
        <v>48.562944416936951</v>
      </c>
      <c r="N19" s="811">
        <f t="shared" si="1"/>
        <v>0.22665423540872354</v>
      </c>
      <c r="O19" s="894">
        <f t="shared" si="2"/>
        <v>5.1372142428713068E-2</v>
      </c>
      <c r="P19" s="20">
        <f t="shared" si="3"/>
        <v>16.037042624004563</v>
      </c>
      <c r="Q19" s="895">
        <f t="shared" si="4"/>
        <v>15.140896906848822</v>
      </c>
      <c r="R19" s="895">
        <f t="shared" si="5"/>
        <v>16.933188341160303</v>
      </c>
      <c r="S19" s="942">
        <f t="shared" si="6"/>
        <v>2345900.083811054</v>
      </c>
      <c r="T19" s="941">
        <f t="shared" si="7"/>
        <v>5503247203224.71</v>
      </c>
      <c r="U19" s="935">
        <f t="shared" si="8"/>
        <v>9221447.9161889311</v>
      </c>
      <c r="V19" s="935">
        <f t="shared" si="9"/>
        <v>3763639.1519336035</v>
      </c>
      <c r="W19" s="935">
        <f t="shared" si="10"/>
        <v>22593850.855042111</v>
      </c>
      <c r="X19" s="896">
        <f t="shared" si="11"/>
        <v>-0.20280362307860514</v>
      </c>
      <c r="Y19" s="897">
        <f t="shared" si="12"/>
        <v>14.588539971783964</v>
      </c>
      <c r="Z19" s="897">
        <f t="shared" si="13"/>
        <v>16.047299866290661</v>
      </c>
      <c r="AA19" s="898">
        <f t="shared" si="14"/>
        <v>16.263696859413287</v>
      </c>
      <c r="AB19" s="899">
        <f t="shared" si="15"/>
        <v>15.15115414913492</v>
      </c>
      <c r="AC19" s="900">
        <f t="shared" si="16"/>
        <v>16.943445583446401</v>
      </c>
      <c r="AD19" s="901"/>
      <c r="AE19" s="902">
        <f t="shared" si="17"/>
        <v>1983</v>
      </c>
      <c r="AF19" s="12"/>
      <c r="AG19" s="12"/>
      <c r="AH19" s="12"/>
      <c r="AI19" s="12"/>
      <c r="AJ19" s="12"/>
      <c r="AK19" s="12"/>
      <c r="AL19" s="12"/>
      <c r="AM19" s="12"/>
      <c r="AN19" s="12"/>
      <c r="AO19" s="12"/>
    </row>
    <row r="20" spans="1:41" ht="15.75" customHeight="1">
      <c r="A20" s="1063">
        <v>1983</v>
      </c>
      <c r="B20" s="957">
        <f t="shared" si="0"/>
        <v>1985</v>
      </c>
      <c r="C20" s="951">
        <f>VLOOKUP(A20,'Esc-Return_Regression'!$A$11:$E$40,4,FALSE)</f>
        <v>14.51020953386678</v>
      </c>
      <c r="D20" s="952">
        <f>VLOOKUP($A20,'Esc-Return_Regression'!$A$11:$H$40,6,FALSE)</f>
        <v>16.808143282876529</v>
      </c>
      <c r="E20" s="146">
        <v>26</v>
      </c>
      <c r="F20" s="146">
        <v>24</v>
      </c>
      <c r="G20" s="893">
        <v>4.8777194505518136</v>
      </c>
      <c r="H20" s="893">
        <v>0.76313300854288235</v>
      </c>
      <c r="I20" s="146">
        <v>0.22578859886024877</v>
      </c>
      <c r="J20" s="148">
        <v>15.950939306719183</v>
      </c>
      <c r="K20" s="146">
        <v>0.62097539306487781</v>
      </c>
      <c r="L20" s="934">
        <v>0.32248229092716751</v>
      </c>
      <c r="M20" s="893">
        <v>48.462847027021198</v>
      </c>
      <c r="N20" s="811">
        <f t="shared" si="1"/>
        <v>0.85720397615734534</v>
      </c>
      <c r="O20" s="894">
        <f t="shared" si="2"/>
        <v>0.7347986567399627</v>
      </c>
      <c r="P20" s="20">
        <f t="shared" si="3"/>
        <v>15.950939306719183</v>
      </c>
      <c r="Q20" s="895">
        <f t="shared" si="4"/>
        <v>15.054793589563442</v>
      </c>
      <c r="R20" s="895">
        <f t="shared" si="5"/>
        <v>16.847085023874925</v>
      </c>
      <c r="S20" s="942">
        <f t="shared" si="6"/>
        <v>11477431.767556937</v>
      </c>
      <c r="T20" s="941">
        <f t="shared" si="7"/>
        <v>131731439978925.17</v>
      </c>
      <c r="U20" s="935">
        <f t="shared" si="8"/>
        <v>8460673.2324430626</v>
      </c>
      <c r="V20" s="935">
        <f t="shared" si="9"/>
        <v>3453136.7870588694</v>
      </c>
      <c r="W20" s="935">
        <f t="shared" si="10"/>
        <v>20729845.343644127</v>
      </c>
      <c r="X20" s="896">
        <f t="shared" si="11"/>
        <v>-0.57565309078053994</v>
      </c>
      <c r="Y20" s="897">
        <f t="shared" si="12"/>
        <v>14.51020953386678</v>
      </c>
      <c r="Z20" s="897">
        <f t="shared" si="13"/>
        <v>15.986007105055393</v>
      </c>
      <c r="AA20" s="898">
        <f t="shared" si="14"/>
        <v>16.808143282876529</v>
      </c>
      <c r="AB20" s="899">
        <f t="shared" si="15"/>
        <v>15.089861387899651</v>
      </c>
      <c r="AC20" s="900">
        <f t="shared" si="16"/>
        <v>16.882152822211133</v>
      </c>
      <c r="AD20" s="901"/>
      <c r="AE20" s="902">
        <f t="shared" si="17"/>
        <v>1985</v>
      </c>
      <c r="AF20" s="12"/>
      <c r="AG20" s="12"/>
      <c r="AH20" s="12"/>
      <c r="AI20" s="12"/>
      <c r="AJ20" s="12"/>
      <c r="AK20" s="12"/>
      <c r="AL20" s="12"/>
      <c r="AM20" s="12"/>
      <c r="AN20" s="12"/>
      <c r="AO20" s="12"/>
    </row>
    <row r="21" spans="1:41" ht="15.75" customHeight="1">
      <c r="A21" s="1063">
        <v>1985</v>
      </c>
      <c r="B21" s="957">
        <f t="shared" si="0"/>
        <v>1987</v>
      </c>
      <c r="C21" s="951">
        <f>VLOOKUP(A21,'Esc-Return_Regression'!$A$11:$E$40,4,FALSE)</f>
        <v>14.669073182246173</v>
      </c>
      <c r="D21" s="952">
        <f>VLOOKUP($A21,'Esc-Return_Regression'!$A$11:$H$40,6,FALSE)</f>
        <v>16.385596240357142</v>
      </c>
      <c r="E21" s="146">
        <v>26</v>
      </c>
      <c r="F21" s="146">
        <v>24</v>
      </c>
      <c r="G21" s="893">
        <v>4.8021746668946257</v>
      </c>
      <c r="H21" s="893">
        <v>0.76986617616541797</v>
      </c>
      <c r="I21" s="146">
        <v>0.23457377943792929</v>
      </c>
      <c r="J21" s="148">
        <v>16.095397945601164</v>
      </c>
      <c r="K21" s="146">
        <v>0.64159641893188835</v>
      </c>
      <c r="L21" s="934">
        <v>0.30977727775092695</v>
      </c>
      <c r="M21" s="893">
        <v>48.442519531886582</v>
      </c>
      <c r="N21" s="811">
        <f t="shared" si="1"/>
        <v>0.29019829475597803</v>
      </c>
      <c r="O21" s="894">
        <f t="shared" si="2"/>
        <v>8.4215050279277504E-2</v>
      </c>
      <c r="P21" s="20">
        <f t="shared" si="3"/>
        <v>16.095397945601164</v>
      </c>
      <c r="Q21" s="895">
        <f t="shared" si="4"/>
        <v>15.199252228445422</v>
      </c>
      <c r="R21" s="895">
        <f t="shared" si="5"/>
        <v>16.991543662756904</v>
      </c>
      <c r="S21" s="942">
        <f t="shared" si="6"/>
        <v>3291364.5035660211</v>
      </c>
      <c r="T21" s="941">
        <f t="shared" si="7"/>
        <v>10833080295334.4</v>
      </c>
      <c r="U21" s="935">
        <f t="shared" si="8"/>
        <v>9775579.4964339901</v>
      </c>
      <c r="V21" s="935">
        <f t="shared" si="9"/>
        <v>3989802.2588218185</v>
      </c>
      <c r="W21" s="935">
        <f t="shared" si="10"/>
        <v>23951551.55366515</v>
      </c>
      <c r="X21" s="896">
        <f t="shared" si="11"/>
        <v>-0.25188479445278239</v>
      </c>
      <c r="Y21" s="897">
        <f t="shared" si="12"/>
        <v>14.669073182246173</v>
      </c>
      <c r="Z21" s="897">
        <f t="shared" si="13"/>
        <v>16.110316274364219</v>
      </c>
      <c r="AA21" s="898">
        <f t="shared" si="14"/>
        <v>16.385596240357142</v>
      </c>
      <c r="AB21" s="899">
        <f t="shared" si="15"/>
        <v>15.214170557208478</v>
      </c>
      <c r="AC21" s="900">
        <f t="shared" si="16"/>
        <v>17.006461991519959</v>
      </c>
      <c r="AD21" s="901"/>
      <c r="AE21" s="902">
        <f t="shared" si="17"/>
        <v>1987</v>
      </c>
      <c r="AF21" s="12"/>
      <c r="AG21" s="12"/>
      <c r="AH21" s="12"/>
      <c r="AI21" s="12"/>
      <c r="AJ21" s="12"/>
      <c r="AK21" s="12"/>
      <c r="AL21" s="12"/>
      <c r="AM21" s="12"/>
      <c r="AN21" s="12"/>
      <c r="AO21" s="12"/>
    </row>
    <row r="22" spans="1:41" ht="15.75" customHeight="1">
      <c r="A22" s="1063">
        <v>1987</v>
      </c>
      <c r="B22" s="957">
        <f t="shared" si="0"/>
        <v>1989</v>
      </c>
      <c r="C22" s="951">
        <f>VLOOKUP(A22,'Esc-Return_Regression'!$A$11:$E$40,4,FALSE)</f>
        <v>14.131938238026784</v>
      </c>
      <c r="D22" s="952">
        <f>VLOOKUP($A22,'Esc-Return_Regression'!$A$11:$H$40,6,FALSE)</f>
        <v>15.372338520126076</v>
      </c>
      <c r="E22" s="146">
        <v>26</v>
      </c>
      <c r="F22" s="146">
        <v>24</v>
      </c>
      <c r="G22" s="893">
        <v>4.7737598331519546</v>
      </c>
      <c r="H22" s="893">
        <v>0.77345457585176292</v>
      </c>
      <c r="I22" s="146">
        <v>0.23319864441601829</v>
      </c>
      <c r="J22" s="148">
        <v>15.704172129008271</v>
      </c>
      <c r="K22" s="146">
        <v>0.64076691116697426</v>
      </c>
      <c r="L22" s="934">
        <v>0.31429806958753759</v>
      </c>
      <c r="M22" s="893">
        <v>48.44575256005016</v>
      </c>
      <c r="N22" s="811">
        <f t="shared" si="1"/>
        <v>-0.33183360888219404</v>
      </c>
      <c r="O22" s="894">
        <f t="shared" si="2"/>
        <v>0.11011354398378093</v>
      </c>
      <c r="P22" s="20">
        <f t="shared" si="3"/>
        <v>15.704172129008271</v>
      </c>
      <c r="Q22" s="895">
        <f t="shared" si="4"/>
        <v>14.808026411852529</v>
      </c>
      <c r="R22" s="895">
        <f t="shared" si="5"/>
        <v>16.60031784616401</v>
      </c>
      <c r="S22" s="942">
        <f t="shared" si="6"/>
        <v>-1866765.0526279202</v>
      </c>
      <c r="T22" s="941">
        <f t="shared" si="7"/>
        <v>3484811761712.9214</v>
      </c>
      <c r="U22" s="935">
        <f t="shared" si="8"/>
        <v>6610515.0526279174</v>
      </c>
      <c r="V22" s="935">
        <f t="shared" si="9"/>
        <v>2698013.7493200931</v>
      </c>
      <c r="W22" s="935">
        <f t="shared" si="10"/>
        <v>16196696.281489465</v>
      </c>
      <c r="X22" s="896">
        <f t="shared" si="11"/>
        <v>0.39352095971076073</v>
      </c>
      <c r="Y22" s="897">
        <f t="shared" si="12"/>
        <v>14.131938238026784</v>
      </c>
      <c r="Z22" s="897">
        <f t="shared" si="13"/>
        <v>15.690013710474995</v>
      </c>
      <c r="AA22" s="898">
        <f t="shared" si="14"/>
        <v>15.372338520126076</v>
      </c>
      <c r="AB22" s="899">
        <f t="shared" si="15"/>
        <v>14.793867993319253</v>
      </c>
      <c r="AC22" s="900">
        <f t="shared" si="16"/>
        <v>16.586159427630736</v>
      </c>
      <c r="AD22" s="901"/>
      <c r="AE22" s="902">
        <f t="shared" si="17"/>
        <v>1989</v>
      </c>
      <c r="AF22" s="12"/>
      <c r="AG22" s="12"/>
      <c r="AH22" s="12"/>
      <c r="AI22" s="12"/>
      <c r="AJ22" s="12"/>
      <c r="AK22" s="12"/>
      <c r="AL22" s="12"/>
      <c r="AM22" s="12"/>
      <c r="AN22" s="12"/>
      <c r="AO22" s="12"/>
    </row>
    <row r="23" spans="1:41" ht="15.75" customHeight="1">
      <c r="A23" s="1063">
        <v>1989</v>
      </c>
      <c r="B23" s="957">
        <f t="shared" si="0"/>
        <v>1991</v>
      </c>
      <c r="C23" s="951">
        <f>VLOOKUP(A23,'Esc-Return_Regression'!$A$11:$E$40,4,FALSE)</f>
        <v>14.025508888194397</v>
      </c>
      <c r="D23" s="952">
        <f>VLOOKUP($A23,'Esc-Return_Regression'!$A$11:$H$40,6,FALSE)</f>
        <v>15.836365961207919</v>
      </c>
      <c r="E23" s="146">
        <v>26</v>
      </c>
      <c r="F23" s="146">
        <v>24</v>
      </c>
      <c r="G23" s="893">
        <v>4.4800304273810525</v>
      </c>
      <c r="H23" s="893">
        <v>0.79245816987485063</v>
      </c>
      <c r="I23" s="146">
        <v>0.23468340057983841</v>
      </c>
      <c r="J23" s="148">
        <v>15.594659532483035</v>
      </c>
      <c r="K23" s="146">
        <v>0.64238764814141669</v>
      </c>
      <c r="L23" s="934">
        <v>0.32207567458889513</v>
      </c>
      <c r="M23" s="893">
        <v>48.441291842999142</v>
      </c>
      <c r="N23" s="811">
        <f t="shared" si="1"/>
        <v>0.24170642872488379</v>
      </c>
      <c r="O23" s="894">
        <f t="shared" si="2"/>
        <v>5.842199768693733E-2</v>
      </c>
      <c r="P23" s="20">
        <f t="shared" si="3"/>
        <v>15.594659532483035</v>
      </c>
      <c r="Q23" s="895">
        <f t="shared" si="4"/>
        <v>14.698513815327294</v>
      </c>
      <c r="R23" s="895">
        <f t="shared" si="5"/>
        <v>16.490805249638775</v>
      </c>
      <c r="S23" s="942">
        <f t="shared" si="6"/>
        <v>1619963.8935976168</v>
      </c>
      <c r="T23" s="941">
        <f t="shared" si="7"/>
        <v>2624283016559.9507</v>
      </c>
      <c r="U23" s="935">
        <f t="shared" si="8"/>
        <v>5924812.106402385</v>
      </c>
      <c r="V23" s="935">
        <f t="shared" si="9"/>
        <v>2418151.1422256087</v>
      </c>
      <c r="W23" s="935">
        <f t="shared" si="10"/>
        <v>14516627.138477324</v>
      </c>
      <c r="X23" s="896">
        <f t="shared" si="11"/>
        <v>-0.21471331867210058</v>
      </c>
      <c r="Y23" s="897">
        <f t="shared" si="12"/>
        <v>14.025508888194397</v>
      </c>
      <c r="Z23" s="897">
        <f t="shared" si="13"/>
        <v>15.606733839952653</v>
      </c>
      <c r="AA23" s="898">
        <f t="shared" si="14"/>
        <v>15.836365961207919</v>
      </c>
      <c r="AB23" s="899">
        <f t="shared" si="15"/>
        <v>14.710588122796912</v>
      </c>
      <c r="AC23" s="900">
        <f t="shared" si="16"/>
        <v>16.502879557108393</v>
      </c>
      <c r="AD23" s="901"/>
      <c r="AE23" s="902">
        <f t="shared" si="17"/>
        <v>1991</v>
      </c>
      <c r="AF23" s="12"/>
      <c r="AG23" s="12"/>
      <c r="AH23" s="12"/>
      <c r="AI23" s="12"/>
      <c r="AJ23" s="12"/>
      <c r="AK23" s="12"/>
      <c r="AL23" s="12"/>
      <c r="AM23" s="12"/>
      <c r="AN23" s="12"/>
      <c r="AO23" s="12"/>
    </row>
    <row r="24" spans="1:41" ht="15.75" customHeight="1">
      <c r="A24" s="1063">
        <v>1991</v>
      </c>
      <c r="B24" s="957">
        <f t="shared" si="0"/>
        <v>1993</v>
      </c>
      <c r="C24" s="951">
        <f>VLOOKUP(A24,'Esc-Return_Regression'!$A$11:$E$40,4,FALSE)</f>
        <v>14.361196633514252</v>
      </c>
      <c r="D24" s="952">
        <f>VLOOKUP($A24,'Esc-Return_Regression'!$A$11:$H$40,6,FALSE)</f>
        <v>14.249201541526689</v>
      </c>
      <c r="E24" s="146">
        <v>26</v>
      </c>
      <c r="F24" s="146">
        <v>24</v>
      </c>
      <c r="G24" s="893">
        <v>4.6228257313376684</v>
      </c>
      <c r="H24" s="893">
        <v>0.78747004271158294</v>
      </c>
      <c r="I24" s="146">
        <v>0.19921702747941314</v>
      </c>
      <c r="J24" s="148">
        <v>15.931837857720577</v>
      </c>
      <c r="K24" s="146">
        <v>0.54898292303988205</v>
      </c>
      <c r="L24" s="934">
        <v>0.3943190965898733</v>
      </c>
      <c r="M24" s="893">
        <v>48.245257052420158</v>
      </c>
      <c r="N24" s="811">
        <f t="shared" si="1"/>
        <v>-1.6826363161938875</v>
      </c>
      <c r="O24" s="894">
        <f t="shared" si="2"/>
        <v>2.8312649725745365</v>
      </c>
      <c r="P24" s="20">
        <f t="shared" si="3"/>
        <v>15.931837857720577</v>
      </c>
      <c r="Q24" s="895">
        <f t="shared" si="4"/>
        <v>15.035692140564835</v>
      </c>
      <c r="R24" s="895">
        <f t="shared" si="5"/>
        <v>16.827983574876317</v>
      </c>
      <c r="S24" s="942">
        <f t="shared" si="6"/>
        <v>-6757653.8365019234</v>
      </c>
      <c r="T24" s="941">
        <f t="shared" si="7"/>
        <v>45665885373989.164</v>
      </c>
      <c r="U24" s="935">
        <f t="shared" si="8"/>
        <v>8300595.8365019225</v>
      </c>
      <c r="V24" s="935">
        <f t="shared" si="9"/>
        <v>3387802.8438235596</v>
      </c>
      <c r="W24" s="935">
        <f t="shared" si="10"/>
        <v>20337633.096497074</v>
      </c>
      <c r="X24" s="896">
        <f t="shared" si="11"/>
        <v>4.3797199353585086</v>
      </c>
      <c r="Y24" s="897">
        <f t="shared" si="12"/>
        <v>14.361196633514252</v>
      </c>
      <c r="Z24" s="897">
        <f t="shared" si="13"/>
        <v>15.869406044661236</v>
      </c>
      <c r="AA24" s="898">
        <f t="shared" si="14"/>
        <v>14.249201541526689</v>
      </c>
      <c r="AB24" s="899">
        <f t="shared" si="15"/>
        <v>14.973260327505495</v>
      </c>
      <c r="AC24" s="900">
        <f t="shared" si="16"/>
        <v>16.765551761816976</v>
      </c>
      <c r="AD24" s="901"/>
      <c r="AE24" s="902">
        <f t="shared" si="17"/>
        <v>1993</v>
      </c>
      <c r="AF24" s="12"/>
      <c r="AG24" s="12"/>
      <c r="AH24" s="12"/>
      <c r="AI24" s="12"/>
      <c r="AJ24" s="12"/>
      <c r="AK24" s="12"/>
      <c r="AL24" s="12"/>
      <c r="AM24" s="12"/>
      <c r="AN24" s="12"/>
      <c r="AO24" s="12"/>
    </row>
    <row r="25" spans="1:41" ht="15.75" customHeight="1">
      <c r="A25" s="1063">
        <v>1993</v>
      </c>
      <c r="B25" s="957">
        <f t="shared" si="0"/>
        <v>1995</v>
      </c>
      <c r="C25" s="951">
        <f>VLOOKUP(A25,'Esc-Return_Regression'!$A$11:$E$40,4,FALSE)</f>
        <v>13.879086115601284</v>
      </c>
      <c r="D25" s="952">
        <f>VLOOKUP($A25,'Esc-Return_Regression'!$A$11:$H$40,6,FALSE)</f>
        <v>15.185220148927955</v>
      </c>
      <c r="E25" s="146">
        <v>26</v>
      </c>
      <c r="F25" s="146">
        <v>24</v>
      </c>
      <c r="G25" s="893">
        <v>4.9289132430273472</v>
      </c>
      <c r="H25" s="893">
        <v>0.7626246675039452</v>
      </c>
      <c r="I25" s="146">
        <v>0.23600483423518587</v>
      </c>
      <c r="J25" s="148">
        <v>15.513446677196399</v>
      </c>
      <c r="K25" s="146">
        <v>0.64091871835293002</v>
      </c>
      <c r="L25" s="934">
        <v>0.3031745110484878</v>
      </c>
      <c r="M25" s="893">
        <v>48.347216051647074</v>
      </c>
      <c r="N25" s="811">
        <f t="shared" si="1"/>
        <v>-0.32822652826844312</v>
      </c>
      <c r="O25" s="894">
        <f t="shared" si="2"/>
        <v>0.10773265385915509</v>
      </c>
      <c r="P25" s="20">
        <f t="shared" si="3"/>
        <v>15.513446677196399</v>
      </c>
      <c r="Q25" s="895">
        <f t="shared" si="4"/>
        <v>14.617300960040657</v>
      </c>
      <c r="R25" s="895">
        <f t="shared" si="5"/>
        <v>16.409592394352138</v>
      </c>
      <c r="S25" s="942">
        <f t="shared" si="6"/>
        <v>-1528453.4673882755</v>
      </c>
      <c r="T25" s="941">
        <f t="shared" si="7"/>
        <v>2336170001971.2422</v>
      </c>
      <c r="U25" s="935">
        <f t="shared" si="8"/>
        <v>5462661.4673882769</v>
      </c>
      <c r="V25" s="935">
        <f t="shared" si="9"/>
        <v>2229529.110751458</v>
      </c>
      <c r="W25" s="935">
        <f t="shared" si="10"/>
        <v>13384292.7474631</v>
      </c>
      <c r="X25" s="896">
        <f t="shared" si="11"/>
        <v>0.38850347195376428</v>
      </c>
      <c r="Y25" s="897">
        <f t="shared" si="12"/>
        <v>13.879086115601284</v>
      </c>
      <c r="Z25" s="897">
        <f t="shared" si="13"/>
        <v>15.492159527864111</v>
      </c>
      <c r="AA25" s="898">
        <f t="shared" si="14"/>
        <v>15.185220148927955</v>
      </c>
      <c r="AB25" s="899">
        <f t="shared" si="15"/>
        <v>14.596013810708369</v>
      </c>
      <c r="AC25" s="900">
        <f t="shared" si="16"/>
        <v>16.388305245019851</v>
      </c>
      <c r="AD25" s="901"/>
      <c r="AE25" s="902">
        <f t="shared" si="17"/>
        <v>1995</v>
      </c>
      <c r="AF25" s="12"/>
      <c r="AG25" s="12"/>
      <c r="AH25" s="12"/>
      <c r="AI25" s="12"/>
      <c r="AJ25" s="12"/>
      <c r="AK25" s="12"/>
      <c r="AL25" s="12"/>
      <c r="AM25" s="12"/>
      <c r="AN25" s="12"/>
      <c r="AO25" s="12"/>
    </row>
    <row r="26" spans="1:41" ht="15.75" customHeight="1">
      <c r="A26" s="1063">
        <v>1995</v>
      </c>
      <c r="B26" s="957">
        <f t="shared" si="0"/>
        <v>1997</v>
      </c>
      <c r="C26" s="951">
        <f>VLOOKUP(A26,'Esc-Return_Regression'!$A$11:$E$40,4,FALSE)</f>
        <v>13.989618474983725</v>
      </c>
      <c r="D26" s="952">
        <f>VLOOKUP($A26,'Esc-Return_Regression'!$A$11:$H$40,6,FALSE)</f>
        <v>14.766659423843313</v>
      </c>
      <c r="E26" s="146">
        <v>26</v>
      </c>
      <c r="F26" s="146">
        <v>24</v>
      </c>
      <c r="G26" s="893">
        <v>5.2288808543924095</v>
      </c>
      <c r="H26" s="893">
        <v>0.74307170082953389</v>
      </c>
      <c r="I26" s="146">
        <v>0.22733918131269618</v>
      </c>
      <c r="J26" s="148">
        <v>15.624170448554837</v>
      </c>
      <c r="K26" s="146">
        <v>0.62125873883547833</v>
      </c>
      <c r="L26" s="934">
        <v>0.30802797263311421</v>
      </c>
      <c r="M26" s="893">
        <v>39.964658440650098</v>
      </c>
      <c r="N26" s="811">
        <f t="shared" si="1"/>
        <v>-0.85751102471152407</v>
      </c>
      <c r="O26" s="894">
        <f t="shared" si="2"/>
        <v>0.73532515750180805</v>
      </c>
      <c r="P26" s="20">
        <f t="shared" si="3"/>
        <v>15.624170448554837</v>
      </c>
      <c r="Q26" s="895">
        <f t="shared" si="4"/>
        <v>14.728024731399096</v>
      </c>
      <c r="R26" s="895">
        <f t="shared" si="5"/>
        <v>16.520316165710579</v>
      </c>
      <c r="S26" s="942">
        <f t="shared" si="6"/>
        <v>-3513582.2485362175</v>
      </c>
      <c r="T26" s="941">
        <f t="shared" si="7"/>
        <v>12345260217228.822</v>
      </c>
      <c r="U26" s="935">
        <f t="shared" si="8"/>
        <v>6102264.2485362189</v>
      </c>
      <c r="V26" s="935">
        <f t="shared" si="9"/>
        <v>2490576.4094720781</v>
      </c>
      <c r="W26" s="935">
        <f t="shared" si="10"/>
        <v>14951409.969733262</v>
      </c>
      <c r="X26" s="896">
        <f t="shared" si="11"/>
        <v>1.3572861589551037</v>
      </c>
      <c r="Y26" s="897">
        <f t="shared" si="12"/>
        <v>13.989618474983725</v>
      </c>
      <c r="Z26" s="897">
        <f t="shared" si="13"/>
        <v>15.578649961117678</v>
      </c>
      <c r="AA26" s="898">
        <f t="shared" si="14"/>
        <v>14.766659423843313</v>
      </c>
      <c r="AB26" s="899">
        <f t="shared" si="15"/>
        <v>14.682504243961937</v>
      </c>
      <c r="AC26" s="900">
        <f t="shared" si="16"/>
        <v>16.47479567827342</v>
      </c>
      <c r="AD26" s="901"/>
      <c r="AE26" s="902">
        <f t="shared" si="17"/>
        <v>1997</v>
      </c>
      <c r="AF26" s="12"/>
      <c r="AG26" s="12"/>
      <c r="AH26" s="12"/>
      <c r="AI26" s="12"/>
      <c r="AJ26" s="12"/>
      <c r="AK26" s="12"/>
      <c r="AL26" s="12"/>
      <c r="AM26" s="12"/>
      <c r="AN26" s="12"/>
      <c r="AO26" s="12"/>
    </row>
    <row r="27" spans="1:41" ht="15.75" customHeight="1">
      <c r="A27" s="1063">
        <v>1997</v>
      </c>
      <c r="B27" s="957">
        <f t="shared" si="0"/>
        <v>1999</v>
      </c>
      <c r="C27" s="951">
        <f>VLOOKUP(A27,'Esc-Return_Regression'!$A$11:$E$40,4,FALSE)</f>
        <v>14.168058597937208</v>
      </c>
      <c r="D27" s="952">
        <f>VLOOKUP($A27,'Esc-Return_Regression'!$A$11:$H$40,6,FALSE)</f>
        <v>16.056773073127243</v>
      </c>
      <c r="E27" s="146">
        <v>26</v>
      </c>
      <c r="F27" s="146">
        <v>24</v>
      </c>
      <c r="G27" s="893">
        <v>4.5051300227062754</v>
      </c>
      <c r="H27" s="893">
        <v>0.79042042700497872</v>
      </c>
      <c r="I27" s="146">
        <v>0.23281419418631155</v>
      </c>
      <c r="J27" s="148">
        <v>15.703852949519364</v>
      </c>
      <c r="K27" s="146">
        <v>0.64031004987211693</v>
      </c>
      <c r="L27" s="934">
        <v>0.32444792024438224</v>
      </c>
      <c r="M27" s="893">
        <v>30.076787811250007</v>
      </c>
      <c r="N27" s="811">
        <f t="shared" si="1"/>
        <v>0.35292012360787872</v>
      </c>
      <c r="O27" s="894">
        <f t="shared" si="2"/>
        <v>0.12455261364740039</v>
      </c>
      <c r="P27" s="20">
        <f t="shared" si="3"/>
        <v>15.703852949519364</v>
      </c>
      <c r="Q27" s="895">
        <f t="shared" si="4"/>
        <v>14.807707232363622</v>
      </c>
      <c r="R27" s="895">
        <f t="shared" si="5"/>
        <v>16.599998666675106</v>
      </c>
      <c r="S27" s="942">
        <f t="shared" si="6"/>
        <v>2796792.5514988909</v>
      </c>
      <c r="T27" s="941">
        <f t="shared" si="7"/>
        <v>7822048576119.6758</v>
      </c>
      <c r="U27" s="935">
        <f t="shared" si="8"/>
        <v>6608405.4485011036</v>
      </c>
      <c r="V27" s="935">
        <f t="shared" si="9"/>
        <v>2697152.7360867141</v>
      </c>
      <c r="W27" s="935">
        <f t="shared" si="10"/>
        <v>16191527.453184262</v>
      </c>
      <c r="X27" s="896">
        <f t="shared" si="11"/>
        <v>-0.2973666850500003</v>
      </c>
      <c r="Y27" s="897">
        <f t="shared" si="12"/>
        <v>14.168058597937208</v>
      </c>
      <c r="Z27" s="897">
        <f t="shared" si="13"/>
        <v>15.718277520235159</v>
      </c>
      <c r="AA27" s="898">
        <f t="shared" si="14"/>
        <v>16.056773073127243</v>
      </c>
      <c r="AB27" s="899">
        <f t="shared" si="15"/>
        <v>14.822131803079417</v>
      </c>
      <c r="AC27" s="900">
        <f t="shared" si="16"/>
        <v>16.614423237390898</v>
      </c>
      <c r="AD27" s="901"/>
      <c r="AE27" s="902">
        <f t="shared" si="17"/>
        <v>1999</v>
      </c>
      <c r="AF27" s="12"/>
      <c r="AG27" s="12"/>
      <c r="AH27" s="12"/>
      <c r="AI27" s="12"/>
      <c r="AJ27" s="12"/>
      <c r="AK27" s="12"/>
      <c r="AL27" s="12"/>
      <c r="AM27" s="12"/>
      <c r="AN27" s="12"/>
      <c r="AO27" s="12"/>
    </row>
    <row r="28" spans="1:41" ht="15.75" customHeight="1">
      <c r="A28" s="1063">
        <v>1999</v>
      </c>
      <c r="B28" s="957">
        <f t="shared" si="0"/>
        <v>2001</v>
      </c>
      <c r="C28" s="951">
        <f>VLOOKUP(A28,'Esc-Return_Regression'!$A$11:$E$40,4,FALSE)</f>
        <v>14.716834646300336</v>
      </c>
      <c r="D28" s="952">
        <f>VLOOKUP($A28,'Esc-Return_Regression'!$A$11:$H$40,6,FALSE)</f>
        <v>15.996456349799002</v>
      </c>
      <c r="E28" s="146">
        <v>26</v>
      </c>
      <c r="F28" s="146">
        <v>24</v>
      </c>
      <c r="G28" s="893">
        <v>4.523496027113783</v>
      </c>
      <c r="H28" s="893">
        <v>0.7904649037421706</v>
      </c>
      <c r="I28" s="146">
        <v>0.23578805223151364</v>
      </c>
      <c r="J28" s="148">
        <v>16.156637309191019</v>
      </c>
      <c r="K28" s="146">
        <v>0.64340125893677524</v>
      </c>
      <c r="L28" s="934">
        <v>0.31893336645677484</v>
      </c>
      <c r="M28" s="893">
        <v>30.076135313837749</v>
      </c>
      <c r="N28" s="811">
        <f t="shared" si="1"/>
        <v>-0.16018095939201693</v>
      </c>
      <c r="O28" s="894">
        <f t="shared" si="2"/>
        <v>2.5657939751746978E-2</v>
      </c>
      <c r="P28" s="20">
        <f t="shared" si="3"/>
        <v>16.156637309191019</v>
      </c>
      <c r="Q28" s="895">
        <f t="shared" si="4"/>
        <v>15.260491592035278</v>
      </c>
      <c r="R28" s="895">
        <f t="shared" si="5"/>
        <v>17.052783026346759</v>
      </c>
      <c r="S28" s="942">
        <f t="shared" si="6"/>
        <v>-1538263.2452801354</v>
      </c>
      <c r="T28" s="941">
        <f t="shared" si="7"/>
        <v>2366253811779.7739</v>
      </c>
      <c r="U28" s="935">
        <f t="shared" si="8"/>
        <v>10392940.226084339</v>
      </c>
      <c r="V28" s="935">
        <f t="shared" si="9"/>
        <v>4241771.6929167872</v>
      </c>
      <c r="W28" s="935">
        <f t="shared" si="10"/>
        <v>25464172.60583118</v>
      </c>
      <c r="X28" s="896">
        <f t="shared" si="11"/>
        <v>0.17372324802077949</v>
      </c>
      <c r="Y28" s="897">
        <f t="shared" si="12"/>
        <v>14.716834646300336</v>
      </c>
      <c r="Z28" s="897">
        <f t="shared" si="13"/>
        <v>16.147689128268262</v>
      </c>
      <c r="AA28" s="898">
        <f t="shared" si="14"/>
        <v>15.996456349799002</v>
      </c>
      <c r="AB28" s="899">
        <f t="shared" si="15"/>
        <v>15.25154341111252</v>
      </c>
      <c r="AC28" s="900">
        <f t="shared" si="16"/>
        <v>17.043834845424001</v>
      </c>
      <c r="AD28" s="901"/>
      <c r="AE28" s="902">
        <f t="shared" si="17"/>
        <v>2001</v>
      </c>
      <c r="AF28" s="12"/>
      <c r="AG28" s="12"/>
      <c r="AH28" s="12"/>
      <c r="AI28" s="12"/>
      <c r="AJ28" s="12"/>
      <c r="AK28" s="12"/>
      <c r="AL28" s="12"/>
      <c r="AM28" s="12"/>
      <c r="AN28" s="12"/>
      <c r="AO28" s="12"/>
    </row>
    <row r="29" spans="1:41" ht="15.75" customHeight="1">
      <c r="A29" s="1063">
        <v>2001</v>
      </c>
      <c r="B29" s="957">
        <f t="shared" si="0"/>
        <v>2003</v>
      </c>
      <c r="C29" s="951">
        <f>VLOOKUP(A29,'Esc-Return_Regression'!$A$11:$E$40,4,FALSE)</f>
        <v>14.508850719902116</v>
      </c>
      <c r="D29" s="952">
        <f>VLOOKUP($A29,'Esc-Return_Regression'!$A$11:$H$40,6,FALSE)</f>
        <v>15.809463917433993</v>
      </c>
      <c r="E29" s="146">
        <v>26</v>
      </c>
      <c r="F29" s="146">
        <v>24</v>
      </c>
      <c r="G29" s="893">
        <v>4.579925332122011</v>
      </c>
      <c r="H29" s="893">
        <v>0.78658827512475638</v>
      </c>
      <c r="I29" s="146">
        <v>0.23384246899114366</v>
      </c>
      <c r="J29" s="148">
        <v>15.992417193932395</v>
      </c>
      <c r="K29" s="146">
        <v>0.64314605338023356</v>
      </c>
      <c r="L29" s="934">
        <v>0.32039888821747115</v>
      </c>
      <c r="M29" s="893">
        <v>29.883167799608756</v>
      </c>
      <c r="N29" s="811">
        <f t="shared" si="1"/>
        <v>-0.18295327649840232</v>
      </c>
      <c r="O29" s="894">
        <f t="shared" si="2"/>
        <v>3.347190138150085E-2</v>
      </c>
      <c r="P29" s="20">
        <f t="shared" si="3"/>
        <v>15.992417193932395</v>
      </c>
      <c r="Q29" s="895">
        <f t="shared" si="4"/>
        <v>15.096271476776653</v>
      </c>
      <c r="R29" s="895">
        <f t="shared" si="5"/>
        <v>16.888562911088137</v>
      </c>
      <c r="S29" s="942">
        <f t="shared" si="6"/>
        <v>-1474471.7544122329</v>
      </c>
      <c r="T29" s="941">
        <f t="shared" si="7"/>
        <v>2174066954559.488</v>
      </c>
      <c r="U29" s="935">
        <f t="shared" si="8"/>
        <v>8818983.6942315344</v>
      </c>
      <c r="V29" s="935">
        <f t="shared" si="9"/>
        <v>3599377.517884559</v>
      </c>
      <c r="W29" s="935">
        <f t="shared" si="10"/>
        <v>21607756.622548338</v>
      </c>
      <c r="X29" s="896">
        <f t="shared" si="11"/>
        <v>0.20075830313763635</v>
      </c>
      <c r="Y29" s="897">
        <f t="shared" si="12"/>
        <v>14.508850719902116</v>
      </c>
      <c r="Z29" s="897">
        <f t="shared" si="13"/>
        <v>15.984943847117433</v>
      </c>
      <c r="AA29" s="898">
        <f t="shared" si="14"/>
        <v>15.809463917433993</v>
      </c>
      <c r="AB29" s="899">
        <f t="shared" si="15"/>
        <v>15.088798129961692</v>
      </c>
      <c r="AC29" s="900">
        <f t="shared" si="16"/>
        <v>16.881089564273175</v>
      </c>
      <c r="AD29" s="901"/>
      <c r="AE29" s="902">
        <f t="shared" si="17"/>
        <v>2003</v>
      </c>
      <c r="AF29" s="12"/>
      <c r="AG29" s="12"/>
      <c r="AH29" s="12"/>
      <c r="AI29" s="12"/>
      <c r="AJ29" s="12"/>
      <c r="AK29" s="12"/>
      <c r="AL29" s="12"/>
      <c r="AM29" s="12"/>
      <c r="AN29" s="12"/>
      <c r="AO29" s="12"/>
    </row>
    <row r="30" spans="1:41" ht="15.75" customHeight="1">
      <c r="A30" s="1063">
        <v>2003</v>
      </c>
      <c r="B30" s="957">
        <f t="shared" si="0"/>
        <v>2005</v>
      </c>
      <c r="C30" s="951">
        <f>VLOOKUP(A30,'Esc-Return_Regression'!$A$11:$E$40,4,FALSE)</f>
        <v>14.861682227652949</v>
      </c>
      <c r="D30" s="952">
        <f>VLOOKUP($A30,'Esc-Return_Regression'!$A$11:$H$40,6,FALSE)</f>
        <v>16.650633118619044</v>
      </c>
      <c r="E30" s="146">
        <v>26</v>
      </c>
      <c r="F30" s="146">
        <v>24</v>
      </c>
      <c r="G30" s="893">
        <v>5.0313544193757043</v>
      </c>
      <c r="H30" s="893">
        <v>0.75354682873801937</v>
      </c>
      <c r="I30" s="146">
        <v>0.2362869728619193</v>
      </c>
      <c r="J30" s="148">
        <v>16.230327931735765</v>
      </c>
      <c r="K30" s="146">
        <v>0.63886739252056679</v>
      </c>
      <c r="L30" s="934">
        <v>0.29763911844297813</v>
      </c>
      <c r="M30" s="893">
        <v>29.859592975858959</v>
      </c>
      <c r="N30" s="811">
        <f t="shared" si="1"/>
        <v>0.42030518688327945</v>
      </c>
      <c r="O30" s="894">
        <f t="shared" si="2"/>
        <v>0.17665645012098846</v>
      </c>
      <c r="P30" s="20">
        <f t="shared" si="3"/>
        <v>16.230327931735765</v>
      </c>
      <c r="Q30" s="895">
        <f t="shared" si="4"/>
        <v>15.334182214580023</v>
      </c>
      <c r="R30" s="895">
        <f t="shared" si="5"/>
        <v>17.126473648891505</v>
      </c>
      <c r="S30" s="942">
        <f t="shared" si="6"/>
        <v>5844760.6867354531</v>
      </c>
      <c r="T30" s="941">
        <f t="shared" si="7"/>
        <v>34161227485208.285</v>
      </c>
      <c r="U30" s="935">
        <f t="shared" si="8"/>
        <v>11187726.998585572</v>
      </c>
      <c r="V30" s="935">
        <f t="shared" si="9"/>
        <v>4566155.7421042426</v>
      </c>
      <c r="W30" s="935">
        <f t="shared" si="10"/>
        <v>27411512.542320743</v>
      </c>
      <c r="X30" s="896">
        <f t="shared" si="11"/>
        <v>-0.34315367166081073</v>
      </c>
      <c r="Y30" s="897">
        <f t="shared" si="12"/>
        <v>14.861682227652949</v>
      </c>
      <c r="Z30" s="897">
        <f t="shared" si="13"/>
        <v>16.261030869428172</v>
      </c>
      <c r="AA30" s="898">
        <f t="shared" si="14"/>
        <v>16.650633118619044</v>
      </c>
      <c r="AB30" s="899">
        <f t="shared" si="15"/>
        <v>15.36488515227243</v>
      </c>
      <c r="AC30" s="900">
        <f t="shared" si="16"/>
        <v>17.157176586583912</v>
      </c>
      <c r="AD30" s="901"/>
      <c r="AE30" s="902">
        <f t="shared" si="17"/>
        <v>2005</v>
      </c>
      <c r="AF30" s="12"/>
      <c r="AG30" s="12"/>
      <c r="AH30" s="12"/>
      <c r="AI30" s="12"/>
      <c r="AJ30" s="12"/>
      <c r="AK30" s="12"/>
      <c r="AL30" s="12"/>
      <c r="AM30" s="12"/>
      <c r="AN30" s="12"/>
      <c r="AO30" s="12"/>
    </row>
    <row r="31" spans="1:41" ht="15.75" customHeight="1">
      <c r="A31" s="1063">
        <v>2005</v>
      </c>
      <c r="B31" s="957">
        <f t="shared" si="0"/>
        <v>2007</v>
      </c>
      <c r="C31" s="951">
        <f>VLOOKUP(A31,'Esc-Return_Regression'!$A$11:$E$40,4,FALSE)</f>
        <v>15.370727918325914</v>
      </c>
      <c r="D31" s="952">
        <f>VLOOKUP($A31,'Esc-Return_Regression'!$A$11:$H$40,6,FALSE)</f>
        <v>16.260201608764461</v>
      </c>
      <c r="E31" s="146">
        <v>26</v>
      </c>
      <c r="F31" s="146">
        <v>24</v>
      </c>
      <c r="G31" s="893">
        <v>3.704554299863652</v>
      </c>
      <c r="H31" s="893">
        <v>0.84841833959526913</v>
      </c>
      <c r="I31" s="146">
        <v>0.25042491718909876</v>
      </c>
      <c r="J31" s="148">
        <v>16.745361758700369</v>
      </c>
      <c r="K31" s="146">
        <v>0.63789158414794744</v>
      </c>
      <c r="L31" s="934">
        <v>0.3235238316588635</v>
      </c>
      <c r="M31" s="893">
        <v>29.856052985692354</v>
      </c>
      <c r="N31" s="811">
        <f t="shared" si="1"/>
        <v>-0.48516014993590773</v>
      </c>
      <c r="O31" s="894">
        <f t="shared" si="2"/>
        <v>0.23538037108583246</v>
      </c>
      <c r="P31" s="20">
        <f t="shared" si="3"/>
        <v>16.745361758700369</v>
      </c>
      <c r="Q31" s="895">
        <f t="shared" si="4"/>
        <v>15.849216041544627</v>
      </c>
      <c r="R31" s="895">
        <f t="shared" si="5"/>
        <v>17.641507475856109</v>
      </c>
      <c r="S31" s="942">
        <f t="shared" si="6"/>
        <v>-7197856.2513529044</v>
      </c>
      <c r="T31" s="941">
        <f t="shared" si="7"/>
        <v>51809134615140.086</v>
      </c>
      <c r="U31" s="935">
        <f t="shared" si="8"/>
        <v>18724844.046356346</v>
      </c>
      <c r="V31" s="935">
        <f t="shared" si="9"/>
        <v>7642352.5684069712</v>
      </c>
      <c r="W31" s="935">
        <f t="shared" si="10"/>
        <v>45878514.687978059</v>
      </c>
      <c r="X31" s="896">
        <f t="shared" si="11"/>
        <v>0.62443514119733268</v>
      </c>
      <c r="Y31" s="897">
        <f t="shared" si="12"/>
        <v>15.370727918325914</v>
      </c>
      <c r="Z31" s="897">
        <f t="shared" si="13"/>
        <v>16.65935388160446</v>
      </c>
      <c r="AA31" s="898">
        <f t="shared" si="14"/>
        <v>16.260201608764461</v>
      </c>
      <c r="AB31" s="899">
        <f t="shared" si="15"/>
        <v>15.763208164448718</v>
      </c>
      <c r="AC31" s="900">
        <f t="shared" si="16"/>
        <v>17.5554995987602</v>
      </c>
      <c r="AD31" s="901"/>
      <c r="AE31" s="902">
        <f t="shared" si="17"/>
        <v>2007</v>
      </c>
      <c r="AF31" s="12"/>
      <c r="AG31" s="12"/>
      <c r="AH31" s="12"/>
      <c r="AI31" s="12"/>
      <c r="AJ31" s="12"/>
      <c r="AK31" s="12"/>
      <c r="AL31" s="12"/>
      <c r="AM31" s="12"/>
      <c r="AN31" s="12"/>
      <c r="AO31" s="12"/>
    </row>
    <row r="32" spans="1:41" ht="15.75" customHeight="1">
      <c r="A32" s="1063">
        <v>2007</v>
      </c>
      <c r="B32" s="957">
        <f t="shared" si="0"/>
        <v>2009</v>
      </c>
      <c r="C32" s="951">
        <f>VLOOKUP(A32,'Esc-Return_Regression'!$A$11:$E$40,4,FALSE)</f>
        <v>14.227045979637577</v>
      </c>
      <c r="D32" s="952">
        <f>VLOOKUP($A32,'Esc-Return_Regression'!$A$11:$H$40,6,FALSE)</f>
        <v>14.853781941234109</v>
      </c>
      <c r="E32" s="146">
        <v>26</v>
      </c>
      <c r="F32" s="146">
        <v>24</v>
      </c>
      <c r="G32" s="893">
        <v>4.8667335278785817</v>
      </c>
      <c r="H32" s="893">
        <v>0.76856021232717575</v>
      </c>
      <c r="I32" s="146">
        <v>0.22359410557056045</v>
      </c>
      <c r="J32" s="148">
        <v>15.80107500677733</v>
      </c>
      <c r="K32" s="146">
        <v>0.61565459879714279</v>
      </c>
      <c r="L32" s="934">
        <v>0.32989040763008126</v>
      </c>
      <c r="M32" s="893">
        <v>21.37915077082133</v>
      </c>
      <c r="N32" s="811">
        <f t="shared" si="1"/>
        <v>-0.94729306554322079</v>
      </c>
      <c r="O32" s="894">
        <f t="shared" si="2"/>
        <v>0.89736415202627284</v>
      </c>
      <c r="P32" s="20">
        <f t="shared" si="3"/>
        <v>15.80107500677733</v>
      </c>
      <c r="Q32" s="895">
        <f t="shared" si="4"/>
        <v>14.904929289621588</v>
      </c>
      <c r="R32" s="895">
        <f t="shared" si="5"/>
        <v>16.697220723933071</v>
      </c>
      <c r="S32" s="942">
        <f t="shared" si="6"/>
        <v>-4458826.587822983</v>
      </c>
      <c r="T32" s="941">
        <f t="shared" si="7"/>
        <v>19881134540277.145</v>
      </c>
      <c r="U32" s="935">
        <f t="shared" si="8"/>
        <v>7283157.1948897205</v>
      </c>
      <c r="V32" s="935">
        <f t="shared" si="9"/>
        <v>2972545.723568154</v>
      </c>
      <c r="W32" s="935">
        <f t="shared" si="10"/>
        <v>17844764.608633514</v>
      </c>
      <c r="X32" s="896">
        <f t="shared" si="11"/>
        <v>1.5787197775878592</v>
      </c>
      <c r="Y32" s="897">
        <f t="shared" si="12"/>
        <v>14.227045979637577</v>
      </c>
      <c r="Z32" s="897">
        <f t="shared" si="13"/>
        <v>15.764434539123229</v>
      </c>
      <c r="AA32" s="898">
        <f t="shared" si="14"/>
        <v>14.853781941234109</v>
      </c>
      <c r="AB32" s="899">
        <f t="shared" si="15"/>
        <v>14.868288821967488</v>
      </c>
      <c r="AC32" s="900">
        <f t="shared" si="16"/>
        <v>16.660580256278969</v>
      </c>
      <c r="AD32" s="901"/>
      <c r="AE32" s="902">
        <f t="shared" si="17"/>
        <v>2009</v>
      </c>
      <c r="AF32" s="12"/>
      <c r="AG32" s="12"/>
      <c r="AH32" s="12"/>
      <c r="AI32" s="12"/>
      <c r="AJ32" s="12"/>
      <c r="AK32" s="12"/>
      <c r="AL32" s="12"/>
      <c r="AM32" s="12"/>
      <c r="AN32" s="12"/>
      <c r="AO32" s="12"/>
    </row>
    <row r="33" spans="1:41" ht="15.75" customHeight="1">
      <c r="A33" s="1063">
        <v>2009</v>
      </c>
      <c r="B33" s="957">
        <f t="shared" si="0"/>
        <v>2011</v>
      </c>
      <c r="C33" s="951">
        <f>VLOOKUP(A33,'Esc-Return_Regression'!$A$11:$E$40,4,FALSE)</f>
        <v>14.419620279049006</v>
      </c>
      <c r="D33" s="952">
        <f>VLOOKUP($A33,'Esc-Return_Regression'!$A$11:$H$40,6,FALSE)</f>
        <v>16.081753087954393</v>
      </c>
      <c r="E33" s="146">
        <v>26</v>
      </c>
      <c r="F33" s="146">
        <v>24</v>
      </c>
      <c r="G33" s="893">
        <v>4.6519580331890307</v>
      </c>
      <c r="H33" s="893">
        <v>0.78064469095133171</v>
      </c>
      <c r="I33" s="146">
        <v>0.23352190401227405</v>
      </c>
      <c r="J33" s="148">
        <v>15.908558049562798</v>
      </c>
      <c r="K33" s="146">
        <v>0.6432511576786748</v>
      </c>
      <c r="L33" s="934">
        <v>0.31769924617936168</v>
      </c>
      <c r="M33" s="893">
        <v>11.466634685055777</v>
      </c>
      <c r="N33" s="811">
        <f t="shared" si="1"/>
        <v>0.17319503839159545</v>
      </c>
      <c r="O33" s="894">
        <f t="shared" si="2"/>
        <v>2.9996521323466221E-2</v>
      </c>
      <c r="P33" s="20">
        <f t="shared" si="3"/>
        <v>15.908558049562798</v>
      </c>
      <c r="Q33" s="895">
        <f t="shared" si="4"/>
        <v>15.012412332407056</v>
      </c>
      <c r="R33" s="895">
        <f t="shared" si="5"/>
        <v>16.804703766718539</v>
      </c>
      <c r="S33" s="942">
        <f t="shared" si="6"/>
        <v>1533507.5433579842</v>
      </c>
      <c r="T33" s="941">
        <f t="shared" si="7"/>
        <v>2351645385535.8398</v>
      </c>
      <c r="U33" s="935">
        <f t="shared" si="8"/>
        <v>8109591.4566420326</v>
      </c>
      <c r="V33" s="935">
        <f t="shared" si="9"/>
        <v>3309846.3700935016</v>
      </c>
      <c r="W33" s="935">
        <f t="shared" si="10"/>
        <v>19869645.367190741</v>
      </c>
      <c r="X33" s="896">
        <f t="shared" si="11"/>
        <v>-0.15902642328549998</v>
      </c>
      <c r="Y33" s="897">
        <f t="shared" si="12"/>
        <v>14.419620279049006</v>
      </c>
      <c r="Z33" s="897">
        <f t="shared" si="13"/>
        <v>15.915121945803543</v>
      </c>
      <c r="AA33" s="898">
        <f t="shared" si="14"/>
        <v>16.081753087954393</v>
      </c>
      <c r="AB33" s="899">
        <f t="shared" si="15"/>
        <v>15.018976228647801</v>
      </c>
      <c r="AC33" s="900">
        <f t="shared" si="16"/>
        <v>16.811267662959285</v>
      </c>
      <c r="AD33" s="901"/>
      <c r="AE33" s="902">
        <f t="shared" si="17"/>
        <v>2011</v>
      </c>
      <c r="AF33" s="12"/>
      <c r="AG33" s="12"/>
      <c r="AH33" s="12"/>
      <c r="AI33" s="12"/>
      <c r="AJ33" s="12"/>
      <c r="AK33" s="12"/>
      <c r="AL33" s="12"/>
      <c r="AM33" s="12"/>
      <c r="AN33" s="12"/>
      <c r="AO33" s="12"/>
    </row>
    <row r="34" spans="1:41" ht="15.75" customHeight="1">
      <c r="A34" s="1063">
        <v>2011</v>
      </c>
      <c r="B34" s="957">
        <f t="shared" si="0"/>
        <v>2013</v>
      </c>
      <c r="C34" s="951">
        <f>VLOOKUP(A34,'Esc-Return_Regression'!$A$11:$E$40,4,FALSE)</f>
        <v>15.183493025092748</v>
      </c>
      <c r="D34" s="952">
        <f>VLOOKUP($A34,'Esc-Return_Regression'!$A$11:$H$40,6,FALSE)</f>
        <v>16.904981458898906</v>
      </c>
      <c r="E34" s="146">
        <v>26</v>
      </c>
      <c r="F34" s="146">
        <v>24</v>
      </c>
      <c r="G34" s="893">
        <v>5.3349478779213602</v>
      </c>
      <c r="H34" s="893">
        <v>0.73229390280536233</v>
      </c>
      <c r="I34" s="146">
        <v>0.24387486091929975</v>
      </c>
      <c r="J34" s="148">
        <v>16.453727243484526</v>
      </c>
      <c r="K34" s="146">
        <v>0.63843674570013376</v>
      </c>
      <c r="L34" s="934">
        <v>0.27309016962933835</v>
      </c>
      <c r="M34" s="893">
        <v>0.4763115464252996</v>
      </c>
      <c r="N34" s="811">
        <f t="shared" si="1"/>
        <v>0.45125421541438016</v>
      </c>
      <c r="O34" s="894">
        <f t="shared" si="2"/>
        <v>0.2036303669292478</v>
      </c>
      <c r="P34" s="20">
        <f t="shared" si="3"/>
        <v>16.453727243484526</v>
      </c>
      <c r="Q34" s="895">
        <f t="shared" si="4"/>
        <v>15.557581526328784</v>
      </c>
      <c r="R34" s="895">
        <f t="shared" si="5"/>
        <v>17.349872960640266</v>
      </c>
      <c r="S34" s="942">
        <f t="shared" si="6"/>
        <v>7977217.0719385277</v>
      </c>
      <c r="T34" s="941">
        <f t="shared" si="7"/>
        <v>63635992212827.5</v>
      </c>
      <c r="U34" s="935">
        <f t="shared" si="8"/>
        <v>13988235.928061495</v>
      </c>
      <c r="V34" s="935">
        <f t="shared" si="9"/>
        <v>5709154.6667971108</v>
      </c>
      <c r="W34" s="935">
        <f t="shared" si="10"/>
        <v>34273155.274121024</v>
      </c>
      <c r="X34" s="896">
        <f t="shared" si="11"/>
        <v>-0.36317107013174366</v>
      </c>
      <c r="Y34" s="897">
        <f t="shared" si="12"/>
        <v>15.183493025092748</v>
      </c>
      <c r="Z34" s="897">
        <f t="shared" si="13"/>
        <v>16.512844505287873</v>
      </c>
      <c r="AA34" s="898">
        <f t="shared" si="14"/>
        <v>16.904981458898906</v>
      </c>
      <c r="AB34" s="899">
        <f t="shared" si="15"/>
        <v>15.616698788132132</v>
      </c>
      <c r="AC34" s="900">
        <f t="shared" si="16"/>
        <v>17.408990222443613</v>
      </c>
      <c r="AD34" s="901"/>
      <c r="AE34" s="902">
        <f t="shared" si="17"/>
        <v>2013</v>
      </c>
      <c r="AF34" s="12"/>
      <c r="AG34" s="12"/>
      <c r="AH34" s="12"/>
      <c r="AI34" s="12"/>
      <c r="AJ34" s="12"/>
      <c r="AK34" s="12"/>
      <c r="AL34" s="12"/>
      <c r="AM34" s="12"/>
      <c r="AN34" s="12"/>
      <c r="AO34" s="12"/>
    </row>
    <row r="35" spans="1:41" ht="15.75" customHeight="1">
      <c r="A35" s="1063">
        <v>2013</v>
      </c>
      <c r="B35" s="957">
        <f t="shared" si="0"/>
        <v>2015</v>
      </c>
      <c r="C35" s="951">
        <f>VLOOKUP(A35,'Esc-Return_Regression'!$A$11:$E$40,4,FALSE)</f>
        <v>15.359714027163184</v>
      </c>
      <c r="D35" s="952">
        <f>VLOOKUP($A35,'Esc-Return_Regression'!$A$11:$H$40,6,FALSE)</f>
        <v>17.271312208063883</v>
      </c>
      <c r="E35" s="146">
        <v>26</v>
      </c>
      <c r="F35" s="146">
        <v>24</v>
      </c>
      <c r="G35" s="893">
        <v>6.0528949972988784</v>
      </c>
      <c r="H35" s="893">
        <v>0.68144764582149586</v>
      </c>
      <c r="I35" s="146">
        <v>0.24645740046872774</v>
      </c>
      <c r="J35" s="148">
        <v>16.519735961600638</v>
      </c>
      <c r="K35" s="146">
        <v>0.62892031532751147</v>
      </c>
      <c r="L35" s="934">
        <v>0.24158794095803501</v>
      </c>
      <c r="M35" s="893">
        <v>48.634664418881826</v>
      </c>
      <c r="N35" s="811">
        <f t="shared" si="1"/>
        <v>0.7515762464632445</v>
      </c>
      <c r="O35" s="894">
        <f t="shared" si="2"/>
        <v>0.5648668542477796</v>
      </c>
      <c r="P35" s="20">
        <f t="shared" si="3"/>
        <v>16.519735961600638</v>
      </c>
      <c r="Q35" s="895">
        <f t="shared" si="4"/>
        <v>15.623590244444896</v>
      </c>
      <c r="R35" s="895">
        <f t="shared" si="5"/>
        <v>17.415881678756378</v>
      </c>
      <c r="S35" s="942">
        <f t="shared" si="6"/>
        <v>16740940.111425929</v>
      </c>
      <c r="T35" s="941">
        <f t="shared" si="7"/>
        <v>280259075814349.59</v>
      </c>
      <c r="U35" s="935">
        <f t="shared" si="8"/>
        <v>14942737.616330244</v>
      </c>
      <c r="V35" s="935">
        <f t="shared" si="9"/>
        <v>6098724.7166640377</v>
      </c>
      <c r="W35" s="935">
        <f t="shared" si="10"/>
        <v>36611819.330095313</v>
      </c>
      <c r="X35" s="896">
        <f t="shared" si="11"/>
        <v>-0.52837742686544853</v>
      </c>
      <c r="Y35" s="897">
        <f t="shared" si="12"/>
        <v>15.359714027163184</v>
      </c>
      <c r="Z35" s="897">
        <f t="shared" si="13"/>
        <v>16.650735625160877</v>
      </c>
      <c r="AA35" s="898">
        <f t="shared" si="14"/>
        <v>17.271312208063883</v>
      </c>
      <c r="AB35" s="899">
        <f t="shared" si="15"/>
        <v>15.754589908005135</v>
      </c>
      <c r="AC35" s="900">
        <f t="shared" si="16"/>
        <v>17.546881342316617</v>
      </c>
      <c r="AD35" s="901"/>
      <c r="AE35" s="902">
        <f t="shared" si="17"/>
        <v>2015</v>
      </c>
      <c r="AF35" s="12"/>
      <c r="AG35" s="12"/>
      <c r="AH35" s="12"/>
      <c r="AI35" s="12"/>
      <c r="AJ35" s="12"/>
      <c r="AK35" s="12"/>
      <c r="AL35" s="12"/>
      <c r="AM35" s="12"/>
      <c r="AN35" s="12"/>
      <c r="AO35" s="12"/>
    </row>
    <row r="36" spans="1:41" ht="17" thickBot="1">
      <c r="A36" s="1064"/>
      <c r="B36" s="950"/>
      <c r="C36" s="953"/>
      <c r="D36" s="954"/>
      <c r="E36" s="146"/>
      <c r="F36" s="146"/>
      <c r="G36" s="893"/>
      <c r="H36" s="893"/>
      <c r="I36" s="146"/>
      <c r="J36" s="148"/>
      <c r="K36" s="146"/>
      <c r="L36" s="934"/>
      <c r="M36" s="904"/>
      <c r="N36" s="146"/>
      <c r="O36" s="903"/>
      <c r="P36" s="148"/>
      <c r="Q36" s="901"/>
      <c r="R36" s="901"/>
      <c r="S36" s="943"/>
      <c r="T36" s="944"/>
      <c r="U36" s="905"/>
      <c r="V36" s="906"/>
      <c r="W36" s="906"/>
      <c r="X36" s="907"/>
      <c r="Y36" s="147"/>
      <c r="Z36" s="147"/>
      <c r="AA36" s="908"/>
      <c r="AB36" s="901"/>
      <c r="AC36" s="908"/>
      <c r="AD36" s="901"/>
      <c r="AE36" s="902"/>
      <c r="AF36" s="12"/>
      <c r="AG36" s="12"/>
      <c r="AH36" s="12"/>
      <c r="AI36" s="12"/>
      <c r="AJ36" s="12"/>
      <c r="AK36" s="12"/>
      <c r="AL36" s="12"/>
      <c r="AM36" s="12"/>
      <c r="AN36" s="12"/>
      <c r="AO36" s="12"/>
    </row>
    <row r="37" spans="1:41" ht="17" thickBot="1">
      <c r="A37" s="1063">
        <v>2015</v>
      </c>
      <c r="B37" s="810">
        <f>A37+2</f>
        <v>2017</v>
      </c>
      <c r="C37" s="955">
        <f>VLOOKUP(A37,'Esc-Return_Regression'!$A$11:$E$40,4,FALSE)</f>
        <v>15.631706047547526</v>
      </c>
      <c r="D37" s="954"/>
      <c r="E37" s="146">
        <v>27</v>
      </c>
      <c r="F37" s="146">
        <v>25</v>
      </c>
      <c r="G37" s="893">
        <v>4.6319175316853265</v>
      </c>
      <c r="H37" s="893">
        <v>0.78248970470548063</v>
      </c>
      <c r="I37" s="146">
        <v>0.22903347316091066</v>
      </c>
      <c r="J37" s="148">
        <v>16.863566580873666</v>
      </c>
      <c r="K37" s="146">
        <v>0.63116999078159552</v>
      </c>
      <c r="L37" s="933">
        <v>0.31828800567287485</v>
      </c>
      <c r="M37" s="893">
        <v>0.46621224348100149</v>
      </c>
      <c r="N37" s="23">
        <f>D37-$E$37</f>
        <v>-27</v>
      </c>
      <c r="O37" s="892">
        <f>N37^2</f>
        <v>729</v>
      </c>
      <c r="P37" s="20">
        <f>J37</f>
        <v>16.863566580873666</v>
      </c>
      <c r="Q37" s="895">
        <f>$P37-(SQRT($O$39)*$Q$39)</f>
        <v>15.967420863717924</v>
      </c>
      <c r="R37" s="895">
        <f>$P37+SQRT($O$39)*$Q$39</f>
        <v>17.759712298029406</v>
      </c>
      <c r="S37" s="942">
        <f t="shared" ref="S37" si="18">EXP(D37)-U37</f>
        <v>-21074335.548820641</v>
      </c>
      <c r="T37" s="941">
        <f>S37^2</f>
        <v>444127618824285.38</v>
      </c>
      <c r="U37" s="936">
        <f t="shared" ref="U37" si="19">EXP(P37)</f>
        <v>21074336.548820641</v>
      </c>
      <c r="V37" s="937">
        <f>EXP(Q37)</f>
        <v>8601273.775772376</v>
      </c>
      <c r="W37" s="938">
        <f>EXP(R37)</f>
        <v>51635103.422001585</v>
      </c>
      <c r="X37" s="907"/>
      <c r="Y37" s="897">
        <f>C37</f>
        <v>15.631706047547526</v>
      </c>
      <c r="Z37" s="897"/>
      <c r="AA37" s="909"/>
      <c r="AB37" s="899"/>
      <c r="AC37" s="900"/>
      <c r="AD37" s="895">
        <f>P37</f>
        <v>16.863566580873666</v>
      </c>
      <c r="AE37" s="902">
        <f>B37</f>
        <v>2017</v>
      </c>
      <c r="AF37" s="12"/>
      <c r="AG37" s="12"/>
      <c r="AH37" s="12"/>
      <c r="AI37" s="12"/>
      <c r="AJ37" s="12"/>
      <c r="AK37" s="12"/>
      <c r="AL37" s="12"/>
      <c r="AM37" s="12"/>
      <c r="AN37" s="12"/>
      <c r="AO37" s="12"/>
    </row>
    <row r="38" spans="1:41">
      <c r="A38" s="928"/>
      <c r="B38" s="151"/>
      <c r="C38" s="910"/>
      <c r="D38" s="911"/>
      <c r="E38" s="151"/>
      <c r="F38" s="151"/>
      <c r="G38" s="911"/>
      <c r="H38" s="151"/>
      <c r="I38" s="912"/>
      <c r="J38" s="911"/>
      <c r="K38" s="151"/>
      <c r="L38" s="151"/>
      <c r="M38" s="913"/>
      <c r="N38" s="151"/>
      <c r="O38" s="913"/>
      <c r="P38" s="911"/>
      <c r="Q38" s="939"/>
      <c r="R38" s="151"/>
      <c r="S38" s="151"/>
      <c r="T38" s="151"/>
      <c r="U38" s="914"/>
      <c r="V38" s="914"/>
      <c r="W38" s="914"/>
      <c r="X38" s="152"/>
      <c r="Y38" s="915"/>
      <c r="Z38" s="150"/>
      <c r="AA38" s="152"/>
      <c r="AB38" s="151"/>
      <c r="AC38" s="152"/>
      <c r="AD38" s="146"/>
      <c r="AE38" s="152"/>
      <c r="AF38" s="12"/>
      <c r="AG38" s="12"/>
      <c r="AH38" s="12"/>
      <c r="AI38" s="12"/>
      <c r="AJ38" s="12"/>
      <c r="AK38" s="12"/>
      <c r="AL38" s="12"/>
      <c r="AM38" s="12"/>
      <c r="AN38" s="12"/>
      <c r="AO38" s="12"/>
    </row>
    <row r="39" spans="1:41">
      <c r="A39" s="149"/>
      <c r="B39" s="146"/>
      <c r="C39" s="916"/>
      <c r="D39" s="917" t="s">
        <v>47</v>
      </c>
      <c r="E39" s="153" t="s">
        <v>48</v>
      </c>
      <c r="F39" s="23">
        <f>F34</f>
        <v>24</v>
      </c>
      <c r="G39" s="148"/>
      <c r="H39" s="146"/>
      <c r="I39" s="918"/>
      <c r="J39" s="148"/>
      <c r="K39" s="146"/>
      <c r="L39" s="146"/>
      <c r="M39" s="919" t="s">
        <v>49</v>
      </c>
      <c r="N39" s="146"/>
      <c r="O39" s="920">
        <f>AVERAGEA(O9:O34)</f>
        <v>0.46241783537458692</v>
      </c>
      <c r="P39" s="917" t="s">
        <v>50</v>
      </c>
      <c r="Q39" s="940">
        <f>TINV(0.2,F39)</f>
        <v>1.3178359336731498</v>
      </c>
      <c r="R39" s="146"/>
      <c r="S39" s="146"/>
      <c r="T39" s="146"/>
      <c r="U39" s="916"/>
      <c r="V39" s="916"/>
      <c r="W39" s="146"/>
      <c r="X39" s="921"/>
      <c r="Y39" s="922"/>
      <c r="Z39" s="146"/>
      <c r="AA39" s="146"/>
      <c r="AB39" s="146"/>
      <c r="AC39" s="146"/>
      <c r="AD39" s="146"/>
      <c r="AE39" s="146"/>
      <c r="AF39" s="12"/>
      <c r="AG39" s="12"/>
      <c r="AH39" s="12"/>
      <c r="AI39" s="12"/>
      <c r="AJ39" s="12"/>
      <c r="AK39" s="12"/>
      <c r="AL39" s="12"/>
      <c r="AM39" s="12"/>
      <c r="AN39" s="12"/>
      <c r="AO39" s="12"/>
    </row>
    <row r="40" spans="1:41">
      <c r="A40" s="149"/>
      <c r="B40" s="146"/>
      <c r="C40" s="916"/>
      <c r="D40" s="917" t="s">
        <v>51</v>
      </c>
      <c r="E40" s="153" t="s">
        <v>48</v>
      </c>
      <c r="F40" s="23">
        <f>F37</f>
        <v>25</v>
      </c>
      <c r="G40" s="148"/>
      <c r="H40" s="146"/>
      <c r="I40" s="918"/>
      <c r="J40" s="148"/>
      <c r="K40" s="146"/>
      <c r="L40" s="146"/>
      <c r="M40" s="919" t="s">
        <v>52</v>
      </c>
      <c r="N40" s="146"/>
      <c r="O40" s="920">
        <f>AVERAGEA(O9:O36)</f>
        <v>0.46621224348100149</v>
      </c>
      <c r="P40" s="917" t="s">
        <v>50</v>
      </c>
      <c r="Q40" s="28">
        <f>TINV(0.2,F40)</f>
        <v>1.3163450726738706</v>
      </c>
      <c r="R40" s="146"/>
      <c r="S40" s="153" t="s">
        <v>53</v>
      </c>
      <c r="T40" s="23">
        <f>AVERAGEA(T9:T36)</f>
        <v>35124586641889.828</v>
      </c>
      <c r="U40" s="916"/>
      <c r="V40" s="916"/>
      <c r="W40" s="146" t="s">
        <v>54</v>
      </c>
      <c r="X40" s="896">
        <f>AVERAGEA(X9:X36)</f>
        <v>0.24187168488867025</v>
      </c>
      <c r="Y40" s="922"/>
      <c r="Z40" s="146"/>
      <c r="AA40" s="146"/>
      <c r="AB40" s="146"/>
      <c r="AC40" s="146"/>
      <c r="AD40" s="146"/>
      <c r="AE40" s="146"/>
      <c r="AF40" s="12"/>
      <c r="AG40" s="12"/>
      <c r="AH40" s="12"/>
      <c r="AI40" s="12"/>
      <c r="AJ40" s="12"/>
      <c r="AK40" s="12"/>
      <c r="AL40" s="12"/>
      <c r="AM40" s="12"/>
      <c r="AN40" s="12"/>
      <c r="AO40" s="12"/>
    </row>
    <row r="41" spans="1:41">
      <c r="A41" s="151"/>
      <c r="B41" s="151"/>
      <c r="C41" s="914"/>
      <c r="D41" s="911"/>
      <c r="E41" s="151"/>
      <c r="F41" s="151"/>
      <c r="G41" s="911"/>
      <c r="H41" s="151"/>
      <c r="I41" s="912"/>
      <c r="J41" s="911"/>
      <c r="K41" s="151"/>
      <c r="L41" s="151"/>
      <c r="M41" s="913"/>
      <c r="N41" s="151"/>
      <c r="O41" s="913"/>
      <c r="P41" s="911"/>
      <c r="Q41" s="151"/>
      <c r="R41" s="151"/>
      <c r="S41" s="151"/>
      <c r="T41" s="151"/>
      <c r="U41" s="914"/>
      <c r="V41" s="914"/>
      <c r="W41" s="151"/>
      <c r="X41" s="152"/>
      <c r="Y41" s="916"/>
      <c r="Z41" s="146"/>
      <c r="AA41" s="146"/>
      <c r="AB41" s="146"/>
      <c r="AC41" s="146"/>
      <c r="AD41" s="146"/>
      <c r="AE41" s="146"/>
      <c r="AF41" s="12"/>
      <c r="AG41" s="12"/>
      <c r="AH41" s="12"/>
      <c r="AI41" s="12"/>
      <c r="AJ41" s="12"/>
      <c r="AK41" s="12"/>
      <c r="AL41" s="1069">
        <f>EXP(AD37)</f>
        <v>21074336.548820641</v>
      </c>
      <c r="AM41" s="12"/>
      <c r="AN41" s="12"/>
      <c r="AO41" s="12"/>
    </row>
    <row r="42" spans="1:41">
      <c r="A42" s="12"/>
      <c r="B42" s="12"/>
      <c r="C42" s="849"/>
      <c r="D42" s="850"/>
      <c r="E42" s="12"/>
      <c r="F42" s="12"/>
      <c r="G42" s="850"/>
      <c r="H42" s="12"/>
      <c r="I42" s="851"/>
      <c r="J42" s="850"/>
      <c r="K42" s="12"/>
      <c r="L42" s="12"/>
      <c r="M42" s="852"/>
      <c r="N42" s="12"/>
      <c r="O42" s="852"/>
      <c r="P42" s="850"/>
      <c r="Q42" s="12"/>
      <c r="R42" s="12"/>
      <c r="S42" s="12"/>
      <c r="T42" s="12"/>
      <c r="U42" s="849"/>
      <c r="V42" s="849"/>
      <c r="W42" s="12"/>
      <c r="X42" s="12"/>
      <c r="Y42" s="849"/>
      <c r="Z42" s="12"/>
      <c r="AA42" s="12"/>
      <c r="AB42" s="12"/>
      <c r="AC42" s="12"/>
      <c r="AE42" s="12"/>
      <c r="AF42" s="12"/>
      <c r="AG42" s="12"/>
      <c r="AH42" s="12"/>
      <c r="AI42" s="12"/>
      <c r="AJ42" s="12"/>
      <c r="AK42" s="12"/>
      <c r="AL42" s="12"/>
      <c r="AM42" s="12"/>
      <c r="AN42" s="12"/>
      <c r="AO42" s="12"/>
    </row>
    <row r="43" spans="1:41">
      <c r="A43" s="12"/>
      <c r="B43" s="12"/>
      <c r="C43" s="849"/>
      <c r="D43" s="850"/>
      <c r="E43" s="12"/>
      <c r="F43" s="12"/>
      <c r="G43" s="850"/>
      <c r="H43" s="12"/>
      <c r="I43" s="851"/>
      <c r="J43" s="850"/>
      <c r="K43" s="12"/>
      <c r="L43" s="12"/>
      <c r="M43" s="852" t="s">
        <v>55</v>
      </c>
      <c r="N43" s="12"/>
      <c r="O43" s="852"/>
      <c r="P43" s="850"/>
      <c r="Q43" s="12"/>
      <c r="R43" s="12"/>
      <c r="S43" s="12"/>
      <c r="T43" s="12"/>
      <c r="U43" s="849"/>
      <c r="V43" s="849"/>
      <c r="W43" s="12"/>
      <c r="X43" s="12"/>
      <c r="Y43" s="849"/>
      <c r="Z43" s="12"/>
      <c r="AA43" s="12"/>
      <c r="AB43" s="12"/>
      <c r="AC43" s="12"/>
      <c r="AD43" s="12"/>
      <c r="AE43" s="12"/>
      <c r="AF43" s="12"/>
      <c r="AG43" s="12"/>
      <c r="AH43" s="12"/>
      <c r="AI43" s="12"/>
      <c r="AJ43" s="12"/>
      <c r="AK43" s="12"/>
      <c r="AL43" s="12"/>
      <c r="AM43" s="12"/>
      <c r="AN43" s="12"/>
      <c r="AO43" s="12"/>
    </row>
    <row r="44" spans="1:41">
      <c r="A44" s="12"/>
      <c r="B44" s="12"/>
      <c r="C44" s="849"/>
      <c r="D44" s="850"/>
      <c r="E44" s="12"/>
      <c r="F44" s="12"/>
      <c r="G44" s="850"/>
      <c r="H44" s="12"/>
      <c r="I44" s="851"/>
      <c r="J44" s="850"/>
      <c r="K44" s="12"/>
      <c r="L44" s="12"/>
      <c r="M44" s="852"/>
      <c r="N44" s="12"/>
      <c r="O44" s="852"/>
      <c r="P44" s="850"/>
      <c r="Q44" s="12"/>
      <c r="R44" s="12"/>
      <c r="S44" s="12"/>
      <c r="T44" s="12"/>
      <c r="U44" s="849"/>
      <c r="V44" s="849"/>
      <c r="W44" s="12"/>
      <c r="X44" s="12"/>
      <c r="Y44" s="849"/>
      <c r="Z44" s="12"/>
      <c r="AA44" s="12"/>
      <c r="AB44" s="12"/>
      <c r="AC44" s="12"/>
      <c r="AD44" s="12"/>
      <c r="AE44" s="12"/>
      <c r="AF44" s="12"/>
      <c r="AG44" s="12"/>
      <c r="AH44" s="12"/>
      <c r="AI44" s="12"/>
      <c r="AJ44" s="12"/>
      <c r="AK44" s="12"/>
      <c r="AL44" s="12"/>
      <c r="AM44" s="12"/>
      <c r="AN44" s="12"/>
      <c r="AO44" s="12"/>
    </row>
    <row r="45" spans="1:41">
      <c r="A45" s="12"/>
      <c r="B45" s="12"/>
      <c r="C45" s="849"/>
      <c r="D45" s="850"/>
      <c r="E45" s="12"/>
      <c r="F45" s="12"/>
      <c r="G45" s="850"/>
      <c r="H45" s="12"/>
      <c r="I45" s="851"/>
      <c r="J45" s="850"/>
      <c r="K45" s="12"/>
      <c r="L45" s="12"/>
      <c r="M45" s="852"/>
      <c r="N45" s="12"/>
      <c r="O45" s="852"/>
      <c r="P45" s="850"/>
      <c r="Q45" s="12"/>
      <c r="R45" s="12"/>
      <c r="S45" s="12"/>
      <c r="T45" s="12"/>
      <c r="U45" s="849"/>
      <c r="V45" s="849"/>
      <c r="W45" s="12"/>
      <c r="X45" s="12"/>
      <c r="Y45" s="849"/>
      <c r="Z45" s="12"/>
      <c r="AA45" s="12"/>
      <c r="AB45" s="12"/>
      <c r="AC45" s="12"/>
      <c r="AD45" s="12"/>
      <c r="AE45" s="12"/>
      <c r="AF45" s="12"/>
      <c r="AG45" s="12"/>
      <c r="AH45" s="12"/>
      <c r="AI45" s="12"/>
      <c r="AJ45" s="12"/>
      <c r="AK45" s="12"/>
      <c r="AL45" s="12"/>
      <c r="AM45" s="12"/>
      <c r="AN45" s="12"/>
      <c r="AO45" s="12"/>
    </row>
    <row r="46" spans="1:41">
      <c r="A46" s="12"/>
      <c r="B46" s="12"/>
      <c r="C46" s="849"/>
      <c r="D46" s="850"/>
      <c r="E46" s="12"/>
      <c r="F46" s="12"/>
      <c r="G46" s="850"/>
      <c r="H46" s="12"/>
      <c r="I46" s="851"/>
      <c r="J46" s="850"/>
      <c r="K46" s="12"/>
      <c r="L46" s="12"/>
      <c r="M46" s="852"/>
      <c r="N46" s="12"/>
      <c r="O46" s="852"/>
      <c r="P46" s="850"/>
      <c r="Q46" s="12"/>
      <c r="R46" s="12"/>
      <c r="S46" s="12"/>
      <c r="T46" s="12"/>
      <c r="U46" s="849"/>
      <c r="V46" s="849"/>
      <c r="W46" s="12"/>
      <c r="X46" s="12"/>
      <c r="Y46" s="849"/>
      <c r="Z46" s="12"/>
      <c r="AA46" s="12"/>
      <c r="AB46" s="12"/>
      <c r="AC46" s="12"/>
      <c r="AD46" s="12"/>
      <c r="AE46" s="12"/>
      <c r="AF46" s="12"/>
      <c r="AG46" s="12"/>
      <c r="AH46" s="12"/>
      <c r="AI46" s="12"/>
      <c r="AJ46" s="12"/>
      <c r="AK46" s="12"/>
      <c r="AL46" s="12"/>
      <c r="AM46" s="12"/>
      <c r="AN46" s="12"/>
      <c r="AO46" s="12"/>
    </row>
    <row r="47" spans="1:41">
      <c r="A47" s="12"/>
      <c r="B47" s="12"/>
      <c r="C47" s="849"/>
      <c r="D47" s="850"/>
      <c r="E47" s="12"/>
      <c r="F47" s="12"/>
      <c r="G47" s="850"/>
      <c r="H47" s="12"/>
      <c r="I47" s="851"/>
      <c r="J47" s="850"/>
      <c r="K47" s="12"/>
      <c r="L47" s="12"/>
      <c r="M47" s="852"/>
      <c r="N47" s="12"/>
      <c r="O47" s="852"/>
      <c r="P47" s="850"/>
      <c r="Q47" s="12"/>
      <c r="R47" s="12"/>
      <c r="S47" s="12"/>
      <c r="T47" s="12"/>
      <c r="U47" s="849"/>
      <c r="V47" s="849"/>
      <c r="W47" s="12"/>
      <c r="X47" s="12"/>
      <c r="Y47" s="849"/>
      <c r="Z47" s="12"/>
      <c r="AA47" s="12"/>
      <c r="AB47" s="12"/>
      <c r="AC47" s="12"/>
      <c r="AD47" s="12"/>
      <c r="AE47" s="12"/>
      <c r="AF47" s="12"/>
      <c r="AG47" s="12"/>
      <c r="AH47" s="12"/>
      <c r="AI47" s="12"/>
      <c r="AJ47" s="12"/>
      <c r="AK47" s="12"/>
      <c r="AL47" s="12"/>
      <c r="AM47" s="12"/>
      <c r="AN47" s="12"/>
      <c r="AO47" s="12"/>
    </row>
    <row r="48" spans="1:41">
      <c r="A48" s="12"/>
      <c r="B48" s="12"/>
      <c r="C48" s="849"/>
      <c r="D48" s="850"/>
      <c r="E48" s="12"/>
      <c r="F48" s="12"/>
      <c r="G48" s="850"/>
      <c r="H48" s="12"/>
      <c r="I48" s="851"/>
      <c r="J48" s="12"/>
      <c r="K48" s="12"/>
      <c r="L48" s="12"/>
      <c r="M48" s="852"/>
      <c r="N48" s="12"/>
      <c r="O48" s="852"/>
      <c r="P48" s="850"/>
      <c r="Q48" s="12"/>
      <c r="R48" s="12"/>
      <c r="S48" s="12"/>
      <c r="T48" s="12"/>
      <c r="U48" s="849"/>
      <c r="V48" s="849"/>
      <c r="W48" s="12"/>
      <c r="X48" s="12"/>
      <c r="Y48" s="849"/>
      <c r="Z48" s="12"/>
      <c r="AA48" s="12"/>
      <c r="AB48" s="12"/>
      <c r="AC48" s="12"/>
      <c r="AD48" s="12"/>
      <c r="AE48" s="12"/>
      <c r="AF48" s="12"/>
      <c r="AG48" s="12"/>
      <c r="AH48" s="12"/>
      <c r="AI48" s="12"/>
      <c r="AJ48" s="12"/>
      <c r="AK48" s="12"/>
      <c r="AL48" s="12"/>
      <c r="AM48" s="12"/>
      <c r="AN48" s="12"/>
      <c r="AO48" s="12"/>
    </row>
    <row r="49" spans="1:41">
      <c r="A49" s="12"/>
      <c r="B49" s="12"/>
      <c r="C49" s="849"/>
      <c r="D49" s="850"/>
      <c r="E49" s="12"/>
      <c r="F49" s="12"/>
      <c r="G49" s="850"/>
      <c r="H49" s="12"/>
      <c r="I49" s="851"/>
      <c r="J49" s="12"/>
      <c r="K49" s="12"/>
      <c r="L49" s="12"/>
      <c r="M49" s="852"/>
      <c r="N49" s="12"/>
      <c r="O49" s="852"/>
      <c r="P49" s="850"/>
      <c r="Q49" s="12"/>
      <c r="R49" s="12"/>
      <c r="S49" s="12"/>
      <c r="T49" s="12"/>
      <c r="U49" s="849"/>
      <c r="V49" s="849"/>
      <c r="W49" s="12"/>
      <c r="X49" s="12"/>
      <c r="Y49" s="849"/>
      <c r="Z49" s="12"/>
      <c r="AA49" s="12"/>
      <c r="AB49" s="12"/>
      <c r="AC49" s="12"/>
      <c r="AD49" s="12"/>
      <c r="AE49" s="12"/>
      <c r="AF49" s="12"/>
      <c r="AG49" s="12"/>
      <c r="AH49" s="12"/>
      <c r="AI49" s="12"/>
      <c r="AJ49" s="12"/>
      <c r="AK49" s="12"/>
      <c r="AL49" s="12"/>
      <c r="AM49" s="12"/>
      <c r="AN49" s="12"/>
      <c r="AO49" s="12"/>
    </row>
    <row r="50" spans="1:41">
      <c r="A50" s="12"/>
      <c r="B50" s="12"/>
      <c r="C50" s="849"/>
      <c r="D50" s="850"/>
      <c r="E50" s="12"/>
      <c r="F50" s="12"/>
      <c r="G50" s="850"/>
      <c r="H50" s="12"/>
      <c r="I50" s="851"/>
      <c r="J50" s="850"/>
      <c r="K50" s="12"/>
      <c r="L50" s="12"/>
      <c r="M50" s="852"/>
      <c r="N50" s="12"/>
      <c r="O50" s="852"/>
      <c r="P50" s="850"/>
      <c r="Q50" s="12"/>
      <c r="R50" s="12"/>
      <c r="S50" s="12"/>
      <c r="T50" s="12"/>
      <c r="U50" s="849"/>
      <c r="V50" s="849"/>
      <c r="W50" s="12"/>
      <c r="X50" s="12"/>
      <c r="Y50" s="849"/>
      <c r="Z50" s="12"/>
      <c r="AA50" s="12"/>
      <c r="AB50" s="12"/>
      <c r="AC50" s="12"/>
      <c r="AD50" s="12"/>
      <c r="AE50" s="12"/>
      <c r="AF50" s="12"/>
      <c r="AG50" s="12"/>
      <c r="AH50" s="12"/>
      <c r="AI50" s="12"/>
      <c r="AJ50" s="12"/>
      <c r="AK50" s="12"/>
      <c r="AL50" s="12"/>
      <c r="AM50" s="12"/>
      <c r="AN50" s="12"/>
      <c r="AO50" s="12"/>
    </row>
    <row r="51" spans="1:41">
      <c r="A51" s="12"/>
      <c r="B51" s="12"/>
      <c r="C51" s="849"/>
      <c r="D51" s="850"/>
      <c r="E51" s="12"/>
      <c r="F51" s="12"/>
      <c r="G51" s="850"/>
      <c r="H51" s="12"/>
      <c r="I51" s="851"/>
      <c r="J51" s="850"/>
      <c r="K51" s="12"/>
      <c r="L51" s="12"/>
      <c r="M51" s="852"/>
      <c r="N51" s="12"/>
      <c r="O51" s="852"/>
      <c r="P51" s="850"/>
      <c r="Q51" s="12"/>
      <c r="R51" s="12"/>
      <c r="S51" s="12"/>
      <c r="T51" s="12"/>
      <c r="U51" s="849"/>
      <c r="V51" s="849"/>
      <c r="W51" s="12"/>
      <c r="X51" s="12"/>
      <c r="Y51" s="849"/>
      <c r="Z51" s="12"/>
      <c r="AA51" s="12"/>
      <c r="AB51" s="12"/>
      <c r="AC51" s="12"/>
      <c r="AD51" s="12"/>
      <c r="AE51" s="12"/>
      <c r="AF51" s="12"/>
      <c r="AG51" s="12"/>
      <c r="AH51" s="12"/>
      <c r="AI51" s="12"/>
      <c r="AJ51" s="12"/>
      <c r="AK51" s="12"/>
      <c r="AL51" s="12"/>
      <c r="AM51" s="12"/>
      <c r="AN51" s="12"/>
      <c r="AO51" s="12"/>
    </row>
    <row r="52" spans="1:41">
      <c r="A52" s="12"/>
      <c r="B52" s="12"/>
      <c r="C52" s="849"/>
      <c r="D52" s="850"/>
      <c r="E52" s="12"/>
      <c r="F52" s="12"/>
      <c r="G52" s="850"/>
      <c r="H52" s="12"/>
      <c r="I52" s="851"/>
      <c r="J52" s="850"/>
      <c r="K52" s="12"/>
      <c r="L52" s="12"/>
      <c r="M52" s="852"/>
      <c r="N52" s="12"/>
      <c r="O52" s="852"/>
      <c r="P52" s="850"/>
      <c r="Q52" s="12"/>
      <c r="R52" s="12"/>
      <c r="S52" s="12"/>
      <c r="T52" s="12"/>
      <c r="U52" s="849"/>
      <c r="V52" s="849"/>
      <c r="W52" s="12"/>
      <c r="X52" s="12"/>
      <c r="Y52" s="849"/>
      <c r="Z52" s="12"/>
      <c r="AA52" s="12"/>
      <c r="AB52" s="12"/>
      <c r="AC52" s="12"/>
      <c r="AD52" s="12"/>
      <c r="AE52" s="12"/>
      <c r="AF52" s="12"/>
      <c r="AG52" s="12"/>
      <c r="AH52" s="12"/>
      <c r="AI52" s="12"/>
      <c r="AJ52" s="12"/>
      <c r="AK52" s="12"/>
      <c r="AL52" s="12"/>
      <c r="AM52" s="12"/>
      <c r="AN52" s="12"/>
      <c r="AO52" s="12"/>
    </row>
    <row r="53" spans="1:41">
      <c r="A53" s="12"/>
      <c r="B53" s="12"/>
      <c r="C53" s="849"/>
      <c r="D53" s="850"/>
      <c r="E53" s="12"/>
      <c r="F53" s="12"/>
      <c r="G53" s="850"/>
      <c r="H53" s="12"/>
      <c r="I53" s="851"/>
      <c r="J53" s="850"/>
      <c r="K53" s="12"/>
      <c r="L53" s="12"/>
      <c r="M53" s="852"/>
      <c r="N53" s="12"/>
      <c r="O53" s="852"/>
      <c r="P53" s="850"/>
      <c r="Q53" s="12"/>
      <c r="R53" s="12"/>
      <c r="S53" s="12"/>
      <c r="T53" s="12"/>
      <c r="U53" s="849"/>
      <c r="V53" s="849"/>
      <c r="W53" s="12"/>
      <c r="X53" s="12"/>
      <c r="Y53" s="849"/>
      <c r="Z53" s="12"/>
      <c r="AA53" s="12"/>
      <c r="AB53" s="12"/>
      <c r="AC53" s="12"/>
      <c r="AD53" s="12"/>
      <c r="AE53" s="12"/>
      <c r="AF53" s="12"/>
      <c r="AG53" s="12"/>
      <c r="AH53" s="12"/>
      <c r="AI53" s="12"/>
      <c r="AJ53" s="12"/>
      <c r="AK53" s="12"/>
      <c r="AL53" s="12"/>
      <c r="AM53" s="12"/>
      <c r="AN53" s="12"/>
      <c r="AO53" s="12"/>
    </row>
    <row r="54" spans="1:41">
      <c r="A54" s="12"/>
      <c r="B54" s="12"/>
      <c r="C54" s="849"/>
      <c r="D54" s="850"/>
      <c r="E54" s="12"/>
      <c r="F54" s="12"/>
      <c r="G54" s="850"/>
      <c r="H54" s="12"/>
      <c r="I54" s="851"/>
      <c r="J54" s="850"/>
      <c r="K54" s="12"/>
      <c r="L54" s="12"/>
      <c r="M54" s="852"/>
      <c r="N54" s="12"/>
      <c r="O54" s="852"/>
      <c r="P54" s="850"/>
      <c r="Q54" s="12"/>
      <c r="R54" s="12"/>
      <c r="S54" s="12"/>
      <c r="T54" s="12"/>
      <c r="U54" s="849"/>
      <c r="V54" s="849"/>
      <c r="W54" s="12"/>
      <c r="X54" s="12"/>
      <c r="Y54" s="849"/>
      <c r="Z54" s="12"/>
      <c r="AA54" s="12"/>
      <c r="AB54" s="12"/>
      <c r="AC54" s="12"/>
      <c r="AD54" s="12"/>
      <c r="AE54" s="12"/>
      <c r="AF54" s="12"/>
      <c r="AG54" s="12"/>
      <c r="AH54" s="12"/>
      <c r="AI54" s="12"/>
      <c r="AJ54" s="12"/>
      <c r="AK54" s="12"/>
      <c r="AL54" s="12"/>
      <c r="AM54" s="12"/>
      <c r="AN54" s="12"/>
      <c r="AO54" s="12"/>
    </row>
    <row r="55" spans="1:41">
      <c r="A55" s="12"/>
      <c r="B55" s="12"/>
      <c r="C55" s="849"/>
      <c r="D55" s="850"/>
      <c r="E55" s="12"/>
      <c r="F55" s="12"/>
      <c r="G55" s="850"/>
      <c r="H55" s="12"/>
      <c r="I55" s="851"/>
      <c r="J55" s="850"/>
      <c r="K55" s="12"/>
      <c r="L55" s="12"/>
      <c r="M55" s="852"/>
      <c r="N55" s="12"/>
      <c r="O55" s="852"/>
      <c r="P55" s="850"/>
      <c r="Q55" s="12"/>
      <c r="R55" s="12"/>
      <c r="S55" s="12"/>
      <c r="T55" s="12"/>
      <c r="U55" s="849"/>
      <c r="V55" s="849"/>
      <c r="W55" s="12"/>
      <c r="X55" s="12"/>
      <c r="Y55" s="849"/>
      <c r="Z55" s="12"/>
      <c r="AA55" s="12"/>
      <c r="AB55" s="12"/>
      <c r="AC55" s="12"/>
      <c r="AD55" s="12"/>
      <c r="AE55" s="12"/>
      <c r="AF55" s="12"/>
      <c r="AG55" s="12"/>
      <c r="AH55" s="12"/>
      <c r="AI55" s="12"/>
      <c r="AJ55" s="12"/>
      <c r="AK55" s="12"/>
      <c r="AL55" s="12"/>
      <c r="AM55" s="12"/>
      <c r="AN55" s="12"/>
      <c r="AO55" s="12"/>
    </row>
    <row r="56" spans="1:41">
      <c r="A56" s="12"/>
      <c r="B56" s="12"/>
      <c r="C56" s="849"/>
      <c r="D56" s="850"/>
      <c r="E56" s="12"/>
      <c r="F56" s="12"/>
      <c r="G56" s="850"/>
      <c r="H56" s="12"/>
      <c r="I56" s="851"/>
      <c r="J56" s="850"/>
      <c r="K56" s="12"/>
      <c r="L56" s="12"/>
      <c r="M56" s="852"/>
      <c r="N56" s="12"/>
      <c r="O56" s="852"/>
      <c r="P56" s="850"/>
      <c r="Q56" s="12"/>
      <c r="R56" s="12"/>
      <c r="S56" s="12"/>
      <c r="T56" s="12"/>
      <c r="U56" s="849"/>
      <c r="V56" s="849"/>
      <c r="W56" s="12"/>
      <c r="X56" s="12"/>
      <c r="Y56" s="849"/>
      <c r="Z56" s="12"/>
      <c r="AA56" s="12"/>
      <c r="AB56" s="12"/>
      <c r="AC56" s="12"/>
      <c r="AD56" s="12"/>
      <c r="AE56" s="12"/>
      <c r="AF56" s="12"/>
      <c r="AG56" s="12"/>
      <c r="AH56" s="12"/>
      <c r="AI56" s="12"/>
      <c r="AJ56" s="12"/>
      <c r="AK56" s="12"/>
      <c r="AL56" s="12"/>
      <c r="AM56" s="12"/>
      <c r="AN56" s="12"/>
      <c r="AO56" s="12"/>
    </row>
    <row r="57" spans="1:41">
      <c r="A57" s="12"/>
      <c r="B57" s="12"/>
      <c r="C57" s="849"/>
      <c r="D57" s="850"/>
      <c r="E57" s="12"/>
      <c r="F57" s="12"/>
      <c r="G57" s="850"/>
      <c r="H57" s="12"/>
      <c r="I57" s="851"/>
      <c r="J57" s="850"/>
      <c r="K57" s="12"/>
      <c r="L57" s="12"/>
      <c r="M57" s="852"/>
      <c r="N57" s="12"/>
      <c r="O57" s="852"/>
      <c r="P57" s="850"/>
      <c r="Q57" s="12"/>
      <c r="R57" s="12"/>
      <c r="S57" s="12"/>
      <c r="T57" s="12"/>
      <c r="U57" s="849"/>
      <c r="V57" s="849"/>
      <c r="W57" s="12"/>
      <c r="X57" s="12"/>
      <c r="Y57" s="849"/>
      <c r="Z57" s="12"/>
      <c r="AA57" s="12"/>
      <c r="AB57" s="12"/>
      <c r="AC57" s="12"/>
      <c r="AD57" s="12"/>
      <c r="AE57" s="12"/>
      <c r="AF57" s="12"/>
      <c r="AG57" s="12"/>
      <c r="AH57" s="12"/>
      <c r="AI57" s="12"/>
      <c r="AJ57" s="12"/>
      <c r="AK57" s="12"/>
      <c r="AL57" s="12"/>
      <c r="AM57" s="12"/>
      <c r="AN57" s="12"/>
      <c r="AO57" s="12"/>
    </row>
    <row r="58" spans="1:41">
      <c r="A58" s="12"/>
      <c r="B58" s="12"/>
      <c r="C58" s="849"/>
      <c r="D58" s="850"/>
      <c r="E58" s="12"/>
      <c r="F58" s="12"/>
      <c r="G58" s="850"/>
      <c r="H58" s="12"/>
      <c r="I58" s="851"/>
      <c r="J58" s="850"/>
      <c r="K58" s="12"/>
      <c r="L58" s="12"/>
      <c r="M58" s="852"/>
      <c r="N58" s="12"/>
      <c r="O58" s="852"/>
      <c r="P58" s="850"/>
      <c r="Q58" s="12"/>
      <c r="R58" s="12"/>
      <c r="S58" s="12"/>
      <c r="T58" s="12"/>
      <c r="U58" s="849"/>
      <c r="V58" s="849"/>
      <c r="W58" s="12"/>
      <c r="X58" s="12"/>
      <c r="Y58" s="849"/>
      <c r="Z58" s="12"/>
      <c r="AA58" s="12"/>
      <c r="AB58" s="12"/>
      <c r="AC58" s="12"/>
      <c r="AD58" s="12"/>
      <c r="AE58" s="12"/>
      <c r="AF58" s="12"/>
      <c r="AG58" s="12"/>
      <c r="AH58" s="12"/>
      <c r="AI58" s="12"/>
      <c r="AJ58" s="12"/>
      <c r="AK58" s="12"/>
      <c r="AL58" s="12"/>
      <c r="AM58" s="12"/>
      <c r="AN58" s="12"/>
      <c r="AO58" s="12"/>
    </row>
    <row r="59" spans="1:41">
      <c r="A59" s="12"/>
      <c r="B59" s="12"/>
      <c r="C59" s="849"/>
      <c r="D59" s="850"/>
      <c r="E59" s="12"/>
      <c r="F59" s="12"/>
      <c r="G59" s="850"/>
      <c r="H59" s="12"/>
      <c r="I59" s="851"/>
      <c r="J59" s="850"/>
      <c r="K59" s="12"/>
      <c r="L59" s="12"/>
      <c r="M59" s="852"/>
      <c r="N59" s="12"/>
      <c r="O59" s="852"/>
      <c r="P59" s="850"/>
      <c r="Q59" s="12"/>
      <c r="R59" s="12"/>
      <c r="S59" s="12"/>
      <c r="T59" s="12"/>
      <c r="U59" s="849"/>
      <c r="V59" s="849"/>
      <c r="W59" s="12"/>
      <c r="X59" s="12"/>
      <c r="Y59" s="849"/>
      <c r="Z59" s="12"/>
      <c r="AA59" s="12"/>
      <c r="AB59" s="12"/>
      <c r="AC59" s="12"/>
      <c r="AD59" s="12"/>
      <c r="AE59" s="12"/>
      <c r="AF59" s="12"/>
      <c r="AG59" s="12"/>
      <c r="AH59" s="12"/>
      <c r="AI59" s="12"/>
      <c r="AJ59" s="12"/>
      <c r="AK59" s="12"/>
      <c r="AL59" s="12"/>
      <c r="AM59" s="12"/>
      <c r="AN59" s="12"/>
      <c r="AO59" s="12"/>
    </row>
    <row r="60" spans="1:41">
      <c r="A60" s="12"/>
      <c r="B60" s="12"/>
      <c r="C60" s="849"/>
      <c r="D60" s="850"/>
      <c r="E60" s="12"/>
      <c r="F60" s="12"/>
      <c r="G60" s="850"/>
      <c r="H60" s="12"/>
      <c r="I60" s="851"/>
      <c r="J60" s="850"/>
      <c r="K60" s="12"/>
      <c r="L60" s="12"/>
      <c r="M60" s="852"/>
      <c r="N60" s="12"/>
      <c r="O60" s="852"/>
      <c r="P60" s="850"/>
      <c r="Q60" s="12"/>
      <c r="R60" s="12"/>
      <c r="S60" s="12"/>
      <c r="T60" s="12"/>
      <c r="U60" s="849"/>
      <c r="V60" s="849"/>
      <c r="W60" s="12"/>
      <c r="X60" s="12"/>
      <c r="Y60" s="849"/>
      <c r="Z60" s="12"/>
      <c r="AA60" s="12"/>
      <c r="AB60" s="12"/>
      <c r="AC60" s="12"/>
      <c r="AD60" s="12"/>
      <c r="AE60" s="12"/>
      <c r="AF60" s="12"/>
      <c r="AG60" s="12"/>
      <c r="AH60" s="12"/>
      <c r="AI60" s="12"/>
      <c r="AJ60" s="12"/>
      <c r="AK60" s="12"/>
      <c r="AL60" s="12"/>
      <c r="AM60" s="12"/>
      <c r="AN60" s="12"/>
      <c r="AO60" s="12"/>
    </row>
    <row r="61" spans="1:41">
      <c r="A61" s="12"/>
      <c r="B61" s="12"/>
      <c r="C61" s="849"/>
      <c r="D61" s="850"/>
      <c r="E61" s="12"/>
      <c r="F61" s="12"/>
      <c r="G61" s="850"/>
      <c r="H61" s="12"/>
      <c r="I61" s="851"/>
      <c r="J61" s="850"/>
      <c r="K61" s="12"/>
      <c r="L61" s="12"/>
      <c r="M61" s="852"/>
      <c r="N61" s="12"/>
      <c r="O61" s="852"/>
      <c r="P61" s="850"/>
      <c r="Q61" s="12"/>
      <c r="R61" s="12"/>
      <c r="S61" s="12"/>
      <c r="T61" s="12"/>
      <c r="U61" s="849"/>
      <c r="V61" s="849"/>
      <c r="W61" s="12"/>
      <c r="X61" s="12"/>
      <c r="Y61" s="849"/>
      <c r="Z61" s="12"/>
      <c r="AA61" s="12"/>
      <c r="AB61" s="12"/>
      <c r="AC61" s="12"/>
      <c r="AD61" s="12"/>
      <c r="AE61" s="12"/>
      <c r="AF61" s="12"/>
      <c r="AG61" s="12"/>
      <c r="AH61" s="12"/>
      <c r="AI61" s="12"/>
      <c r="AJ61" s="12"/>
      <c r="AK61" s="12"/>
      <c r="AL61" s="12"/>
      <c r="AM61" s="12"/>
      <c r="AN61" s="12"/>
      <c r="AO61" s="12"/>
    </row>
    <row r="62" spans="1:41">
      <c r="A62" s="12"/>
      <c r="B62" s="12"/>
      <c r="C62" s="849"/>
      <c r="D62" s="850"/>
      <c r="E62" s="12"/>
      <c r="F62" s="12"/>
      <c r="G62" s="850"/>
      <c r="H62" s="12"/>
      <c r="I62" s="851"/>
      <c r="J62" s="850"/>
      <c r="K62" s="12"/>
      <c r="L62" s="12"/>
      <c r="M62" s="852"/>
      <c r="N62" s="12"/>
      <c r="O62" s="852"/>
      <c r="P62" s="850"/>
      <c r="Q62" s="12"/>
      <c r="R62" s="12"/>
      <c r="S62" s="12"/>
      <c r="T62" s="12"/>
      <c r="U62" s="849"/>
      <c r="V62" s="849"/>
      <c r="W62" s="12"/>
      <c r="X62" s="12"/>
      <c r="Y62" s="849"/>
      <c r="Z62" s="12"/>
      <c r="AA62" s="12"/>
      <c r="AB62" s="12"/>
      <c r="AC62" s="12"/>
      <c r="AD62" s="12"/>
      <c r="AE62" s="12"/>
      <c r="AF62" s="12"/>
      <c r="AG62" s="12"/>
      <c r="AH62" s="12"/>
      <c r="AI62" s="12"/>
      <c r="AJ62" s="12"/>
      <c r="AK62" s="12"/>
      <c r="AL62" s="12"/>
      <c r="AM62" s="12"/>
      <c r="AN62" s="12"/>
      <c r="AO62" s="12"/>
    </row>
    <row r="63" spans="1:41">
      <c r="A63" s="12"/>
      <c r="B63" s="12"/>
      <c r="C63" s="849"/>
      <c r="D63" s="850"/>
      <c r="E63" s="12"/>
      <c r="F63" s="12"/>
      <c r="G63" s="850"/>
      <c r="H63" s="12"/>
      <c r="I63" s="851"/>
      <c r="J63" s="850"/>
      <c r="K63" s="12"/>
      <c r="L63" s="12"/>
      <c r="M63" s="852"/>
      <c r="N63" s="12"/>
      <c r="O63" s="852"/>
      <c r="P63" s="850"/>
      <c r="Q63" s="12"/>
      <c r="R63" s="12"/>
      <c r="S63" s="12"/>
      <c r="T63" s="12"/>
      <c r="U63" s="849"/>
      <c r="V63" s="849"/>
      <c r="W63" s="12"/>
      <c r="X63" s="12"/>
      <c r="Y63" s="849"/>
      <c r="Z63" s="12"/>
      <c r="AA63" s="12"/>
      <c r="AB63" s="12"/>
      <c r="AC63" s="12"/>
      <c r="AD63" s="12"/>
      <c r="AE63" s="12"/>
      <c r="AF63" s="12"/>
      <c r="AG63" s="12"/>
      <c r="AH63" s="12"/>
      <c r="AI63" s="12"/>
      <c r="AJ63" s="12"/>
      <c r="AK63" s="12"/>
      <c r="AL63" s="12"/>
      <c r="AM63" s="12"/>
      <c r="AN63" s="12"/>
      <c r="AO63" s="12"/>
    </row>
    <row r="64" spans="1:41">
      <c r="A64" s="12"/>
      <c r="B64" s="12"/>
      <c r="C64" s="849"/>
      <c r="D64" s="850"/>
      <c r="E64" s="12"/>
      <c r="F64" s="12"/>
      <c r="G64" s="850"/>
      <c r="H64" s="12"/>
      <c r="I64" s="851"/>
      <c r="J64" s="850"/>
      <c r="K64" s="12"/>
      <c r="L64" s="12"/>
      <c r="M64" s="852"/>
      <c r="N64" s="12"/>
      <c r="O64" s="852"/>
      <c r="P64" s="850"/>
      <c r="Q64" s="12"/>
      <c r="R64" s="12"/>
      <c r="S64" s="12"/>
      <c r="T64" s="12"/>
      <c r="U64" s="849"/>
      <c r="V64" s="849"/>
      <c r="W64" s="12"/>
      <c r="X64" s="12"/>
      <c r="Y64" s="849"/>
      <c r="Z64" s="12"/>
      <c r="AA64" s="12"/>
      <c r="AB64" s="12"/>
      <c r="AC64" s="12"/>
      <c r="AD64" s="12"/>
      <c r="AE64" s="12"/>
      <c r="AF64" s="12"/>
      <c r="AG64" s="12"/>
      <c r="AH64" s="12"/>
      <c r="AI64" s="12"/>
      <c r="AJ64" s="12"/>
      <c r="AK64" s="12"/>
      <c r="AL64" s="12"/>
      <c r="AM64" s="12"/>
      <c r="AN64" s="12"/>
      <c r="AO64" s="12"/>
    </row>
    <row r="65" spans="1:41">
      <c r="A65" s="12"/>
      <c r="B65" s="12"/>
      <c r="C65" s="12"/>
      <c r="D65" s="850"/>
      <c r="E65" s="12"/>
      <c r="F65" s="12"/>
      <c r="G65" s="12"/>
      <c r="H65" s="12"/>
      <c r="I65" s="12"/>
      <c r="J65" s="12"/>
      <c r="K65" s="12"/>
      <c r="L65" s="12"/>
      <c r="M65" s="852"/>
      <c r="N65" s="12"/>
      <c r="O65" s="12"/>
      <c r="P65" s="12"/>
      <c r="Q65" s="12"/>
      <c r="R65" s="12"/>
      <c r="S65" s="12"/>
      <c r="T65" s="12"/>
      <c r="U65" s="12"/>
      <c r="V65" s="849"/>
      <c r="W65" s="12"/>
      <c r="X65" s="12"/>
      <c r="Y65" s="12"/>
      <c r="Z65" s="12"/>
      <c r="AA65" s="12"/>
      <c r="AB65" s="12"/>
      <c r="AC65" s="12"/>
      <c r="AD65" s="12"/>
      <c r="AE65" s="12"/>
      <c r="AF65" s="12"/>
      <c r="AG65" s="12"/>
      <c r="AH65" s="12"/>
      <c r="AI65" s="12"/>
      <c r="AJ65" s="12"/>
      <c r="AK65" s="12"/>
      <c r="AL65" s="12"/>
      <c r="AM65" s="12"/>
      <c r="AN65" s="12"/>
      <c r="AO65" s="12"/>
    </row>
    <row r="66" spans="1:41">
      <c r="A66" s="12"/>
      <c r="B66" s="12"/>
      <c r="C66" s="12"/>
      <c r="D66" s="850"/>
      <c r="E66" s="12"/>
      <c r="F66" s="12"/>
      <c r="G66" s="12"/>
      <c r="H66" s="12"/>
      <c r="I66" s="12"/>
      <c r="J66" s="12"/>
      <c r="K66" s="12"/>
      <c r="L66" s="12"/>
      <c r="M66" s="852"/>
      <c r="N66" s="12"/>
      <c r="O66" s="12"/>
      <c r="P66" s="12"/>
      <c r="Q66" s="12"/>
      <c r="R66" s="12"/>
      <c r="S66" s="12"/>
      <c r="T66" s="12"/>
      <c r="U66" s="12"/>
      <c r="V66" s="849"/>
      <c r="W66" s="12"/>
      <c r="X66" s="12"/>
      <c r="Y66" s="12"/>
      <c r="Z66" s="12"/>
      <c r="AA66" s="12"/>
      <c r="AB66" s="12"/>
      <c r="AC66" s="12"/>
      <c r="AD66" s="12"/>
      <c r="AE66" s="12"/>
      <c r="AF66" s="12"/>
      <c r="AG66" s="12"/>
      <c r="AH66" s="12"/>
      <c r="AI66" s="12"/>
      <c r="AJ66" s="12"/>
      <c r="AK66" s="12"/>
      <c r="AL66" s="12"/>
      <c r="AM66" s="12"/>
      <c r="AN66" s="12"/>
      <c r="AO66" s="12"/>
    </row>
    <row r="67" spans="1:41">
      <c r="A67" s="12"/>
      <c r="B67" s="12"/>
      <c r="C67" s="12"/>
      <c r="D67" s="850"/>
      <c r="E67" s="12"/>
      <c r="F67" s="12"/>
      <c r="G67" s="12"/>
      <c r="H67" s="12"/>
      <c r="I67" s="12"/>
      <c r="J67" s="12"/>
      <c r="K67" s="12"/>
      <c r="L67" s="12"/>
      <c r="M67" s="852"/>
      <c r="N67" s="12"/>
      <c r="O67" s="12"/>
      <c r="P67" s="12"/>
      <c r="Q67" s="12"/>
      <c r="R67" s="12"/>
      <c r="S67" s="12"/>
      <c r="T67" s="12"/>
      <c r="U67" s="12"/>
      <c r="V67" s="849"/>
      <c r="W67" s="12"/>
      <c r="X67" s="12"/>
      <c r="Y67" s="12"/>
      <c r="Z67" s="12"/>
      <c r="AA67" s="12"/>
      <c r="AB67" s="12"/>
      <c r="AC67" s="12"/>
      <c r="AD67" s="12"/>
      <c r="AE67" s="12"/>
      <c r="AF67" s="12"/>
      <c r="AG67" s="12"/>
      <c r="AH67" s="12"/>
      <c r="AI67" s="12"/>
      <c r="AJ67" s="12"/>
      <c r="AK67" s="12"/>
      <c r="AL67" s="12"/>
      <c r="AM67" s="12"/>
      <c r="AN67" s="12"/>
      <c r="AO67" s="12"/>
    </row>
    <row r="68" spans="1:41">
      <c r="A68" s="12"/>
      <c r="B68" s="12"/>
      <c r="C68" s="12"/>
      <c r="D68" s="850"/>
      <c r="E68" s="12"/>
      <c r="F68" s="12"/>
      <c r="G68" s="12"/>
      <c r="H68" s="12"/>
      <c r="I68" s="12"/>
      <c r="J68" s="12"/>
      <c r="K68" s="12"/>
      <c r="L68" s="12"/>
      <c r="M68" s="852"/>
      <c r="N68" s="12"/>
      <c r="O68" s="12"/>
      <c r="P68" s="12"/>
      <c r="Q68" s="12"/>
      <c r="R68" s="12"/>
      <c r="S68" s="12"/>
      <c r="T68" s="12"/>
      <c r="U68" s="12"/>
      <c r="V68" s="849"/>
      <c r="W68" s="12"/>
      <c r="X68" s="12"/>
      <c r="Y68" s="12"/>
      <c r="Z68" s="12"/>
      <c r="AA68" s="12"/>
      <c r="AB68" s="12"/>
      <c r="AC68" s="12"/>
      <c r="AD68" s="12"/>
      <c r="AE68" s="12"/>
      <c r="AF68" s="12"/>
      <c r="AG68" s="12"/>
      <c r="AH68" s="12"/>
      <c r="AI68" s="12"/>
      <c r="AJ68" s="12"/>
      <c r="AK68" s="12"/>
      <c r="AL68" s="12"/>
      <c r="AM68" s="12"/>
      <c r="AN68" s="12"/>
      <c r="AO68" s="12"/>
    </row>
    <row r="69" spans="1:41">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row>
    <row r="70" spans="1:41">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row>
    <row r="71" spans="1:41">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row>
    <row r="72" spans="1:41">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row>
    <row r="73" spans="1:41">
      <c r="C73" s="14"/>
      <c r="D73" s="12"/>
      <c r="E73" s="14"/>
      <c r="F73" s="923"/>
      <c r="G73" s="923"/>
      <c r="H73" s="923"/>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row>
    <row r="74" spans="1:41">
      <c r="C74" s="924"/>
      <c r="D74" s="12"/>
      <c r="E74" s="14"/>
      <c r="F74" s="925"/>
      <c r="G74" s="925"/>
      <c r="H74" s="925"/>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row>
    <row r="75" spans="1:41">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row>
    <row r="76" spans="1:41">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row>
    <row r="77" spans="1:41">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row>
    <row r="78" spans="1:41">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row>
    <row r="79" spans="1:41">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row>
    <row r="80" spans="1:41">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row>
    <row r="81" spans="3:41">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row>
    <row r="82" spans="3:41">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row>
    <row r="83" spans="3:41">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row>
  </sheetData>
  <sortState ref="A9:AC35">
    <sortCondition ref="B9"/>
  </sortState>
  <mergeCells count="1">
    <mergeCell ref="U5:W5"/>
  </mergeCells>
  <phoneticPr fontId="15" type="noConversion"/>
  <pageMargins left="0.75" right="1" top="1" bottom="1" header="0.5" footer="0.5"/>
  <pageSetup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tabColor rgb="FF92D050"/>
  </sheetPr>
  <dimension ref="A1:AI68"/>
  <sheetViews>
    <sheetView zoomScale="85" zoomScaleNormal="85" workbookViewId="0">
      <pane ySplit="7" topLeftCell="A35" activePane="bottomLeft" state="frozen"/>
      <selection pane="bottomLeft" activeCell="J59" sqref="J59"/>
    </sheetView>
  </sheetViews>
  <sheetFormatPr baseColWidth="10" defaultColWidth="8.7109375" defaultRowHeight="16"/>
  <cols>
    <col min="1" max="8" width="8.7109375" customWidth="1"/>
    <col min="9" max="9" width="2.7109375" customWidth="1"/>
    <col min="10" max="10" width="8.7109375" customWidth="1"/>
    <col min="11" max="11" width="9.7109375" customWidth="1"/>
    <col min="12" max="12" width="10.85546875" customWidth="1"/>
    <col min="13" max="16" width="8.7109375" customWidth="1"/>
    <col min="17" max="17" width="2.7109375" customWidth="1"/>
    <col min="18" max="24" width="5.7109375" customWidth="1"/>
    <col min="25" max="25" width="2.7109375" customWidth="1"/>
    <col min="26" max="32" width="5.7109375" customWidth="1"/>
  </cols>
  <sheetData>
    <row r="1" spans="1:35">
      <c r="A1" s="587" t="str">
        <f ca="1">CELL("filename",A1)</f>
        <v>/Users/janohlberger/Work/UW/Thresholds/Data/Rich/[2018_PWS_Wild_Pink_forecast_DRAFT.xlsm]MeanRuns_EvenOrOdd</v>
      </c>
      <c r="B1" s="12"/>
      <c r="C1" s="12"/>
      <c r="D1" s="12"/>
      <c r="E1" s="12"/>
      <c r="F1" s="12"/>
      <c r="G1" s="12"/>
      <c r="H1" s="12"/>
      <c r="I1" s="12"/>
      <c r="J1" s="605"/>
      <c r="K1" s="605"/>
      <c r="L1" s="605"/>
      <c r="M1" s="605"/>
      <c r="N1" s="605"/>
      <c r="O1" s="605"/>
      <c r="P1" s="605"/>
      <c r="Q1" s="605"/>
      <c r="R1" s="605"/>
      <c r="S1" s="605"/>
      <c r="T1" s="605"/>
      <c r="U1" s="605"/>
      <c r="V1" s="605"/>
      <c r="W1" s="605"/>
      <c r="X1" s="605"/>
      <c r="Y1" s="605"/>
      <c r="Z1" s="605"/>
      <c r="AA1" s="605"/>
      <c r="AB1" s="605"/>
      <c r="AC1" s="605"/>
      <c r="AD1" s="605"/>
      <c r="AE1" s="605"/>
      <c r="AF1" s="605"/>
      <c r="AG1" s="605"/>
      <c r="AH1" s="605"/>
      <c r="AI1" s="605"/>
    </row>
    <row r="2" spans="1:35" ht="18">
      <c r="A2" s="632" t="s">
        <v>297</v>
      </c>
      <c r="B2" s="12"/>
      <c r="C2" s="12"/>
      <c r="D2" s="12"/>
      <c r="E2" s="12"/>
      <c r="F2" s="12"/>
      <c r="G2" s="12"/>
      <c r="H2" s="12"/>
      <c r="I2" s="12"/>
      <c r="J2" s="605"/>
      <c r="K2" s="605"/>
      <c r="L2" s="605"/>
      <c r="M2" s="605"/>
      <c r="N2" s="605"/>
      <c r="O2" s="605"/>
      <c r="P2" s="605"/>
      <c r="Q2" s="605"/>
      <c r="R2" s="605"/>
      <c r="S2" s="605"/>
      <c r="T2" s="605"/>
      <c r="U2" s="605"/>
      <c r="V2" s="605"/>
      <c r="W2" s="605"/>
      <c r="X2" s="605"/>
      <c r="Y2" s="605"/>
      <c r="Z2" s="605"/>
      <c r="AA2" s="605"/>
      <c r="AB2" s="605"/>
      <c r="AC2" s="605"/>
      <c r="AD2" s="605"/>
      <c r="AE2" s="605"/>
      <c r="AF2" s="605"/>
      <c r="AG2" s="605"/>
      <c r="AH2" s="605"/>
      <c r="AI2" s="605"/>
    </row>
    <row r="3" spans="1:35" ht="18">
      <c r="A3" s="620" t="s">
        <v>280</v>
      </c>
      <c r="B3" s="12"/>
      <c r="C3" s="12"/>
      <c r="D3" s="12"/>
      <c r="E3" s="12"/>
      <c r="F3" s="12"/>
      <c r="G3" s="12"/>
      <c r="H3" s="12"/>
      <c r="I3" s="12"/>
      <c r="J3" s="605"/>
      <c r="K3" s="605"/>
      <c r="L3" s="605"/>
      <c r="M3" s="605"/>
      <c r="N3" s="605"/>
      <c r="O3" s="605"/>
      <c r="P3" s="605"/>
      <c r="Q3" s="605"/>
      <c r="R3" s="1124" t="s">
        <v>291</v>
      </c>
      <c r="S3" s="1124"/>
      <c r="T3" s="1124"/>
      <c r="U3" s="1124"/>
      <c r="V3" s="1124"/>
      <c r="W3" s="1124"/>
      <c r="X3" s="1124"/>
      <c r="Y3" s="605"/>
      <c r="Z3" s="1124" t="s">
        <v>291</v>
      </c>
      <c r="AA3" s="1124"/>
      <c r="AB3" s="1124"/>
      <c r="AC3" s="1124"/>
      <c r="AD3" s="1124"/>
      <c r="AE3" s="1124"/>
      <c r="AF3" s="1124"/>
      <c r="AG3" s="605"/>
      <c r="AH3" s="605"/>
      <c r="AI3" s="605"/>
    </row>
    <row r="4" spans="1:35">
      <c r="B4" s="22" t="s">
        <v>279</v>
      </c>
      <c r="C4" s="595">
        <v>2018</v>
      </c>
      <c r="D4" s="401" t="s">
        <v>281</v>
      </c>
      <c r="E4" s="12"/>
      <c r="F4" s="12"/>
      <c r="G4" s="12"/>
      <c r="H4" s="12"/>
      <c r="I4" s="12"/>
      <c r="J4" s="605"/>
      <c r="K4" s="605"/>
      <c r="L4" s="605"/>
      <c r="M4" s="605"/>
      <c r="N4" s="605"/>
      <c r="O4" s="605"/>
      <c r="P4" s="605"/>
      <c r="Q4" s="605"/>
      <c r="R4" s="1127" t="s">
        <v>295</v>
      </c>
      <c r="S4" s="1127"/>
      <c r="T4" s="1127"/>
      <c r="U4" s="1127"/>
      <c r="V4" s="1127"/>
      <c r="W4" s="1127"/>
      <c r="X4" s="1127"/>
      <c r="Y4" s="605"/>
      <c r="Z4" s="1127" t="s">
        <v>296</v>
      </c>
      <c r="AA4" s="1127"/>
      <c r="AB4" s="1127"/>
      <c r="AC4" s="1127"/>
      <c r="AD4" s="1127"/>
      <c r="AE4" s="1127"/>
      <c r="AF4" s="1127"/>
      <c r="AG4" s="605"/>
      <c r="AH4" s="605"/>
      <c r="AI4" s="605"/>
    </row>
    <row r="5" spans="1:35">
      <c r="A5" s="676" t="s">
        <v>303</v>
      </c>
      <c r="B5" s="677">
        <v>2</v>
      </c>
      <c r="C5" s="675">
        <v>3</v>
      </c>
      <c r="D5" s="677">
        <v>4</v>
      </c>
      <c r="E5" s="677">
        <v>5</v>
      </c>
      <c r="F5" s="677">
        <v>6</v>
      </c>
      <c r="G5" s="677">
        <v>7</v>
      </c>
      <c r="H5" s="677">
        <v>8</v>
      </c>
      <c r="I5" s="12"/>
      <c r="J5" s="605"/>
      <c r="K5" s="605"/>
      <c r="L5" s="605"/>
      <c r="M5" s="605"/>
      <c r="N5" s="605"/>
      <c r="O5" s="605"/>
      <c r="P5" s="605"/>
      <c r="Q5" s="605"/>
      <c r="R5" s="645"/>
      <c r="S5" s="609"/>
      <c r="T5" s="609"/>
      <c r="U5" s="609"/>
      <c r="V5" s="609"/>
      <c r="W5" s="609"/>
      <c r="X5" s="609"/>
      <c r="Y5" s="605"/>
      <c r="Z5" s="645"/>
      <c r="AA5" s="609"/>
      <c r="AB5" s="609"/>
      <c r="AC5" s="609"/>
      <c r="AD5" s="609"/>
      <c r="AE5" s="609"/>
      <c r="AF5" s="609"/>
      <c r="AG5" s="605"/>
      <c r="AH5" s="605"/>
      <c r="AI5" s="605"/>
    </row>
    <row r="6" spans="1:35">
      <c r="A6" s="226"/>
      <c r="B6" s="226"/>
      <c r="C6" s="591" t="s">
        <v>278</v>
      </c>
      <c r="D6" s="591"/>
      <c r="E6" s="591"/>
      <c r="F6" s="591"/>
      <c r="G6" s="591"/>
      <c r="H6" s="592"/>
      <c r="I6" s="604"/>
      <c r="J6" s="610"/>
      <c r="K6" s="1125" t="s">
        <v>289</v>
      </c>
      <c r="L6" s="1125"/>
      <c r="M6" s="1125"/>
      <c r="N6" s="1125"/>
      <c r="O6" s="1125"/>
      <c r="P6" s="1125"/>
      <c r="Q6" s="605"/>
      <c r="R6" s="610"/>
      <c r="S6" s="1126" t="s">
        <v>288</v>
      </c>
      <c r="T6" s="1125"/>
      <c r="U6" s="1125"/>
      <c r="V6" s="1125"/>
      <c r="W6" s="1125"/>
      <c r="X6" s="1125"/>
      <c r="Y6" s="605"/>
      <c r="Z6" s="610"/>
      <c r="AA6" s="1128" t="s">
        <v>290</v>
      </c>
      <c r="AB6" s="1129"/>
      <c r="AC6" s="1129"/>
      <c r="AD6" s="1129"/>
      <c r="AE6" s="1129"/>
      <c r="AF6" s="1129"/>
      <c r="AG6" s="605"/>
      <c r="AH6" s="605"/>
      <c r="AI6" s="605"/>
    </row>
    <row r="7" spans="1:35" ht="48.75" customHeight="1">
      <c r="A7" s="608" t="s">
        <v>144</v>
      </c>
      <c r="B7" s="227" t="s">
        <v>135</v>
      </c>
      <c r="C7" s="593" t="s">
        <v>271</v>
      </c>
      <c r="D7" s="593" t="s">
        <v>272</v>
      </c>
      <c r="E7" s="593" t="s">
        <v>273</v>
      </c>
      <c r="F7" s="593" t="s">
        <v>274</v>
      </c>
      <c r="G7" s="593" t="s">
        <v>275</v>
      </c>
      <c r="H7" s="594" t="s">
        <v>276</v>
      </c>
      <c r="I7" s="219"/>
      <c r="J7" s="611" t="s">
        <v>144</v>
      </c>
      <c r="K7" s="612" t="s">
        <v>271</v>
      </c>
      <c r="L7" s="612" t="s">
        <v>272</v>
      </c>
      <c r="M7" s="612" t="s">
        <v>273</v>
      </c>
      <c r="N7" s="612" t="s">
        <v>274</v>
      </c>
      <c r="O7" s="612" t="s">
        <v>275</v>
      </c>
      <c r="P7" s="612" t="s">
        <v>276</v>
      </c>
      <c r="Q7" s="605"/>
      <c r="R7" s="611" t="s">
        <v>144</v>
      </c>
      <c r="S7" s="612" t="s">
        <v>271</v>
      </c>
      <c r="T7" s="612" t="s">
        <v>272</v>
      </c>
      <c r="U7" s="612" t="s">
        <v>273</v>
      </c>
      <c r="V7" s="612" t="s">
        <v>274</v>
      </c>
      <c r="W7" s="612" t="s">
        <v>275</v>
      </c>
      <c r="X7" s="612" t="s">
        <v>276</v>
      </c>
      <c r="Y7" s="605"/>
      <c r="Z7" s="611" t="s">
        <v>144</v>
      </c>
      <c r="AA7" s="612" t="s">
        <v>271</v>
      </c>
      <c r="AB7" s="612" t="s">
        <v>272</v>
      </c>
      <c r="AC7" s="612" t="s">
        <v>273</v>
      </c>
      <c r="AD7" s="612" t="s">
        <v>274</v>
      </c>
      <c r="AE7" s="612" t="s">
        <v>275</v>
      </c>
      <c r="AF7" s="612" t="s">
        <v>276</v>
      </c>
      <c r="AG7" s="605"/>
      <c r="AH7" s="605"/>
      <c r="AI7" s="605"/>
    </row>
    <row r="8" spans="1:35">
      <c r="A8" s="596">
        <f>IF(ISEVEN($C$4), 1960, 1961)</f>
        <v>1960</v>
      </c>
      <c r="B8" s="607">
        <f>VLOOKUP($A8,Database!$A$10:$L$130,10,FALSE)</f>
        <v>3192618</v>
      </c>
      <c r="C8" s="614" t="s">
        <v>138</v>
      </c>
      <c r="D8" s="614" t="s">
        <v>138</v>
      </c>
      <c r="E8" s="614" t="s">
        <v>138</v>
      </c>
      <c r="F8" s="614" t="s">
        <v>138</v>
      </c>
      <c r="G8" s="614" t="s">
        <v>138</v>
      </c>
      <c r="H8" s="614" t="s">
        <v>138</v>
      </c>
      <c r="I8" s="376"/>
      <c r="J8" s="613">
        <f>A8</f>
        <v>1960</v>
      </c>
      <c r="K8" s="818" t="s">
        <v>138</v>
      </c>
      <c r="L8" s="818" t="s">
        <v>138</v>
      </c>
      <c r="M8" s="818" t="s">
        <v>138</v>
      </c>
      <c r="N8" s="818" t="s">
        <v>138</v>
      </c>
      <c r="O8" s="818" t="s">
        <v>138</v>
      </c>
      <c r="P8" s="818" t="s">
        <v>138</v>
      </c>
      <c r="Q8" s="605"/>
      <c r="R8" s="613">
        <f>J8</f>
        <v>1960</v>
      </c>
      <c r="S8" s="614" t="s">
        <v>138</v>
      </c>
      <c r="T8" s="614" t="s">
        <v>138</v>
      </c>
      <c r="U8" s="614" t="s">
        <v>138</v>
      </c>
      <c r="V8" s="614" t="s">
        <v>138</v>
      </c>
      <c r="W8" s="614" t="s">
        <v>138</v>
      </c>
      <c r="X8" s="614" t="s">
        <v>138</v>
      </c>
      <c r="Y8" s="605"/>
      <c r="Z8" s="613">
        <f>R8</f>
        <v>1960</v>
      </c>
      <c r="AA8" s="614" t="s">
        <v>138</v>
      </c>
      <c r="AB8" s="614" t="s">
        <v>138</v>
      </c>
      <c r="AC8" s="614" t="s">
        <v>138</v>
      </c>
      <c r="AD8" s="614" t="s">
        <v>138</v>
      </c>
      <c r="AE8" s="614" t="s">
        <v>138</v>
      </c>
      <c r="AF8" s="614" t="s">
        <v>138</v>
      </c>
      <c r="AG8" s="605"/>
      <c r="AH8" s="605"/>
      <c r="AI8" s="605"/>
    </row>
    <row r="9" spans="1:35">
      <c r="A9" s="585">
        <f>A8+2</f>
        <v>1962</v>
      </c>
      <c r="B9" s="607">
        <f>VLOOKUP($A9,Database!$A$10:$L$130,10,FALSE)</f>
        <v>8760326</v>
      </c>
      <c r="C9" s="607">
        <f>B8</f>
        <v>3192618</v>
      </c>
      <c r="D9" s="614" t="s">
        <v>138</v>
      </c>
      <c r="E9" s="614" t="s">
        <v>138</v>
      </c>
      <c r="F9" s="614" t="s">
        <v>138</v>
      </c>
      <c r="G9" s="614" t="s">
        <v>138</v>
      </c>
      <c r="H9" s="614" t="s">
        <v>138</v>
      </c>
      <c r="I9" s="376"/>
      <c r="J9" s="613">
        <f t="shared" ref="J9:J37" si="0">A9</f>
        <v>1962</v>
      </c>
      <c r="K9" s="819">
        <f>C9-$B9</f>
        <v>-5567708</v>
      </c>
      <c r="L9" s="819" t="s">
        <v>138</v>
      </c>
      <c r="M9" s="819" t="s">
        <v>138</v>
      </c>
      <c r="N9" s="819" t="s">
        <v>138</v>
      </c>
      <c r="O9" s="819" t="s">
        <v>138</v>
      </c>
      <c r="P9" s="819" t="s">
        <v>138</v>
      </c>
      <c r="Q9" s="605"/>
      <c r="R9" s="613">
        <f t="shared" ref="R9:R37" si="1">J9</f>
        <v>1962</v>
      </c>
      <c r="S9" s="820">
        <f>(C9-$B9)/$B9</f>
        <v>-0.6355594529244688</v>
      </c>
      <c r="T9" s="820" t="s">
        <v>138</v>
      </c>
      <c r="U9" s="820" t="s">
        <v>138</v>
      </c>
      <c r="V9" s="820" t="s">
        <v>138</v>
      </c>
      <c r="W9" s="820" t="s">
        <v>138</v>
      </c>
      <c r="X9" s="820" t="s">
        <v>138</v>
      </c>
      <c r="Y9" s="605"/>
      <c r="Z9" s="613">
        <f t="shared" ref="Z9:Z37" si="2">R9</f>
        <v>1962</v>
      </c>
      <c r="AA9" s="821">
        <f>ABS(S9)</f>
        <v>0.6355594529244688</v>
      </c>
      <c r="AB9" s="821" t="s">
        <v>138</v>
      </c>
      <c r="AC9" s="821" t="s">
        <v>138</v>
      </c>
      <c r="AD9" s="821" t="s">
        <v>138</v>
      </c>
      <c r="AE9" s="821" t="s">
        <v>138</v>
      </c>
      <c r="AF9" s="821" t="s">
        <v>138</v>
      </c>
      <c r="AG9" s="605"/>
      <c r="AH9" s="605"/>
      <c r="AI9" s="605"/>
    </row>
    <row r="10" spans="1:35">
      <c r="A10" s="585">
        <f t="shared" ref="A10:A37" si="3">A9+2</f>
        <v>1964</v>
      </c>
      <c r="B10" s="607">
        <f>VLOOKUP($A10,Database!$A$10:$L$130,10,FALSE)</f>
        <v>6048576</v>
      </c>
      <c r="C10" s="607">
        <f t="shared" ref="C10:C35" si="4">B9</f>
        <v>8760326</v>
      </c>
      <c r="D10" s="607">
        <f>AVERAGE(B8:B9)</f>
        <v>5976472</v>
      </c>
      <c r="E10" s="614" t="s">
        <v>138</v>
      </c>
      <c r="F10" s="614" t="s">
        <v>138</v>
      </c>
      <c r="G10" s="614" t="s">
        <v>138</v>
      </c>
      <c r="H10" s="614" t="s">
        <v>138</v>
      </c>
      <c r="I10" s="376"/>
      <c r="J10" s="613">
        <f t="shared" si="0"/>
        <v>1964</v>
      </c>
      <c r="K10" s="819">
        <f t="shared" ref="K10:K35" si="5">C10-$B10</f>
        <v>2711750</v>
      </c>
      <c r="L10" s="819">
        <f>D10-$B10</f>
        <v>-72104</v>
      </c>
      <c r="M10" s="819" t="s">
        <v>138</v>
      </c>
      <c r="N10" s="819" t="s">
        <v>138</v>
      </c>
      <c r="O10" s="819" t="s">
        <v>138</v>
      </c>
      <c r="P10" s="819" t="s">
        <v>138</v>
      </c>
      <c r="Q10" s="605"/>
      <c r="R10" s="613">
        <f t="shared" si="1"/>
        <v>1964</v>
      </c>
      <c r="S10" s="820">
        <f t="shared" ref="S10:U35" si="6">(C10-$B10)/$B10</f>
        <v>0.44832866446581809</v>
      </c>
      <c r="T10" s="820">
        <f t="shared" si="6"/>
        <v>-1.1920822355542858E-2</v>
      </c>
      <c r="U10" s="820" t="s">
        <v>138</v>
      </c>
      <c r="V10" s="820" t="s">
        <v>138</v>
      </c>
      <c r="W10" s="820" t="s">
        <v>138</v>
      </c>
      <c r="X10" s="820" t="s">
        <v>138</v>
      </c>
      <c r="Y10" s="605"/>
      <c r="Z10" s="613">
        <f t="shared" si="2"/>
        <v>1964</v>
      </c>
      <c r="AA10" s="821">
        <f t="shared" ref="AA10:AA35" si="7">ABS(S10)</f>
        <v>0.44832866446581809</v>
      </c>
      <c r="AB10" s="821">
        <f t="shared" ref="AB10:AB35" si="8">ABS(T10)</f>
        <v>1.1920822355542858E-2</v>
      </c>
      <c r="AC10" s="821" t="s">
        <v>138</v>
      </c>
      <c r="AD10" s="821" t="s">
        <v>138</v>
      </c>
      <c r="AE10" s="821" t="s">
        <v>138</v>
      </c>
      <c r="AF10" s="821" t="s">
        <v>138</v>
      </c>
      <c r="AG10" s="605"/>
      <c r="AH10" s="605"/>
      <c r="AI10" s="605"/>
    </row>
    <row r="11" spans="1:35">
      <c r="A11" s="585">
        <f t="shared" si="3"/>
        <v>1966</v>
      </c>
      <c r="B11" s="607">
        <f>VLOOKUP($A11,Database!$A$10:$L$130,10,FALSE)</f>
        <v>4122588</v>
      </c>
      <c r="C11" s="607">
        <f t="shared" si="4"/>
        <v>6048576</v>
      </c>
      <c r="D11" s="607">
        <f t="shared" ref="D11:D35" si="9">AVERAGE(B9:B10)</f>
        <v>7404451</v>
      </c>
      <c r="E11" s="607">
        <f>AVERAGE(B8:B11)</f>
        <v>5531027</v>
      </c>
      <c r="F11" s="614" t="s">
        <v>138</v>
      </c>
      <c r="G11" s="614" t="s">
        <v>138</v>
      </c>
      <c r="H11" s="614" t="s">
        <v>138</v>
      </c>
      <c r="I11" s="376"/>
      <c r="J11" s="613">
        <f t="shared" si="0"/>
        <v>1966</v>
      </c>
      <c r="K11" s="819">
        <f t="shared" si="5"/>
        <v>1925988</v>
      </c>
      <c r="L11" s="819">
        <f t="shared" ref="L11:P24" si="10">D11-$B11</f>
        <v>3281863</v>
      </c>
      <c r="M11" s="819">
        <f t="shared" si="10"/>
        <v>1408439</v>
      </c>
      <c r="N11" s="819" t="s">
        <v>138</v>
      </c>
      <c r="O11" s="819" t="s">
        <v>138</v>
      </c>
      <c r="P11" s="819" t="s">
        <v>138</v>
      </c>
      <c r="Q11" s="605"/>
      <c r="R11" s="613">
        <f t="shared" si="1"/>
        <v>1966</v>
      </c>
      <c r="S11" s="820">
        <f t="shared" si="6"/>
        <v>0.46717935432791247</v>
      </c>
      <c r="T11" s="820">
        <f t="shared" si="6"/>
        <v>0.7960686345567396</v>
      </c>
      <c r="U11" s="820">
        <f t="shared" si="6"/>
        <v>0.34163952352260279</v>
      </c>
      <c r="V11" s="820" t="s">
        <v>138</v>
      </c>
      <c r="W11" s="820" t="s">
        <v>138</v>
      </c>
      <c r="X11" s="820" t="s">
        <v>138</v>
      </c>
      <c r="Y11" s="605"/>
      <c r="Z11" s="613">
        <f t="shared" si="2"/>
        <v>1966</v>
      </c>
      <c r="AA11" s="821">
        <f t="shared" si="7"/>
        <v>0.46717935432791247</v>
      </c>
      <c r="AB11" s="821">
        <f t="shared" si="8"/>
        <v>0.7960686345567396</v>
      </c>
      <c r="AC11" s="821">
        <f t="shared" ref="AC11:AC35" si="11">ABS(U11)</f>
        <v>0.34163952352260279</v>
      </c>
      <c r="AD11" s="821" t="s">
        <v>138</v>
      </c>
      <c r="AE11" s="821" t="s">
        <v>138</v>
      </c>
      <c r="AF11" s="821" t="s">
        <v>138</v>
      </c>
      <c r="AG11" s="605"/>
      <c r="AH11" s="605"/>
      <c r="AI11" s="605"/>
    </row>
    <row r="12" spans="1:35">
      <c r="A12" s="585">
        <f t="shared" si="3"/>
        <v>1968</v>
      </c>
      <c r="B12" s="607">
        <f>VLOOKUP($A12,Database!$A$10:$L$130,10,FALSE)</f>
        <v>3608678</v>
      </c>
      <c r="C12" s="607">
        <f t="shared" si="4"/>
        <v>4122588</v>
      </c>
      <c r="D12" s="607">
        <f t="shared" si="9"/>
        <v>5085582</v>
      </c>
      <c r="E12" s="607">
        <f t="shared" ref="E12:E35" si="12">AVERAGE(B9:B12)</f>
        <v>5635042</v>
      </c>
      <c r="F12" s="607">
        <f>AVERAGE(B8:B11)</f>
        <v>5531027</v>
      </c>
      <c r="G12" s="614" t="s">
        <v>138</v>
      </c>
      <c r="H12" s="614" t="s">
        <v>138</v>
      </c>
      <c r="I12" s="376"/>
      <c r="J12" s="613">
        <f t="shared" si="0"/>
        <v>1968</v>
      </c>
      <c r="K12" s="819">
        <f t="shared" si="5"/>
        <v>513910</v>
      </c>
      <c r="L12" s="819">
        <f t="shared" si="10"/>
        <v>1476904</v>
      </c>
      <c r="M12" s="819">
        <f t="shared" si="10"/>
        <v>2026364</v>
      </c>
      <c r="N12" s="819">
        <f t="shared" si="10"/>
        <v>1922349</v>
      </c>
      <c r="O12" s="819" t="s">
        <v>138</v>
      </c>
      <c r="P12" s="819" t="s">
        <v>138</v>
      </c>
      <c r="Q12" s="605"/>
      <c r="R12" s="613">
        <f t="shared" si="1"/>
        <v>1968</v>
      </c>
      <c r="S12" s="820">
        <f t="shared" si="6"/>
        <v>0.14240949178618872</v>
      </c>
      <c r="T12" s="820">
        <f t="shared" si="6"/>
        <v>0.40926455616156387</v>
      </c>
      <c r="U12" s="820">
        <f t="shared" ref="U12:U13" si="13">(E12-$B12)/$B12</f>
        <v>0.56152530095508657</v>
      </c>
      <c r="V12" s="820">
        <f t="shared" ref="V12:V13" si="14">(F12-$B12)/$B12</f>
        <v>0.53270172622772105</v>
      </c>
      <c r="W12" s="820" t="s">
        <v>138</v>
      </c>
      <c r="X12" s="820" t="s">
        <v>138</v>
      </c>
      <c r="Y12" s="605"/>
      <c r="Z12" s="613">
        <f t="shared" si="2"/>
        <v>1968</v>
      </c>
      <c r="AA12" s="821">
        <f t="shared" si="7"/>
        <v>0.14240949178618872</v>
      </c>
      <c r="AB12" s="821">
        <f t="shared" si="8"/>
        <v>0.40926455616156387</v>
      </c>
      <c r="AC12" s="821">
        <f t="shared" si="11"/>
        <v>0.56152530095508657</v>
      </c>
      <c r="AD12" s="821">
        <f t="shared" ref="AD12:AD35" si="15">ABS(V12)</f>
        <v>0.53270172622772105</v>
      </c>
      <c r="AE12" s="821" t="s">
        <v>138</v>
      </c>
      <c r="AF12" s="821" t="s">
        <v>138</v>
      </c>
      <c r="AG12" s="605"/>
      <c r="AH12" s="605"/>
      <c r="AI12" s="605"/>
    </row>
    <row r="13" spans="1:35">
      <c r="A13" s="585">
        <f t="shared" si="3"/>
        <v>1970</v>
      </c>
      <c r="B13" s="607">
        <f>VLOOKUP($A13,Database!$A$10:$L$130,10,FALSE)</f>
        <v>3789216</v>
      </c>
      <c r="C13" s="607">
        <f t="shared" si="4"/>
        <v>3608678</v>
      </c>
      <c r="D13" s="607">
        <f t="shared" si="9"/>
        <v>3865633</v>
      </c>
      <c r="E13" s="607">
        <f t="shared" si="12"/>
        <v>4392264.5</v>
      </c>
      <c r="F13" s="607">
        <f t="shared" ref="F13:F34" si="16">AVERAGE(B9:B12)</f>
        <v>5635042</v>
      </c>
      <c r="G13" s="607">
        <f>AVERAGE(B8:B12)</f>
        <v>5146557.2</v>
      </c>
      <c r="H13" s="614" t="s">
        <v>138</v>
      </c>
      <c r="I13" s="376"/>
      <c r="J13" s="613">
        <f t="shared" si="0"/>
        <v>1970</v>
      </c>
      <c r="K13" s="819">
        <f t="shared" si="5"/>
        <v>-180538</v>
      </c>
      <c r="L13" s="819">
        <f t="shared" si="10"/>
        <v>76417</v>
      </c>
      <c r="M13" s="819">
        <f t="shared" si="10"/>
        <v>603048.5</v>
      </c>
      <c r="N13" s="819">
        <f t="shared" si="10"/>
        <v>1845826</v>
      </c>
      <c r="O13" s="819">
        <f t="shared" si="10"/>
        <v>1357341.2000000002</v>
      </c>
      <c r="P13" s="819" t="s">
        <v>138</v>
      </c>
      <c r="Q13" s="605"/>
      <c r="R13" s="613">
        <f t="shared" si="1"/>
        <v>1970</v>
      </c>
      <c r="S13" s="820">
        <f t="shared" si="6"/>
        <v>-4.7645212096644796E-2</v>
      </c>
      <c r="T13" s="820">
        <f t="shared" si="6"/>
        <v>2.0166968576085395E-2</v>
      </c>
      <c r="U13" s="820">
        <f t="shared" si="13"/>
        <v>0.15914862071731989</v>
      </c>
      <c r="V13" s="820">
        <f t="shared" si="14"/>
        <v>0.48712609679680441</v>
      </c>
      <c r="W13" s="820">
        <f t="shared" ref="W13" si="17">(G13-$B13)/$B13</f>
        <v>0.35821161950123726</v>
      </c>
      <c r="X13" s="820" t="s">
        <v>138</v>
      </c>
      <c r="Y13" s="605"/>
      <c r="Z13" s="613">
        <f t="shared" si="2"/>
        <v>1970</v>
      </c>
      <c r="AA13" s="821">
        <f t="shared" si="7"/>
        <v>4.7645212096644796E-2</v>
      </c>
      <c r="AB13" s="821">
        <f t="shared" si="8"/>
        <v>2.0166968576085395E-2</v>
      </c>
      <c r="AC13" s="821">
        <f t="shared" si="11"/>
        <v>0.15914862071731989</v>
      </c>
      <c r="AD13" s="821">
        <f t="shared" si="15"/>
        <v>0.48712609679680441</v>
      </c>
      <c r="AE13" s="821">
        <f t="shared" ref="AE13:AE35" si="18">ABS(W13)</f>
        <v>0.35821161950123726</v>
      </c>
      <c r="AF13" s="821" t="s">
        <v>138</v>
      </c>
      <c r="AG13" s="605"/>
      <c r="AH13" s="605"/>
      <c r="AI13" s="605"/>
    </row>
    <row r="14" spans="1:35">
      <c r="A14" s="585">
        <f t="shared" si="3"/>
        <v>1972</v>
      </c>
      <c r="B14" s="607">
        <f>VLOOKUP($A14,Database!$A$10:$L$130,10,FALSE)</f>
        <v>695963</v>
      </c>
      <c r="C14" s="607">
        <f t="shared" si="4"/>
        <v>3789216</v>
      </c>
      <c r="D14" s="607">
        <f t="shared" si="9"/>
        <v>3698947</v>
      </c>
      <c r="E14" s="607">
        <f t="shared" si="12"/>
        <v>3054111.25</v>
      </c>
      <c r="F14" s="607">
        <f t="shared" si="16"/>
        <v>4392264.5</v>
      </c>
      <c r="G14" s="607">
        <f t="shared" ref="G14:G35" si="19">AVERAGE(B9:B13)</f>
        <v>5265876.8</v>
      </c>
      <c r="H14" s="614" t="s">
        <v>138</v>
      </c>
      <c r="I14" s="376"/>
      <c r="J14" s="613">
        <f t="shared" si="0"/>
        <v>1972</v>
      </c>
      <c r="K14" s="819">
        <f t="shared" si="5"/>
        <v>3093253</v>
      </c>
      <c r="L14" s="819">
        <f t="shared" si="10"/>
        <v>3002984</v>
      </c>
      <c r="M14" s="819">
        <f t="shared" si="10"/>
        <v>2358148.25</v>
      </c>
      <c r="N14" s="819">
        <f t="shared" si="10"/>
        <v>3696301.5</v>
      </c>
      <c r="O14" s="819">
        <f t="shared" si="10"/>
        <v>4569913.8</v>
      </c>
      <c r="P14" s="819" t="s">
        <v>138</v>
      </c>
      <c r="Q14" s="605"/>
      <c r="R14" s="613">
        <f t="shared" si="1"/>
        <v>1972</v>
      </c>
      <c r="S14" s="820">
        <f>(C14-$B14)/$B14</f>
        <v>4.4445653001668193</v>
      </c>
      <c r="T14" s="820">
        <f t="shared" si="6"/>
        <v>4.314861565916579</v>
      </c>
      <c r="U14" s="820">
        <f t="shared" ref="U14:U35" si="20">(E14-$B14)/$B14</f>
        <v>3.3883241637845689</v>
      </c>
      <c r="V14" s="820">
        <f t="shared" ref="V14:V35" si="21">(F14-$B14)/$B14</f>
        <v>5.3110603580937497</v>
      </c>
      <c r="W14" s="820">
        <f t="shared" ref="W14:X35" si="22">(G14-$B14)/$B14</f>
        <v>6.5663171749072866</v>
      </c>
      <c r="X14" s="820" t="s">
        <v>138</v>
      </c>
      <c r="Y14" s="605"/>
      <c r="Z14" s="613">
        <f t="shared" si="2"/>
        <v>1972</v>
      </c>
      <c r="AA14" s="821">
        <f t="shared" si="7"/>
        <v>4.4445653001668193</v>
      </c>
      <c r="AB14" s="821">
        <f t="shared" si="8"/>
        <v>4.314861565916579</v>
      </c>
      <c r="AC14" s="821">
        <f t="shared" si="11"/>
        <v>3.3883241637845689</v>
      </c>
      <c r="AD14" s="821">
        <f t="shared" si="15"/>
        <v>5.3110603580937497</v>
      </c>
      <c r="AE14" s="821">
        <f t="shared" si="18"/>
        <v>6.5663171749072866</v>
      </c>
      <c r="AF14" s="821" t="s">
        <v>138</v>
      </c>
      <c r="AG14" s="605"/>
      <c r="AH14" s="605"/>
      <c r="AI14" s="605"/>
    </row>
    <row r="15" spans="1:35">
      <c r="A15" s="585">
        <f t="shared" si="3"/>
        <v>1974</v>
      </c>
      <c r="B15" s="607">
        <f>VLOOKUP($A15,Database!$A$10:$L$130,10,FALSE)</f>
        <v>1012903</v>
      </c>
      <c r="C15" s="607">
        <f t="shared" si="4"/>
        <v>695963</v>
      </c>
      <c r="D15" s="607">
        <f t="shared" si="9"/>
        <v>2242589.5</v>
      </c>
      <c r="E15" s="607">
        <f t="shared" si="12"/>
        <v>2276690</v>
      </c>
      <c r="F15" s="607">
        <f t="shared" si="16"/>
        <v>3054111.25</v>
      </c>
      <c r="G15" s="607">
        <f t="shared" si="19"/>
        <v>3653004.2</v>
      </c>
      <c r="H15" s="614" t="s">
        <v>138</v>
      </c>
      <c r="I15" s="12"/>
      <c r="J15" s="613">
        <f t="shared" si="0"/>
        <v>1974</v>
      </c>
      <c r="K15" s="819">
        <f t="shared" si="5"/>
        <v>-316940</v>
      </c>
      <c r="L15" s="819">
        <f t="shared" si="10"/>
        <v>1229686.5</v>
      </c>
      <c r="M15" s="819">
        <f t="shared" si="10"/>
        <v>1263787</v>
      </c>
      <c r="N15" s="819">
        <f t="shared" si="10"/>
        <v>2041208.25</v>
      </c>
      <c r="O15" s="819">
        <f t="shared" si="10"/>
        <v>2640101.2000000002</v>
      </c>
      <c r="P15" s="819" t="s">
        <v>138</v>
      </c>
      <c r="Q15" s="605"/>
      <c r="R15" s="613">
        <f t="shared" si="1"/>
        <v>1974</v>
      </c>
      <c r="S15" s="820">
        <f t="shared" si="6"/>
        <v>-0.31290261752606124</v>
      </c>
      <c r="T15" s="820">
        <f t="shared" si="6"/>
        <v>1.2140219744634975</v>
      </c>
      <c r="U15" s="820">
        <f t="shared" si="20"/>
        <v>1.247688080694795</v>
      </c>
      <c r="V15" s="820">
        <f t="shared" si="21"/>
        <v>2.0152060463835135</v>
      </c>
      <c r="W15" s="820">
        <f t="shared" si="22"/>
        <v>2.6064699186397911</v>
      </c>
      <c r="X15" s="820" t="s">
        <v>138</v>
      </c>
      <c r="Y15" s="605"/>
      <c r="Z15" s="613">
        <f t="shared" si="2"/>
        <v>1974</v>
      </c>
      <c r="AA15" s="821">
        <f t="shared" si="7"/>
        <v>0.31290261752606124</v>
      </c>
      <c r="AB15" s="821">
        <f t="shared" si="8"/>
        <v>1.2140219744634975</v>
      </c>
      <c r="AC15" s="821">
        <f t="shared" si="11"/>
        <v>1.247688080694795</v>
      </c>
      <c r="AD15" s="821">
        <f t="shared" si="15"/>
        <v>2.0152060463835135</v>
      </c>
      <c r="AE15" s="821">
        <f t="shared" si="18"/>
        <v>2.6064699186397911</v>
      </c>
      <c r="AF15" s="821" t="s">
        <v>138</v>
      </c>
      <c r="AG15" s="605"/>
      <c r="AH15" s="605"/>
      <c r="AI15" s="605"/>
    </row>
    <row r="16" spans="1:35">
      <c r="A16" s="585">
        <f t="shared" si="3"/>
        <v>1976</v>
      </c>
      <c r="B16" s="607">
        <f>VLOOKUP($A16,Database!$A$10:$L$130,10,FALSE)</f>
        <v>1161051</v>
      </c>
      <c r="C16" s="607">
        <f t="shared" si="4"/>
        <v>1012903</v>
      </c>
      <c r="D16" s="607">
        <f t="shared" si="9"/>
        <v>854433</v>
      </c>
      <c r="E16" s="607">
        <f t="shared" si="12"/>
        <v>1664783.25</v>
      </c>
      <c r="F16" s="607">
        <f t="shared" si="16"/>
        <v>2276690</v>
      </c>
      <c r="G16" s="607">
        <f t="shared" si="19"/>
        <v>2645869.6</v>
      </c>
      <c r="H16" s="614" t="s">
        <v>138</v>
      </c>
      <c r="I16" s="12"/>
      <c r="J16" s="613">
        <f t="shared" si="0"/>
        <v>1976</v>
      </c>
      <c r="K16" s="819">
        <f t="shared" si="5"/>
        <v>-148148</v>
      </c>
      <c r="L16" s="819">
        <f t="shared" si="10"/>
        <v>-306618</v>
      </c>
      <c r="M16" s="819">
        <f t="shared" si="10"/>
        <v>503732.25</v>
      </c>
      <c r="N16" s="819">
        <f t="shared" si="10"/>
        <v>1115639</v>
      </c>
      <c r="O16" s="819">
        <f t="shared" si="10"/>
        <v>1484818.6</v>
      </c>
      <c r="P16" s="819" t="s">
        <v>138</v>
      </c>
      <c r="Q16" s="605"/>
      <c r="R16" s="613">
        <f t="shared" si="1"/>
        <v>1976</v>
      </c>
      <c r="S16" s="820">
        <f t="shared" si="6"/>
        <v>-0.12759818474812906</v>
      </c>
      <c r="T16" s="820">
        <f t="shared" si="6"/>
        <v>-0.26408659051152794</v>
      </c>
      <c r="U16" s="820">
        <f t="shared" si="20"/>
        <v>0.43385884857771106</v>
      </c>
      <c r="V16" s="820">
        <f t="shared" si="21"/>
        <v>0.96088716171813293</v>
      </c>
      <c r="W16" s="820">
        <f t="shared" si="22"/>
        <v>1.2788573456290895</v>
      </c>
      <c r="X16" s="820" t="s">
        <v>138</v>
      </c>
      <c r="Y16" s="605"/>
      <c r="Z16" s="613">
        <f t="shared" si="2"/>
        <v>1976</v>
      </c>
      <c r="AA16" s="821">
        <f t="shared" si="7"/>
        <v>0.12759818474812906</v>
      </c>
      <c r="AB16" s="821">
        <f t="shared" si="8"/>
        <v>0.26408659051152794</v>
      </c>
      <c r="AC16" s="821">
        <f t="shared" si="11"/>
        <v>0.43385884857771106</v>
      </c>
      <c r="AD16" s="821">
        <f t="shared" si="15"/>
        <v>0.96088716171813293</v>
      </c>
      <c r="AE16" s="821">
        <f t="shared" si="18"/>
        <v>1.2788573456290895</v>
      </c>
      <c r="AF16" s="821" t="s">
        <v>138</v>
      </c>
      <c r="AG16" s="605"/>
      <c r="AH16" s="605"/>
      <c r="AI16" s="605"/>
    </row>
    <row r="17" spans="1:35">
      <c r="A17" s="585">
        <f t="shared" si="3"/>
        <v>1978</v>
      </c>
      <c r="B17" s="607">
        <f>VLOOKUP($A17,Database!$A$10:$L$130,10,FALSE)</f>
        <v>3925083</v>
      </c>
      <c r="C17" s="607">
        <f t="shared" si="4"/>
        <v>1161051</v>
      </c>
      <c r="D17" s="607">
        <f t="shared" si="9"/>
        <v>1086977</v>
      </c>
      <c r="E17" s="607">
        <f t="shared" si="12"/>
        <v>1698750</v>
      </c>
      <c r="F17" s="607">
        <f t="shared" si="16"/>
        <v>1664783.25</v>
      </c>
      <c r="G17" s="607">
        <f t="shared" si="19"/>
        <v>2053562.2</v>
      </c>
      <c r="H17" s="614" t="s">
        <v>138</v>
      </c>
      <c r="I17" s="12"/>
      <c r="J17" s="613">
        <f t="shared" si="0"/>
        <v>1978</v>
      </c>
      <c r="K17" s="819">
        <f t="shared" si="5"/>
        <v>-2764032</v>
      </c>
      <c r="L17" s="819">
        <f t="shared" si="10"/>
        <v>-2838106</v>
      </c>
      <c r="M17" s="819">
        <f t="shared" si="10"/>
        <v>-2226333</v>
      </c>
      <c r="N17" s="819">
        <f t="shared" si="10"/>
        <v>-2260299.75</v>
      </c>
      <c r="O17" s="819">
        <f t="shared" si="10"/>
        <v>-1871520.8</v>
      </c>
      <c r="P17" s="819" t="s">
        <v>138</v>
      </c>
      <c r="Q17" s="605"/>
      <c r="R17" s="613">
        <f t="shared" si="1"/>
        <v>1978</v>
      </c>
      <c r="S17" s="820">
        <f t="shared" si="6"/>
        <v>-0.70419708322091534</v>
      </c>
      <c r="T17" s="820">
        <f t="shared" si="6"/>
        <v>-0.72306904083302193</v>
      </c>
      <c r="U17" s="820">
        <f t="shared" si="20"/>
        <v>-0.56720660429346337</v>
      </c>
      <c r="V17" s="820">
        <f t="shared" si="21"/>
        <v>-0.57586037034121318</v>
      </c>
      <c r="W17" s="820">
        <f t="shared" si="22"/>
        <v>-0.47681050311547551</v>
      </c>
      <c r="X17" s="820" t="s">
        <v>138</v>
      </c>
      <c r="Y17" s="605"/>
      <c r="Z17" s="613">
        <f t="shared" si="2"/>
        <v>1978</v>
      </c>
      <c r="AA17" s="821">
        <f t="shared" si="7"/>
        <v>0.70419708322091534</v>
      </c>
      <c r="AB17" s="821">
        <f t="shared" si="8"/>
        <v>0.72306904083302193</v>
      </c>
      <c r="AC17" s="821">
        <f t="shared" si="11"/>
        <v>0.56720660429346337</v>
      </c>
      <c r="AD17" s="821">
        <f t="shared" si="15"/>
        <v>0.57586037034121318</v>
      </c>
      <c r="AE17" s="821">
        <f t="shared" si="18"/>
        <v>0.47681050311547551</v>
      </c>
      <c r="AF17" s="821" t="s">
        <v>138</v>
      </c>
      <c r="AG17" s="605"/>
      <c r="AH17" s="605"/>
      <c r="AI17" s="605"/>
    </row>
    <row r="18" spans="1:35">
      <c r="A18" s="585">
        <f t="shared" si="3"/>
        <v>1980</v>
      </c>
      <c r="B18" s="607">
        <f>VLOOKUP($A18,Database!$A$10:$L$130,10,FALSE)</f>
        <v>14013916</v>
      </c>
      <c r="C18" s="607">
        <f t="shared" si="4"/>
        <v>3925083</v>
      </c>
      <c r="D18" s="607">
        <f t="shared" si="9"/>
        <v>2543067</v>
      </c>
      <c r="E18" s="607">
        <f t="shared" si="12"/>
        <v>5028238.25</v>
      </c>
      <c r="F18" s="607">
        <f t="shared" si="16"/>
        <v>1698750</v>
      </c>
      <c r="G18" s="607">
        <f t="shared" si="19"/>
        <v>2116843.2000000002</v>
      </c>
      <c r="H18" s="607">
        <f>AVERAGE(B8:B17)</f>
        <v>3631700.2</v>
      </c>
      <c r="I18" s="372"/>
      <c r="J18" s="613">
        <f t="shared" si="0"/>
        <v>1980</v>
      </c>
      <c r="K18" s="819">
        <f t="shared" si="5"/>
        <v>-10088833</v>
      </c>
      <c r="L18" s="819">
        <f t="shared" si="10"/>
        <v>-11470849</v>
      </c>
      <c r="M18" s="819">
        <f t="shared" si="10"/>
        <v>-8985677.75</v>
      </c>
      <c r="N18" s="819">
        <f t="shared" si="10"/>
        <v>-12315166</v>
      </c>
      <c r="O18" s="819">
        <f t="shared" si="10"/>
        <v>-11897072.800000001</v>
      </c>
      <c r="P18" s="819">
        <f>H18-$B18</f>
        <v>-10382215.800000001</v>
      </c>
      <c r="Q18" s="605"/>
      <c r="R18" s="613">
        <f t="shared" si="1"/>
        <v>1980</v>
      </c>
      <c r="S18" s="820">
        <f>(C18-$B18)/$B18</f>
        <v>-0.7199153327306943</v>
      </c>
      <c r="T18" s="820">
        <f t="shared" si="6"/>
        <v>-0.81853273560366713</v>
      </c>
      <c r="U18" s="820">
        <f t="shared" si="20"/>
        <v>-0.64119677540524722</v>
      </c>
      <c r="V18" s="820">
        <f t="shared" si="21"/>
        <v>-0.87878120576718166</v>
      </c>
      <c r="W18" s="820">
        <f t="shared" si="22"/>
        <v>-0.84894706090717265</v>
      </c>
      <c r="X18" s="820">
        <f t="shared" si="22"/>
        <v>-0.74085043752224577</v>
      </c>
      <c r="Y18" s="605"/>
      <c r="Z18" s="613">
        <f t="shared" si="2"/>
        <v>1980</v>
      </c>
      <c r="AA18" s="821">
        <f t="shared" si="7"/>
        <v>0.7199153327306943</v>
      </c>
      <c r="AB18" s="821">
        <f t="shared" si="8"/>
        <v>0.81853273560366713</v>
      </c>
      <c r="AC18" s="821">
        <f t="shared" si="11"/>
        <v>0.64119677540524722</v>
      </c>
      <c r="AD18" s="821">
        <f t="shared" si="15"/>
        <v>0.87878120576718166</v>
      </c>
      <c r="AE18" s="821">
        <f t="shared" si="18"/>
        <v>0.84894706090717265</v>
      </c>
      <c r="AF18" s="821">
        <f t="shared" ref="AF18:AF35" si="23">ABS(X18)</f>
        <v>0.74085043752224577</v>
      </c>
      <c r="AG18" s="605"/>
      <c r="AH18" s="605"/>
      <c r="AI18" s="605"/>
    </row>
    <row r="19" spans="1:35">
      <c r="A19" s="585">
        <f t="shared" si="3"/>
        <v>1982</v>
      </c>
      <c r="B19" s="607">
        <f>VLOOKUP($A19,Database!$A$10:$L$130,10,FALSE)</f>
        <v>16794317</v>
      </c>
      <c r="C19" s="607">
        <f t="shared" si="4"/>
        <v>14013916</v>
      </c>
      <c r="D19" s="607">
        <f t="shared" si="9"/>
        <v>8969499.5</v>
      </c>
      <c r="E19" s="607">
        <f t="shared" si="12"/>
        <v>8973591.75</v>
      </c>
      <c r="F19" s="607">
        <f t="shared" si="16"/>
        <v>5028238.25</v>
      </c>
      <c r="G19" s="607">
        <f t="shared" si="19"/>
        <v>4161783.2</v>
      </c>
      <c r="H19" s="607">
        <f t="shared" ref="H19:H35" si="24">AVERAGE(B9:B18)</f>
        <v>4713830</v>
      </c>
      <c r="I19" s="372"/>
      <c r="J19" s="613">
        <f t="shared" si="0"/>
        <v>1982</v>
      </c>
      <c r="K19" s="819">
        <f t="shared" si="5"/>
        <v>-2780401</v>
      </c>
      <c r="L19" s="819">
        <f t="shared" si="10"/>
        <v>-7824817.5</v>
      </c>
      <c r="M19" s="819">
        <f t="shared" si="10"/>
        <v>-7820725.25</v>
      </c>
      <c r="N19" s="819">
        <f t="shared" si="10"/>
        <v>-11766078.75</v>
      </c>
      <c r="O19" s="819">
        <f t="shared" si="10"/>
        <v>-12632533.800000001</v>
      </c>
      <c r="P19" s="819">
        <f>H19-$B19</f>
        <v>-12080487</v>
      </c>
      <c r="Q19" s="605"/>
      <c r="R19" s="613">
        <f t="shared" si="1"/>
        <v>1982</v>
      </c>
      <c r="S19" s="820">
        <f t="shared" si="6"/>
        <v>-0.16555606280386395</v>
      </c>
      <c r="T19" s="820">
        <f t="shared" si="6"/>
        <v>-0.46592055514969738</v>
      </c>
      <c r="U19" s="820">
        <f t="shared" si="20"/>
        <v>-0.46567688641342186</v>
      </c>
      <c r="V19" s="820">
        <f t="shared" si="21"/>
        <v>-0.70059882459048495</v>
      </c>
      <c r="W19" s="820">
        <f t="shared" si="22"/>
        <v>-0.75219098222333192</v>
      </c>
      <c r="X19" s="820">
        <f t="shared" si="22"/>
        <v>-0.71931993423727802</v>
      </c>
      <c r="Y19" s="605"/>
      <c r="Z19" s="613">
        <f t="shared" si="2"/>
        <v>1982</v>
      </c>
      <c r="AA19" s="821">
        <f t="shared" si="7"/>
        <v>0.16555606280386395</v>
      </c>
      <c r="AB19" s="821">
        <f t="shared" si="8"/>
        <v>0.46592055514969738</v>
      </c>
      <c r="AC19" s="821">
        <f t="shared" si="11"/>
        <v>0.46567688641342186</v>
      </c>
      <c r="AD19" s="821">
        <f t="shared" si="15"/>
        <v>0.70059882459048495</v>
      </c>
      <c r="AE19" s="821">
        <f t="shared" si="18"/>
        <v>0.75219098222333192</v>
      </c>
      <c r="AF19" s="821">
        <f t="shared" si="23"/>
        <v>0.71931993423727802</v>
      </c>
      <c r="AG19" s="605"/>
      <c r="AH19" s="605"/>
      <c r="AI19" s="605"/>
    </row>
    <row r="20" spans="1:35">
      <c r="A20" s="585">
        <f t="shared" si="3"/>
        <v>1984</v>
      </c>
      <c r="B20" s="607">
        <f>VLOOKUP($A20,Database!$A$10:$L$130,10,FALSE)</f>
        <v>21201513</v>
      </c>
      <c r="C20" s="607">
        <f t="shared" si="4"/>
        <v>16794317</v>
      </c>
      <c r="D20" s="607">
        <f t="shared" si="9"/>
        <v>15404116.5</v>
      </c>
      <c r="E20" s="607">
        <f t="shared" si="12"/>
        <v>13983707.25</v>
      </c>
      <c r="F20" s="607">
        <f t="shared" si="16"/>
        <v>8973591.75</v>
      </c>
      <c r="G20" s="607">
        <f t="shared" si="19"/>
        <v>7381454</v>
      </c>
      <c r="H20" s="607">
        <f t="shared" si="24"/>
        <v>5517229.0999999996</v>
      </c>
      <c r="I20" s="372"/>
      <c r="J20" s="613">
        <f t="shared" si="0"/>
        <v>1984</v>
      </c>
      <c r="K20" s="819">
        <f t="shared" si="5"/>
        <v>-4407196</v>
      </c>
      <c r="L20" s="819">
        <f t="shared" si="10"/>
        <v>-5797396.5</v>
      </c>
      <c r="M20" s="819">
        <f t="shared" si="10"/>
        <v>-7217805.75</v>
      </c>
      <c r="N20" s="819">
        <f t="shared" si="10"/>
        <v>-12227921.25</v>
      </c>
      <c r="O20" s="819">
        <f t="shared" si="10"/>
        <v>-13820059</v>
      </c>
      <c r="P20" s="819">
        <f t="shared" si="10"/>
        <v>-15684283.9</v>
      </c>
      <c r="Q20" s="605"/>
      <c r="R20" s="613">
        <f t="shared" si="1"/>
        <v>1984</v>
      </c>
      <c r="S20" s="820">
        <f t="shared" si="6"/>
        <v>-0.20787176839690638</v>
      </c>
      <c r="T20" s="820">
        <f t="shared" si="6"/>
        <v>-0.27344258402690413</v>
      </c>
      <c r="U20" s="820">
        <f t="shared" si="20"/>
        <v>-0.34043823900681053</v>
      </c>
      <c r="V20" s="820">
        <f t="shared" si="21"/>
        <v>-0.576747576930005</v>
      </c>
      <c r="W20" s="820">
        <f t="shared" si="22"/>
        <v>-0.65184305478575988</v>
      </c>
      <c r="X20" s="820">
        <f t="shared" si="22"/>
        <v>-0.73977191627786187</v>
      </c>
      <c r="Y20" s="605"/>
      <c r="Z20" s="613">
        <f t="shared" si="2"/>
        <v>1984</v>
      </c>
      <c r="AA20" s="821">
        <f t="shared" si="7"/>
        <v>0.20787176839690638</v>
      </c>
      <c r="AB20" s="821">
        <f t="shared" si="8"/>
        <v>0.27344258402690413</v>
      </c>
      <c r="AC20" s="821">
        <f t="shared" si="11"/>
        <v>0.34043823900681053</v>
      </c>
      <c r="AD20" s="821">
        <f t="shared" si="15"/>
        <v>0.576747576930005</v>
      </c>
      <c r="AE20" s="821">
        <f t="shared" si="18"/>
        <v>0.65184305478575988</v>
      </c>
      <c r="AF20" s="821">
        <f t="shared" si="23"/>
        <v>0.73977191627786187</v>
      </c>
      <c r="AG20" s="605"/>
      <c r="AH20" s="605"/>
      <c r="AI20" s="605"/>
    </row>
    <row r="21" spans="1:35">
      <c r="A21" s="585">
        <f t="shared" si="3"/>
        <v>1986</v>
      </c>
      <c r="B21" s="607">
        <f>VLOOKUP($A21,Database!$A$10:$L$130,10,FALSE)</f>
        <v>5563957</v>
      </c>
      <c r="C21" s="607">
        <f t="shared" si="4"/>
        <v>21201513</v>
      </c>
      <c r="D21" s="607">
        <f t="shared" si="9"/>
        <v>18997915</v>
      </c>
      <c r="E21" s="607">
        <f t="shared" si="12"/>
        <v>14393425.75</v>
      </c>
      <c r="F21" s="607">
        <f t="shared" si="16"/>
        <v>13983707.25</v>
      </c>
      <c r="G21" s="607">
        <f t="shared" si="19"/>
        <v>11419176</v>
      </c>
      <c r="H21" s="607">
        <f t="shared" si="24"/>
        <v>7032522.7999999998</v>
      </c>
      <c r="I21" s="372"/>
      <c r="J21" s="613">
        <f t="shared" si="0"/>
        <v>1986</v>
      </c>
      <c r="K21" s="819">
        <f t="shared" si="5"/>
        <v>15637556</v>
      </c>
      <c r="L21" s="819">
        <f t="shared" si="10"/>
        <v>13433958</v>
      </c>
      <c r="M21" s="819">
        <f t="shared" si="10"/>
        <v>8829468.75</v>
      </c>
      <c r="N21" s="819">
        <f t="shared" si="10"/>
        <v>8419750.25</v>
      </c>
      <c r="O21" s="819">
        <f t="shared" si="10"/>
        <v>5855219</v>
      </c>
      <c r="P21" s="819">
        <f t="shared" si="10"/>
        <v>1468565.7999999998</v>
      </c>
      <c r="Q21" s="605"/>
      <c r="R21" s="613">
        <f t="shared" si="1"/>
        <v>1986</v>
      </c>
      <c r="S21" s="820">
        <f t="shared" si="6"/>
        <v>2.8105098583615939</v>
      </c>
      <c r="T21" s="820">
        <f t="shared" si="6"/>
        <v>2.4144611469858592</v>
      </c>
      <c r="U21" s="820">
        <f t="shared" si="20"/>
        <v>1.5869045627060023</v>
      </c>
      <c r="V21" s="820">
        <f t="shared" si="21"/>
        <v>1.5132665924628821</v>
      </c>
      <c r="W21" s="820">
        <f t="shared" si="22"/>
        <v>1.0523479962192375</v>
      </c>
      <c r="X21" s="820">
        <f t="shared" si="22"/>
        <v>0.26394269402153897</v>
      </c>
      <c r="Y21" s="605"/>
      <c r="Z21" s="613">
        <f t="shared" si="2"/>
        <v>1986</v>
      </c>
      <c r="AA21" s="821">
        <f t="shared" si="7"/>
        <v>2.8105098583615939</v>
      </c>
      <c r="AB21" s="821">
        <f t="shared" si="8"/>
        <v>2.4144611469858592</v>
      </c>
      <c r="AC21" s="821">
        <f t="shared" si="11"/>
        <v>1.5869045627060023</v>
      </c>
      <c r="AD21" s="821">
        <f t="shared" si="15"/>
        <v>1.5132665924628821</v>
      </c>
      <c r="AE21" s="821">
        <f t="shared" si="18"/>
        <v>1.0523479962192375</v>
      </c>
      <c r="AF21" s="821">
        <f t="shared" si="23"/>
        <v>0.26394269402153897</v>
      </c>
      <c r="AG21" s="605"/>
      <c r="AH21" s="605"/>
      <c r="AI21" s="605"/>
    </row>
    <row r="22" spans="1:35">
      <c r="A22" s="585">
        <f t="shared" si="3"/>
        <v>1988</v>
      </c>
      <c r="B22" s="607">
        <f>VLOOKUP($A22,Database!$A$10:$L$130,10,FALSE)</f>
        <v>1766936</v>
      </c>
      <c r="C22" s="607">
        <f t="shared" si="4"/>
        <v>5563957</v>
      </c>
      <c r="D22" s="607">
        <f t="shared" si="9"/>
        <v>13382735</v>
      </c>
      <c r="E22" s="607">
        <f t="shared" si="12"/>
        <v>11331680.75</v>
      </c>
      <c r="F22" s="607">
        <f t="shared" si="16"/>
        <v>14393425.75</v>
      </c>
      <c r="G22" s="607">
        <f t="shared" si="19"/>
        <v>12299757.199999999</v>
      </c>
      <c r="H22" s="607">
        <f t="shared" si="24"/>
        <v>7176659.7000000002</v>
      </c>
      <c r="I22" s="372"/>
      <c r="J22" s="613">
        <f t="shared" si="0"/>
        <v>1988</v>
      </c>
      <c r="K22" s="819">
        <f t="shared" si="5"/>
        <v>3797021</v>
      </c>
      <c r="L22" s="819">
        <f t="shared" si="10"/>
        <v>11615799</v>
      </c>
      <c r="M22" s="819">
        <f t="shared" si="10"/>
        <v>9564744.75</v>
      </c>
      <c r="N22" s="819">
        <f t="shared" si="10"/>
        <v>12626489.75</v>
      </c>
      <c r="O22" s="819">
        <f t="shared" si="10"/>
        <v>10532821.199999999</v>
      </c>
      <c r="P22" s="819">
        <f t="shared" si="10"/>
        <v>5409723.7000000002</v>
      </c>
      <c r="Q22" s="605"/>
      <c r="R22" s="613">
        <f t="shared" si="1"/>
        <v>1988</v>
      </c>
      <c r="S22" s="820">
        <f t="shared" si="6"/>
        <v>2.1489295594181113</v>
      </c>
      <c r="T22" s="820">
        <f t="shared" si="6"/>
        <v>6.5739783444335282</v>
      </c>
      <c r="U22" s="820">
        <f t="shared" si="20"/>
        <v>5.4131812074687478</v>
      </c>
      <c r="V22" s="820">
        <f t="shared" si="21"/>
        <v>7.1459802448985137</v>
      </c>
      <c r="W22" s="820">
        <f t="shared" si="22"/>
        <v>5.9610654828471432</v>
      </c>
      <c r="X22" s="820">
        <f t="shared" si="22"/>
        <v>3.0616409988816802</v>
      </c>
      <c r="Y22" s="605"/>
      <c r="Z22" s="613">
        <f t="shared" si="2"/>
        <v>1988</v>
      </c>
      <c r="AA22" s="821">
        <f t="shared" si="7"/>
        <v>2.1489295594181113</v>
      </c>
      <c r="AB22" s="821">
        <f t="shared" si="8"/>
        <v>6.5739783444335282</v>
      </c>
      <c r="AC22" s="821">
        <f t="shared" si="11"/>
        <v>5.4131812074687478</v>
      </c>
      <c r="AD22" s="821">
        <f t="shared" si="15"/>
        <v>7.1459802448985137</v>
      </c>
      <c r="AE22" s="821">
        <f t="shared" si="18"/>
        <v>5.9610654828471432</v>
      </c>
      <c r="AF22" s="821">
        <f t="shared" si="23"/>
        <v>3.0616409988816802</v>
      </c>
      <c r="AG22" s="605"/>
      <c r="AH22" s="605"/>
      <c r="AI22" s="605"/>
    </row>
    <row r="23" spans="1:35">
      <c r="A23" s="585">
        <f t="shared" si="3"/>
        <v>1990</v>
      </c>
      <c r="B23" s="607">
        <f>VLOOKUP($A23,Database!$A$10:$L$130,10,FALSE)</f>
        <v>12923662</v>
      </c>
      <c r="C23" s="607">
        <f t="shared" si="4"/>
        <v>1766936</v>
      </c>
      <c r="D23" s="607">
        <f t="shared" si="9"/>
        <v>3665446.5</v>
      </c>
      <c r="E23" s="607">
        <f t="shared" si="12"/>
        <v>10364017</v>
      </c>
      <c r="F23" s="607">
        <f t="shared" si="16"/>
        <v>11331680.75</v>
      </c>
      <c r="G23" s="607">
        <f t="shared" si="19"/>
        <v>11868127.800000001</v>
      </c>
      <c r="H23" s="607">
        <f t="shared" si="24"/>
        <v>6992485.5</v>
      </c>
      <c r="I23" s="372"/>
      <c r="J23" s="613">
        <f t="shared" si="0"/>
        <v>1990</v>
      </c>
      <c r="K23" s="819">
        <f t="shared" si="5"/>
        <v>-11156726</v>
      </c>
      <c r="L23" s="819">
        <f t="shared" si="10"/>
        <v>-9258215.5</v>
      </c>
      <c r="M23" s="819">
        <f t="shared" si="10"/>
        <v>-2559645</v>
      </c>
      <c r="N23" s="819">
        <f t="shared" si="10"/>
        <v>-1591981.25</v>
      </c>
      <c r="O23" s="819">
        <f t="shared" si="10"/>
        <v>-1055534.1999999993</v>
      </c>
      <c r="P23" s="819">
        <f t="shared" si="10"/>
        <v>-5931176.5</v>
      </c>
      <c r="Q23" s="605"/>
      <c r="R23" s="613">
        <f t="shared" si="1"/>
        <v>1990</v>
      </c>
      <c r="S23" s="820">
        <f t="shared" si="6"/>
        <v>-0.86327899940434838</v>
      </c>
      <c r="T23" s="820">
        <f t="shared" si="6"/>
        <v>-0.71637709961773988</v>
      </c>
      <c r="U23" s="820">
        <f t="shared" si="20"/>
        <v>-0.19805880098071274</v>
      </c>
      <c r="V23" s="820">
        <f t="shared" si="21"/>
        <v>-0.12318344831364361</v>
      </c>
      <c r="W23" s="820">
        <f t="shared" si="22"/>
        <v>-8.1674543948920916E-2</v>
      </c>
      <c r="X23" s="820">
        <f t="shared" si="22"/>
        <v>-0.45893930837869329</v>
      </c>
      <c r="Y23" s="605"/>
      <c r="Z23" s="613">
        <f t="shared" si="2"/>
        <v>1990</v>
      </c>
      <c r="AA23" s="821">
        <f t="shared" si="7"/>
        <v>0.86327899940434838</v>
      </c>
      <c r="AB23" s="821">
        <f t="shared" si="8"/>
        <v>0.71637709961773988</v>
      </c>
      <c r="AC23" s="821">
        <f t="shared" si="11"/>
        <v>0.19805880098071274</v>
      </c>
      <c r="AD23" s="821">
        <f t="shared" si="15"/>
        <v>0.12318344831364361</v>
      </c>
      <c r="AE23" s="821">
        <f t="shared" si="18"/>
        <v>8.1674543948920916E-2</v>
      </c>
      <c r="AF23" s="821">
        <f t="shared" si="23"/>
        <v>0.45893930837869329</v>
      </c>
      <c r="AG23" s="605"/>
      <c r="AH23" s="605"/>
      <c r="AI23" s="605"/>
    </row>
    <row r="24" spans="1:35">
      <c r="A24" s="585">
        <f t="shared" si="3"/>
        <v>1992</v>
      </c>
      <c r="B24" s="607">
        <f>VLOOKUP($A24,Database!$A$10:$L$130,10,FALSE)</f>
        <v>1405383</v>
      </c>
      <c r="C24" s="607">
        <f t="shared" si="4"/>
        <v>12923662</v>
      </c>
      <c r="D24" s="607">
        <f t="shared" si="9"/>
        <v>7345299</v>
      </c>
      <c r="E24" s="607">
        <f t="shared" si="12"/>
        <v>5414984.5</v>
      </c>
      <c r="F24" s="607">
        <f t="shared" si="16"/>
        <v>10364017</v>
      </c>
      <c r="G24" s="607">
        <f t="shared" si="19"/>
        <v>11650077</v>
      </c>
      <c r="H24" s="607">
        <f t="shared" si="24"/>
        <v>7905930.0999999996</v>
      </c>
      <c r="I24" s="372"/>
      <c r="J24" s="613">
        <f t="shared" si="0"/>
        <v>1992</v>
      </c>
      <c r="K24" s="819">
        <f t="shared" si="5"/>
        <v>11518279</v>
      </c>
      <c r="L24" s="819">
        <f t="shared" si="10"/>
        <v>5939916</v>
      </c>
      <c r="M24" s="819">
        <f t="shared" si="10"/>
        <v>4009601.5</v>
      </c>
      <c r="N24" s="819">
        <f t="shared" si="10"/>
        <v>8958634</v>
      </c>
      <c r="O24" s="819">
        <f t="shared" si="10"/>
        <v>10244694</v>
      </c>
      <c r="P24" s="819">
        <f t="shared" si="10"/>
        <v>6500547.0999999996</v>
      </c>
      <c r="Q24" s="605"/>
      <c r="R24" s="613">
        <f t="shared" si="1"/>
        <v>1992</v>
      </c>
      <c r="S24" s="820">
        <f t="shared" si="6"/>
        <v>8.1958291796613452</v>
      </c>
      <c r="T24" s="820">
        <f t="shared" si="6"/>
        <v>4.2265460732056672</v>
      </c>
      <c r="U24" s="820">
        <f t="shared" si="20"/>
        <v>2.8530311665930213</v>
      </c>
      <c r="V24" s="820">
        <f t="shared" si="21"/>
        <v>6.3745142783141677</v>
      </c>
      <c r="W24" s="820">
        <f t="shared" si="22"/>
        <v>7.289610020898218</v>
      </c>
      <c r="X24" s="820">
        <f t="shared" si="22"/>
        <v>4.6254630232470433</v>
      </c>
      <c r="Y24" s="605"/>
      <c r="Z24" s="613">
        <f t="shared" si="2"/>
        <v>1992</v>
      </c>
      <c r="AA24" s="821">
        <f t="shared" si="7"/>
        <v>8.1958291796613452</v>
      </c>
      <c r="AB24" s="821">
        <f t="shared" si="8"/>
        <v>4.2265460732056672</v>
      </c>
      <c r="AC24" s="821">
        <f t="shared" si="11"/>
        <v>2.8530311665930213</v>
      </c>
      <c r="AD24" s="821">
        <f t="shared" si="15"/>
        <v>6.3745142783141677</v>
      </c>
      <c r="AE24" s="821">
        <f t="shared" si="18"/>
        <v>7.289610020898218</v>
      </c>
      <c r="AF24" s="821">
        <f t="shared" si="23"/>
        <v>4.6254630232470433</v>
      </c>
      <c r="AG24" s="605"/>
      <c r="AH24" s="605"/>
      <c r="AI24" s="605"/>
    </row>
    <row r="25" spans="1:35">
      <c r="A25" s="585">
        <f t="shared" si="3"/>
        <v>1994</v>
      </c>
      <c r="B25" s="607">
        <f>VLOOKUP($A25,Database!$A$10:$L$130,10,FALSE)</f>
        <v>4666639</v>
      </c>
      <c r="C25" s="607">
        <f t="shared" si="4"/>
        <v>1405383</v>
      </c>
      <c r="D25" s="607">
        <f t="shared" si="9"/>
        <v>7164522.5</v>
      </c>
      <c r="E25" s="607">
        <f t="shared" si="12"/>
        <v>5190655</v>
      </c>
      <c r="F25" s="607">
        <f t="shared" si="16"/>
        <v>5414984.5</v>
      </c>
      <c r="G25" s="607">
        <f t="shared" si="19"/>
        <v>8572290.1999999993</v>
      </c>
      <c r="H25" s="607">
        <f t="shared" si="24"/>
        <v>7976872.0999999996</v>
      </c>
      <c r="I25" s="372"/>
      <c r="J25" s="613">
        <f t="shared" si="0"/>
        <v>1994</v>
      </c>
      <c r="K25" s="819">
        <f t="shared" si="5"/>
        <v>-3261256</v>
      </c>
      <c r="L25" s="819">
        <f t="shared" ref="L25:L35" si="25">D25-$B25</f>
        <v>2497883.5</v>
      </c>
      <c r="M25" s="819">
        <f t="shared" ref="M25:M35" si="26">E25-$B25</f>
        <v>524016</v>
      </c>
      <c r="N25" s="819">
        <f t="shared" ref="N25:N35" si="27">F25-$B25</f>
        <v>748345.5</v>
      </c>
      <c r="O25" s="819">
        <f t="shared" ref="O25:O35" si="28">G25-$B25</f>
        <v>3905651.1999999993</v>
      </c>
      <c r="P25" s="819">
        <f t="shared" ref="P25:P35" si="29">H25-$B25</f>
        <v>3310233.0999999996</v>
      </c>
      <c r="Q25" s="605"/>
      <c r="R25" s="613">
        <f t="shared" si="1"/>
        <v>1994</v>
      </c>
      <c r="S25" s="820">
        <f t="shared" si="6"/>
        <v>-0.69884471457937924</v>
      </c>
      <c r="T25" s="820">
        <f t="shared" si="6"/>
        <v>0.53526392335040274</v>
      </c>
      <c r="U25" s="820">
        <f t="shared" si="20"/>
        <v>0.11228980857529369</v>
      </c>
      <c r="V25" s="820">
        <f t="shared" si="21"/>
        <v>0.16036070070986849</v>
      </c>
      <c r="W25" s="820">
        <f t="shared" si="22"/>
        <v>0.83693021894344077</v>
      </c>
      <c r="X25" s="820">
        <f t="shared" si="22"/>
        <v>0.70933986965779861</v>
      </c>
      <c r="Y25" s="605"/>
      <c r="Z25" s="613">
        <f t="shared" si="2"/>
        <v>1994</v>
      </c>
      <c r="AA25" s="821">
        <f t="shared" si="7"/>
        <v>0.69884471457937924</v>
      </c>
      <c r="AB25" s="821">
        <f t="shared" si="8"/>
        <v>0.53526392335040274</v>
      </c>
      <c r="AC25" s="821">
        <f t="shared" si="11"/>
        <v>0.11228980857529369</v>
      </c>
      <c r="AD25" s="821">
        <f t="shared" si="15"/>
        <v>0.16036070070986849</v>
      </c>
      <c r="AE25" s="821">
        <f t="shared" si="18"/>
        <v>0.83693021894344077</v>
      </c>
      <c r="AF25" s="821">
        <f t="shared" si="23"/>
        <v>0.70933986965779861</v>
      </c>
      <c r="AG25" s="605"/>
      <c r="AH25" s="605"/>
      <c r="AI25" s="605"/>
    </row>
    <row r="26" spans="1:35">
      <c r="A26" s="585">
        <f t="shared" si="3"/>
        <v>1996</v>
      </c>
      <c r="B26" s="607">
        <f>VLOOKUP($A26,Database!$A$10:$L$130,10,FALSE)</f>
        <v>4500085</v>
      </c>
      <c r="C26" s="607">
        <f t="shared" si="4"/>
        <v>4666639</v>
      </c>
      <c r="D26" s="607">
        <f t="shared" si="9"/>
        <v>3036011</v>
      </c>
      <c r="E26" s="607">
        <f t="shared" si="12"/>
        <v>5873942.25</v>
      </c>
      <c r="F26" s="607">
        <f t="shared" si="16"/>
        <v>5190655</v>
      </c>
      <c r="G26" s="607">
        <f t="shared" si="19"/>
        <v>5265315.4000000004</v>
      </c>
      <c r="H26" s="607">
        <f t="shared" si="24"/>
        <v>8342245.7000000002</v>
      </c>
      <c r="I26" s="372"/>
      <c r="J26" s="613">
        <f t="shared" si="0"/>
        <v>1996</v>
      </c>
      <c r="K26" s="819">
        <f t="shared" si="5"/>
        <v>166554</v>
      </c>
      <c r="L26" s="819">
        <f t="shared" si="25"/>
        <v>-1464074</v>
      </c>
      <c r="M26" s="819">
        <f t="shared" si="26"/>
        <v>1373857.25</v>
      </c>
      <c r="N26" s="819">
        <f t="shared" si="27"/>
        <v>690570</v>
      </c>
      <c r="O26" s="819">
        <f t="shared" si="28"/>
        <v>765230.40000000037</v>
      </c>
      <c r="P26" s="819">
        <f t="shared" si="29"/>
        <v>3842160.7</v>
      </c>
      <c r="Q26" s="605"/>
      <c r="R26" s="613">
        <f t="shared" si="1"/>
        <v>1996</v>
      </c>
      <c r="S26" s="820">
        <f t="shared" si="6"/>
        <v>3.7011300897649708E-2</v>
      </c>
      <c r="T26" s="820">
        <f t="shared" si="6"/>
        <v>-0.32534363239805469</v>
      </c>
      <c r="U26" s="820">
        <f t="shared" si="20"/>
        <v>0.30529584441182778</v>
      </c>
      <c r="V26" s="820">
        <f t="shared" si="21"/>
        <v>0.1534571013658631</v>
      </c>
      <c r="W26" s="820">
        <f t="shared" si="22"/>
        <v>0.1700479879824493</v>
      </c>
      <c r="X26" s="820">
        <f t="shared" si="22"/>
        <v>0.85379736160539199</v>
      </c>
      <c r="Y26" s="605"/>
      <c r="Z26" s="613">
        <f t="shared" si="2"/>
        <v>1996</v>
      </c>
      <c r="AA26" s="821">
        <f t="shared" si="7"/>
        <v>3.7011300897649708E-2</v>
      </c>
      <c r="AB26" s="821">
        <f t="shared" si="8"/>
        <v>0.32534363239805469</v>
      </c>
      <c r="AC26" s="821">
        <f t="shared" si="11"/>
        <v>0.30529584441182778</v>
      </c>
      <c r="AD26" s="821">
        <f t="shared" si="15"/>
        <v>0.1534571013658631</v>
      </c>
      <c r="AE26" s="821">
        <f t="shared" si="18"/>
        <v>0.1700479879824493</v>
      </c>
      <c r="AF26" s="821">
        <f t="shared" si="23"/>
        <v>0.85379736160539199</v>
      </c>
      <c r="AG26" s="605"/>
      <c r="AH26" s="605"/>
      <c r="AI26" s="605"/>
    </row>
    <row r="27" spans="1:35">
      <c r="A27" s="585">
        <f t="shared" si="3"/>
        <v>1998</v>
      </c>
      <c r="B27" s="607">
        <f>VLOOKUP($A27,Database!$A$10:$L$130,10,FALSE)</f>
        <v>5274275.5</v>
      </c>
      <c r="C27" s="607">
        <f t="shared" si="4"/>
        <v>4500085</v>
      </c>
      <c r="D27" s="607">
        <f t="shared" si="9"/>
        <v>4583362</v>
      </c>
      <c r="E27" s="607">
        <f t="shared" si="12"/>
        <v>3961595.625</v>
      </c>
      <c r="F27" s="607">
        <f t="shared" si="16"/>
        <v>5873942.25</v>
      </c>
      <c r="G27" s="607">
        <f t="shared" si="19"/>
        <v>5052541</v>
      </c>
      <c r="H27" s="607">
        <f t="shared" si="24"/>
        <v>8676149.0999999996</v>
      </c>
      <c r="I27" s="372"/>
      <c r="J27" s="613">
        <f t="shared" si="0"/>
        <v>1998</v>
      </c>
      <c r="K27" s="819">
        <f t="shared" si="5"/>
        <v>-774190.5</v>
      </c>
      <c r="L27" s="819">
        <f t="shared" si="25"/>
        <v>-690913.5</v>
      </c>
      <c r="M27" s="819">
        <f t="shared" si="26"/>
        <v>-1312679.875</v>
      </c>
      <c r="N27" s="819">
        <f t="shared" si="27"/>
        <v>599666.75</v>
      </c>
      <c r="O27" s="819">
        <f t="shared" si="28"/>
        <v>-221734.5</v>
      </c>
      <c r="P27" s="819">
        <f t="shared" si="29"/>
        <v>3401873.5999999996</v>
      </c>
      <c r="Q27" s="605"/>
      <c r="R27" s="613">
        <f t="shared" si="1"/>
        <v>1998</v>
      </c>
      <c r="S27" s="820">
        <f t="shared" si="6"/>
        <v>-0.14678613204789928</v>
      </c>
      <c r="T27" s="820">
        <f t="shared" si="6"/>
        <v>-0.13099685444948789</v>
      </c>
      <c r="U27" s="820">
        <f t="shared" si="20"/>
        <v>-0.24888344854188979</v>
      </c>
      <c r="V27" s="820">
        <f t="shared" si="21"/>
        <v>0.11369651623241903</v>
      </c>
      <c r="W27" s="820">
        <f t="shared" si="22"/>
        <v>-4.2040750431030761E-2</v>
      </c>
      <c r="X27" s="820">
        <f t="shared" si="22"/>
        <v>0.64499353513103352</v>
      </c>
      <c r="Y27" s="605"/>
      <c r="Z27" s="613">
        <f t="shared" si="2"/>
        <v>1998</v>
      </c>
      <c r="AA27" s="821">
        <f t="shared" si="7"/>
        <v>0.14678613204789928</v>
      </c>
      <c r="AB27" s="821">
        <f t="shared" si="8"/>
        <v>0.13099685444948789</v>
      </c>
      <c r="AC27" s="821">
        <f t="shared" si="11"/>
        <v>0.24888344854188979</v>
      </c>
      <c r="AD27" s="821">
        <f t="shared" si="15"/>
        <v>0.11369651623241903</v>
      </c>
      <c r="AE27" s="821">
        <f t="shared" si="18"/>
        <v>4.2040750431030761E-2</v>
      </c>
      <c r="AF27" s="821">
        <f t="shared" si="23"/>
        <v>0.64499353513103352</v>
      </c>
      <c r="AG27" s="605"/>
      <c r="AH27" s="605"/>
      <c r="AI27" s="605"/>
    </row>
    <row r="28" spans="1:35">
      <c r="A28" s="585">
        <f t="shared" si="3"/>
        <v>2000</v>
      </c>
      <c r="B28" s="607">
        <f>VLOOKUP($A28,Database!$A$10:$L$130,10,FALSE)</f>
        <v>7389941</v>
      </c>
      <c r="C28" s="607">
        <f t="shared" si="4"/>
        <v>5274275.5</v>
      </c>
      <c r="D28" s="607">
        <f t="shared" si="9"/>
        <v>4887180.25</v>
      </c>
      <c r="E28" s="607">
        <f t="shared" si="12"/>
        <v>5457735.125</v>
      </c>
      <c r="F28" s="607">
        <f t="shared" si="16"/>
        <v>3961595.625</v>
      </c>
      <c r="G28" s="607">
        <f t="shared" si="19"/>
        <v>5754008.9000000004</v>
      </c>
      <c r="H28" s="607">
        <f t="shared" si="24"/>
        <v>8811068.3499999996</v>
      </c>
      <c r="I28" s="372"/>
      <c r="J28" s="613">
        <f t="shared" si="0"/>
        <v>2000</v>
      </c>
      <c r="K28" s="819">
        <f t="shared" si="5"/>
        <v>-2115665.5</v>
      </c>
      <c r="L28" s="819">
        <f t="shared" si="25"/>
        <v>-2502760.75</v>
      </c>
      <c r="M28" s="819">
        <f t="shared" si="26"/>
        <v>-1932205.875</v>
      </c>
      <c r="N28" s="819">
        <f t="shared" si="27"/>
        <v>-3428345.375</v>
      </c>
      <c r="O28" s="819">
        <f t="shared" si="28"/>
        <v>-1635932.0999999996</v>
      </c>
      <c r="P28" s="819">
        <f t="shared" si="29"/>
        <v>1421127.3499999996</v>
      </c>
      <c r="Q28" s="605"/>
      <c r="R28" s="613">
        <f t="shared" si="1"/>
        <v>2000</v>
      </c>
      <c r="S28" s="820">
        <f t="shared" si="6"/>
        <v>-0.28628990407365906</v>
      </c>
      <c r="T28" s="820">
        <f t="shared" si="6"/>
        <v>-0.3386712762659404</v>
      </c>
      <c r="U28" s="820">
        <f t="shared" si="20"/>
        <v>-0.26146431683284077</v>
      </c>
      <c r="V28" s="820">
        <f t="shared" si="21"/>
        <v>-0.46392053400696975</v>
      </c>
      <c r="W28" s="820">
        <f t="shared" si="22"/>
        <v>-0.22137282286827453</v>
      </c>
      <c r="X28" s="820">
        <f t="shared" si="22"/>
        <v>0.19230564222366586</v>
      </c>
      <c r="Y28" s="605"/>
      <c r="Z28" s="613">
        <f t="shared" si="2"/>
        <v>2000</v>
      </c>
      <c r="AA28" s="821">
        <f t="shared" si="7"/>
        <v>0.28628990407365906</v>
      </c>
      <c r="AB28" s="821">
        <f t="shared" si="8"/>
        <v>0.3386712762659404</v>
      </c>
      <c r="AC28" s="821">
        <f t="shared" si="11"/>
        <v>0.26146431683284077</v>
      </c>
      <c r="AD28" s="821">
        <f t="shared" si="15"/>
        <v>0.46392053400696975</v>
      </c>
      <c r="AE28" s="821">
        <f t="shared" si="18"/>
        <v>0.22137282286827453</v>
      </c>
      <c r="AF28" s="821">
        <f t="shared" si="23"/>
        <v>0.19230564222366586</v>
      </c>
      <c r="AG28" s="605"/>
      <c r="AH28" s="605"/>
      <c r="AI28" s="605"/>
    </row>
    <row r="29" spans="1:35">
      <c r="A29" s="585">
        <f t="shared" si="3"/>
        <v>2002</v>
      </c>
      <c r="B29" s="607">
        <f>VLOOKUP($A29,Database!$A$10:$L$130,10,FALSE)</f>
        <v>1264645.3102025923</v>
      </c>
      <c r="C29" s="607">
        <f t="shared" si="4"/>
        <v>7389941</v>
      </c>
      <c r="D29" s="607">
        <f t="shared" si="9"/>
        <v>6332108.25</v>
      </c>
      <c r="E29" s="607">
        <f t="shared" si="12"/>
        <v>4607236.7025506478</v>
      </c>
      <c r="F29" s="607">
        <f t="shared" si="16"/>
        <v>5457735.125</v>
      </c>
      <c r="G29" s="607">
        <f t="shared" si="19"/>
        <v>4647264.7</v>
      </c>
      <c r="H29" s="607">
        <f t="shared" si="24"/>
        <v>8148670.8499999996</v>
      </c>
      <c r="I29" s="372"/>
      <c r="J29" s="613">
        <f t="shared" si="0"/>
        <v>2002</v>
      </c>
      <c r="K29" s="819">
        <f t="shared" si="5"/>
        <v>6125295.6897974079</v>
      </c>
      <c r="L29" s="819">
        <f t="shared" si="25"/>
        <v>5067462.9397974079</v>
      </c>
      <c r="M29" s="819">
        <f t="shared" si="26"/>
        <v>3342591.3923480557</v>
      </c>
      <c r="N29" s="819">
        <f t="shared" si="27"/>
        <v>4193089.8147974079</v>
      </c>
      <c r="O29" s="819">
        <f t="shared" si="28"/>
        <v>3382619.3897974081</v>
      </c>
      <c r="P29" s="819">
        <f t="shared" si="29"/>
        <v>6884025.5397974076</v>
      </c>
      <c r="Q29" s="605"/>
      <c r="R29" s="613">
        <f t="shared" si="1"/>
        <v>2002</v>
      </c>
      <c r="S29" s="820">
        <f t="shared" si="6"/>
        <v>4.8434890323644613</v>
      </c>
      <c r="T29" s="820">
        <f t="shared" si="6"/>
        <v>4.0070230750989113</v>
      </c>
      <c r="U29" s="820">
        <f t="shared" si="20"/>
        <v>2.6431058300548971</v>
      </c>
      <c r="V29" s="820">
        <f t="shared" si="21"/>
        <v>3.31562516459709</v>
      </c>
      <c r="W29" s="820">
        <f t="shared" si="22"/>
        <v>2.6747573904777484</v>
      </c>
      <c r="X29" s="820">
        <f t="shared" si="22"/>
        <v>5.4434436946550715</v>
      </c>
      <c r="Y29" s="605"/>
      <c r="Z29" s="613">
        <f t="shared" si="2"/>
        <v>2002</v>
      </c>
      <c r="AA29" s="821">
        <f t="shared" si="7"/>
        <v>4.8434890323644613</v>
      </c>
      <c r="AB29" s="821">
        <f t="shared" si="8"/>
        <v>4.0070230750989113</v>
      </c>
      <c r="AC29" s="821">
        <f t="shared" si="11"/>
        <v>2.6431058300548971</v>
      </c>
      <c r="AD29" s="821">
        <f t="shared" si="15"/>
        <v>3.31562516459709</v>
      </c>
      <c r="AE29" s="821">
        <f t="shared" si="18"/>
        <v>2.6747573904777484</v>
      </c>
      <c r="AF29" s="821">
        <f t="shared" si="23"/>
        <v>5.4434436946550715</v>
      </c>
      <c r="AG29" s="605"/>
      <c r="AH29" s="605"/>
      <c r="AI29" s="605"/>
    </row>
    <row r="30" spans="1:35">
      <c r="A30" s="585">
        <f t="shared" si="3"/>
        <v>2004</v>
      </c>
      <c r="B30" s="607">
        <f>VLOOKUP($A30,Database!$A$10:$L$130,10,FALSE)</f>
        <v>4939431.0563474381</v>
      </c>
      <c r="C30" s="607">
        <f t="shared" si="4"/>
        <v>1264645.3102025923</v>
      </c>
      <c r="D30" s="607">
        <f t="shared" si="9"/>
        <v>4327293.1551012965</v>
      </c>
      <c r="E30" s="607">
        <f t="shared" si="12"/>
        <v>4717073.216637508</v>
      </c>
      <c r="F30" s="607">
        <f t="shared" si="16"/>
        <v>4607236.7025506478</v>
      </c>
      <c r="G30" s="607">
        <f t="shared" si="19"/>
        <v>4619117.1620405186</v>
      </c>
      <c r="H30" s="607">
        <f t="shared" si="24"/>
        <v>6595703.6810202589</v>
      </c>
      <c r="I30" s="372"/>
      <c r="J30" s="613">
        <f t="shared" si="0"/>
        <v>2004</v>
      </c>
      <c r="K30" s="819">
        <f t="shared" si="5"/>
        <v>-3674785.7461448461</v>
      </c>
      <c r="L30" s="819">
        <f t="shared" si="25"/>
        <v>-612137.90124614164</v>
      </c>
      <c r="M30" s="819">
        <f t="shared" si="26"/>
        <v>-222357.83970993012</v>
      </c>
      <c r="N30" s="819">
        <f t="shared" si="27"/>
        <v>-332194.35379679035</v>
      </c>
      <c r="O30" s="819">
        <f t="shared" si="28"/>
        <v>-320313.89430691954</v>
      </c>
      <c r="P30" s="819">
        <f t="shared" si="29"/>
        <v>1656272.6246728208</v>
      </c>
      <c r="Q30" s="605"/>
      <c r="R30" s="613">
        <f t="shared" si="1"/>
        <v>2004</v>
      </c>
      <c r="S30" s="820">
        <f t="shared" si="6"/>
        <v>-0.74396943782068703</v>
      </c>
      <c r="T30" s="820">
        <f t="shared" si="6"/>
        <v>-0.12392882788788216</v>
      </c>
      <c r="U30" s="820">
        <f t="shared" si="20"/>
        <v>-4.5016893073988387E-2</v>
      </c>
      <c r="V30" s="820">
        <f t="shared" si="21"/>
        <v>-6.7253566252312103E-2</v>
      </c>
      <c r="W30" s="820">
        <f t="shared" si="22"/>
        <v>-6.4848337926551022E-2</v>
      </c>
      <c r="X30" s="820">
        <f t="shared" si="22"/>
        <v>0.33531647790577424</v>
      </c>
      <c r="Y30" s="605"/>
      <c r="Z30" s="613">
        <f t="shared" si="2"/>
        <v>2004</v>
      </c>
      <c r="AA30" s="821">
        <f t="shared" si="7"/>
        <v>0.74396943782068703</v>
      </c>
      <c r="AB30" s="821">
        <f t="shared" si="8"/>
        <v>0.12392882788788216</v>
      </c>
      <c r="AC30" s="821">
        <f t="shared" si="11"/>
        <v>4.5016893073988387E-2</v>
      </c>
      <c r="AD30" s="821">
        <f t="shared" si="15"/>
        <v>6.7253566252312103E-2</v>
      </c>
      <c r="AE30" s="821">
        <f t="shared" si="18"/>
        <v>6.4848337926551022E-2</v>
      </c>
      <c r="AF30" s="821">
        <f t="shared" si="23"/>
        <v>0.33531647790577424</v>
      </c>
      <c r="AG30" s="605"/>
      <c r="AH30" s="605"/>
      <c r="AI30" s="605"/>
    </row>
    <row r="31" spans="1:35">
      <c r="A31" s="585">
        <f t="shared" si="3"/>
        <v>2006</v>
      </c>
      <c r="B31" s="607">
        <f>VLOOKUP($A31,Database!$A$10:$L$130,10,FALSE)</f>
        <v>3314702.7753436686</v>
      </c>
      <c r="C31" s="607">
        <f t="shared" si="4"/>
        <v>4939431.0563474381</v>
      </c>
      <c r="D31" s="607">
        <f t="shared" si="9"/>
        <v>3102038.1832750151</v>
      </c>
      <c r="E31" s="607">
        <f t="shared" si="12"/>
        <v>4227180.0354734249</v>
      </c>
      <c r="F31" s="607">
        <f t="shared" si="16"/>
        <v>4717073.216637508</v>
      </c>
      <c r="G31" s="607">
        <f t="shared" si="19"/>
        <v>4673675.5733100055</v>
      </c>
      <c r="H31" s="607">
        <f t="shared" si="24"/>
        <v>4969495.4866550025</v>
      </c>
      <c r="I31" s="372"/>
      <c r="J31" s="613">
        <f t="shared" si="0"/>
        <v>2006</v>
      </c>
      <c r="K31" s="819">
        <f t="shared" si="5"/>
        <v>1624728.2810037695</v>
      </c>
      <c r="L31" s="819">
        <f t="shared" si="25"/>
        <v>-212664.59206865355</v>
      </c>
      <c r="M31" s="819">
        <f t="shared" si="26"/>
        <v>912477.26012975629</v>
      </c>
      <c r="N31" s="819">
        <f t="shared" si="27"/>
        <v>1402370.4412938394</v>
      </c>
      <c r="O31" s="819">
        <f t="shared" si="28"/>
        <v>1358972.7979663368</v>
      </c>
      <c r="P31" s="819">
        <f t="shared" si="29"/>
        <v>1654792.7113113338</v>
      </c>
      <c r="Q31" s="605"/>
      <c r="R31" s="613">
        <f t="shared" si="1"/>
        <v>2006</v>
      </c>
      <c r="S31" s="820">
        <f t="shared" si="6"/>
        <v>0.49015805974800186</v>
      </c>
      <c r="T31" s="820">
        <f t="shared" si="6"/>
        <v>-6.4157967239341529E-2</v>
      </c>
      <c r="U31" s="820">
        <f t="shared" si="20"/>
        <v>0.27528177395487613</v>
      </c>
      <c r="V31" s="820">
        <f t="shared" si="21"/>
        <v>0.42307577370898403</v>
      </c>
      <c r="W31" s="820">
        <f t="shared" si="22"/>
        <v>0.40998330470985844</v>
      </c>
      <c r="X31" s="820">
        <f t="shared" si="22"/>
        <v>0.49922808271693825</v>
      </c>
      <c r="Y31" s="605"/>
      <c r="Z31" s="613">
        <f t="shared" si="2"/>
        <v>2006</v>
      </c>
      <c r="AA31" s="821">
        <f t="shared" si="7"/>
        <v>0.49015805974800186</v>
      </c>
      <c r="AB31" s="821">
        <f t="shared" si="8"/>
        <v>6.4157967239341529E-2</v>
      </c>
      <c r="AC31" s="821">
        <f t="shared" si="11"/>
        <v>0.27528177395487613</v>
      </c>
      <c r="AD31" s="821">
        <f t="shared" si="15"/>
        <v>0.42307577370898403</v>
      </c>
      <c r="AE31" s="821">
        <f t="shared" si="18"/>
        <v>0.40998330470985844</v>
      </c>
      <c r="AF31" s="821">
        <f t="shared" si="23"/>
        <v>0.49922808271693825</v>
      </c>
      <c r="AG31" s="605"/>
      <c r="AH31" s="605"/>
      <c r="AI31" s="605"/>
    </row>
    <row r="32" spans="1:35">
      <c r="A32" s="585">
        <f t="shared" si="3"/>
        <v>2008</v>
      </c>
      <c r="B32" s="607">
        <f>VLOOKUP($A32,Database!$A$10:$L$130,10,FALSE)</f>
        <v>2290691.6775990888</v>
      </c>
      <c r="C32" s="607">
        <f t="shared" si="4"/>
        <v>3314702.7753436686</v>
      </c>
      <c r="D32" s="607">
        <f t="shared" si="9"/>
        <v>4127066.9158455534</v>
      </c>
      <c r="E32" s="607">
        <f t="shared" si="12"/>
        <v>2952367.7048731972</v>
      </c>
      <c r="F32" s="607">
        <f t="shared" si="16"/>
        <v>4227180.0354734249</v>
      </c>
      <c r="G32" s="607">
        <f t="shared" si="19"/>
        <v>4436599.1283787396</v>
      </c>
      <c r="H32" s="607">
        <f t="shared" si="24"/>
        <v>4744570.0641893698</v>
      </c>
      <c r="I32" s="372"/>
      <c r="J32" s="613">
        <f t="shared" si="0"/>
        <v>2008</v>
      </c>
      <c r="K32" s="819">
        <f t="shared" si="5"/>
        <v>1024011.0977445799</v>
      </c>
      <c r="L32" s="819">
        <f t="shared" si="25"/>
        <v>1836375.2382464646</v>
      </c>
      <c r="M32" s="819">
        <f t="shared" si="26"/>
        <v>661676.02727410849</v>
      </c>
      <c r="N32" s="819">
        <f t="shared" si="27"/>
        <v>1936488.3578743362</v>
      </c>
      <c r="O32" s="819">
        <f t="shared" si="28"/>
        <v>2145907.4507796508</v>
      </c>
      <c r="P32" s="819">
        <f t="shared" si="29"/>
        <v>2453878.386590281</v>
      </c>
      <c r="Q32" s="605"/>
      <c r="R32" s="613">
        <f t="shared" si="1"/>
        <v>2008</v>
      </c>
      <c r="S32" s="820">
        <f t="shared" si="6"/>
        <v>0.44703139569523498</v>
      </c>
      <c r="T32" s="820">
        <f t="shared" si="6"/>
        <v>0.80166844634944479</v>
      </c>
      <c r="U32" s="820">
        <f t="shared" si="20"/>
        <v>0.28885425033176965</v>
      </c>
      <c r="V32" s="820">
        <f t="shared" si="21"/>
        <v>0.84537276527061955</v>
      </c>
      <c r="W32" s="820">
        <f t="shared" si="22"/>
        <v>0.93679453754719677</v>
      </c>
      <c r="X32" s="820">
        <f t="shared" si="22"/>
        <v>1.0712390543812649</v>
      </c>
      <c r="Y32" s="605"/>
      <c r="Z32" s="613">
        <f t="shared" si="2"/>
        <v>2008</v>
      </c>
      <c r="AA32" s="821">
        <f t="shared" si="7"/>
        <v>0.44703139569523498</v>
      </c>
      <c r="AB32" s="821">
        <f t="shared" si="8"/>
        <v>0.80166844634944479</v>
      </c>
      <c r="AC32" s="821">
        <f t="shared" si="11"/>
        <v>0.28885425033176965</v>
      </c>
      <c r="AD32" s="821">
        <f t="shared" si="15"/>
        <v>0.84537276527061955</v>
      </c>
      <c r="AE32" s="821">
        <f t="shared" si="18"/>
        <v>0.93679453754719677</v>
      </c>
      <c r="AF32" s="821">
        <f t="shared" si="23"/>
        <v>1.0712390543812649</v>
      </c>
      <c r="AG32" s="605"/>
      <c r="AH32" s="605"/>
      <c r="AI32" s="605"/>
    </row>
    <row r="33" spans="1:35">
      <c r="A33" s="585">
        <f>A32+2</f>
        <v>2010</v>
      </c>
      <c r="B33" s="607">
        <f>VLOOKUP($A33,Database!$A$10:$L$130,10,FALSE)</f>
        <v>4399390.7272172375</v>
      </c>
      <c r="C33" s="607">
        <f t="shared" si="4"/>
        <v>2290691.6775990888</v>
      </c>
      <c r="D33" s="607">
        <f t="shared" si="9"/>
        <v>2802697.2264713785</v>
      </c>
      <c r="E33" s="607">
        <f t="shared" si="12"/>
        <v>3736054.0591268586</v>
      </c>
      <c r="F33" s="607">
        <f t="shared" si="16"/>
        <v>2952367.7048731972</v>
      </c>
      <c r="G33" s="607">
        <f t="shared" si="19"/>
        <v>3839882.3638985576</v>
      </c>
      <c r="H33" s="607">
        <f t="shared" si="24"/>
        <v>4796945.6319492785</v>
      </c>
      <c r="I33" s="372"/>
      <c r="J33" s="613">
        <f t="shared" si="0"/>
        <v>2010</v>
      </c>
      <c r="K33" s="819">
        <f>C33-$B33</f>
        <v>-2108699.0496181487</v>
      </c>
      <c r="L33" s="819">
        <f t="shared" si="25"/>
        <v>-1596693.500745859</v>
      </c>
      <c r="M33" s="819">
        <f t="shared" si="26"/>
        <v>-663336.66809037887</v>
      </c>
      <c r="N33" s="819">
        <f t="shared" si="27"/>
        <v>-1447023.0223440402</v>
      </c>
      <c r="O33" s="819">
        <f t="shared" si="28"/>
        <v>-559508.36331867985</v>
      </c>
      <c r="P33" s="819">
        <f t="shared" si="29"/>
        <v>397554.90473204106</v>
      </c>
      <c r="Q33" s="605"/>
      <c r="R33" s="613">
        <f t="shared" si="1"/>
        <v>2010</v>
      </c>
      <c r="S33" s="820">
        <f t="shared" si="6"/>
        <v>-0.47931615543318012</v>
      </c>
      <c r="T33" s="820">
        <f t="shared" si="6"/>
        <v>-0.362935142556847</v>
      </c>
      <c r="U33" s="820">
        <f t="shared" si="20"/>
        <v>-0.15077921221831589</v>
      </c>
      <c r="V33" s="820">
        <f t="shared" si="21"/>
        <v>-0.3289144138509677</v>
      </c>
      <c r="W33" s="820">
        <f t="shared" si="22"/>
        <v>-0.12717860222262817</v>
      </c>
      <c r="X33" s="820">
        <f t="shared" si="22"/>
        <v>9.0365900503569935E-2</v>
      </c>
      <c r="Y33" s="605"/>
      <c r="Z33" s="613">
        <f t="shared" si="2"/>
        <v>2010</v>
      </c>
      <c r="AA33" s="821">
        <f t="shared" si="7"/>
        <v>0.47931615543318012</v>
      </c>
      <c r="AB33" s="821">
        <f t="shared" si="8"/>
        <v>0.362935142556847</v>
      </c>
      <c r="AC33" s="821">
        <f t="shared" si="11"/>
        <v>0.15077921221831589</v>
      </c>
      <c r="AD33" s="821">
        <f t="shared" si="15"/>
        <v>0.3289144138509677</v>
      </c>
      <c r="AE33" s="821">
        <f t="shared" si="18"/>
        <v>0.12717860222262817</v>
      </c>
      <c r="AF33" s="821">
        <f t="shared" si="23"/>
        <v>9.0365900503569935E-2</v>
      </c>
      <c r="AG33" s="605"/>
      <c r="AH33" s="605"/>
      <c r="AI33" s="605"/>
    </row>
    <row r="34" spans="1:35">
      <c r="A34" s="585">
        <f t="shared" si="3"/>
        <v>2012</v>
      </c>
      <c r="B34" s="607">
        <f>VLOOKUP($A34,Database!$A$10:$L$130,10,FALSE)</f>
        <v>4428267.5450134957</v>
      </c>
      <c r="C34" s="607">
        <f t="shared" si="4"/>
        <v>4399390.7272172375</v>
      </c>
      <c r="D34" s="607">
        <f t="shared" si="9"/>
        <v>3345041.2024081629</v>
      </c>
      <c r="E34" s="607">
        <f t="shared" si="12"/>
        <v>3608263.1812933721</v>
      </c>
      <c r="F34" s="607">
        <f t="shared" si="16"/>
        <v>3736054.0591268586</v>
      </c>
      <c r="G34" s="607">
        <f t="shared" si="19"/>
        <v>3241772.3093420053</v>
      </c>
      <c r="H34" s="607">
        <f t="shared" si="24"/>
        <v>3944518.5046710023</v>
      </c>
      <c r="I34" s="372"/>
      <c r="J34" s="613">
        <f t="shared" si="0"/>
        <v>2012</v>
      </c>
      <c r="K34" s="819">
        <f>C34-$B34</f>
        <v>-28876.817796258256</v>
      </c>
      <c r="L34" s="819">
        <f t="shared" si="25"/>
        <v>-1083226.3426053328</v>
      </c>
      <c r="M34" s="819">
        <f t="shared" si="26"/>
        <v>-820004.36372012366</v>
      </c>
      <c r="N34" s="819">
        <f t="shared" si="27"/>
        <v>-692213.48588663712</v>
      </c>
      <c r="O34" s="819">
        <f t="shared" si="28"/>
        <v>-1186495.2356714904</v>
      </c>
      <c r="P34" s="819">
        <f t="shared" si="29"/>
        <v>-483749.04034249345</v>
      </c>
      <c r="Q34" s="605"/>
      <c r="R34" s="613">
        <f t="shared" si="1"/>
        <v>2012</v>
      </c>
      <c r="S34" s="820">
        <f t="shared" si="6"/>
        <v>-6.5210192254023464E-3</v>
      </c>
      <c r="T34" s="820">
        <f t="shared" si="6"/>
        <v>-0.24461628200967961</v>
      </c>
      <c r="U34" s="820">
        <f t="shared" si="20"/>
        <v>-0.1851749821763817</v>
      </c>
      <c r="V34" s="820">
        <f t="shared" si="21"/>
        <v>-0.15631699730205156</v>
      </c>
      <c r="W34" s="820">
        <f t="shared" si="22"/>
        <v>-0.26793666453318921</v>
      </c>
      <c r="X34" s="820">
        <f t="shared" si="22"/>
        <v>-0.1092411502749478</v>
      </c>
      <c r="Y34" s="605"/>
      <c r="Z34" s="613">
        <f t="shared" si="2"/>
        <v>2012</v>
      </c>
      <c r="AA34" s="821">
        <f t="shared" si="7"/>
        <v>6.5210192254023464E-3</v>
      </c>
      <c r="AB34" s="821">
        <f t="shared" si="8"/>
        <v>0.24461628200967961</v>
      </c>
      <c r="AC34" s="821">
        <f t="shared" si="11"/>
        <v>0.1851749821763817</v>
      </c>
      <c r="AD34" s="821">
        <f t="shared" si="15"/>
        <v>0.15631699730205156</v>
      </c>
      <c r="AE34" s="821">
        <f t="shared" si="18"/>
        <v>0.26793666453318921</v>
      </c>
      <c r="AF34" s="821">
        <f t="shared" si="23"/>
        <v>0.1092411502749478</v>
      </c>
      <c r="AG34" s="605"/>
      <c r="AH34" s="605"/>
      <c r="AI34" s="605"/>
    </row>
    <row r="35" spans="1:35">
      <c r="A35" s="585">
        <f t="shared" si="3"/>
        <v>2014</v>
      </c>
      <c r="B35" s="607">
        <f>VLOOKUP($A35,Database!$A$10:$L$130,10,FALSE)</f>
        <v>2702397</v>
      </c>
      <c r="C35" s="607">
        <f t="shared" si="4"/>
        <v>4428267.5450134957</v>
      </c>
      <c r="D35" s="607">
        <f t="shared" si="9"/>
        <v>4413829.1361153666</v>
      </c>
      <c r="E35" s="607">
        <f t="shared" si="12"/>
        <v>3455186.7374574551</v>
      </c>
      <c r="F35" s="607">
        <f>AVERAGE(B31:B34)</f>
        <v>3608263.1812933721</v>
      </c>
      <c r="G35" s="607">
        <f t="shared" si="19"/>
        <v>3874496.7563041858</v>
      </c>
      <c r="H35" s="607">
        <f t="shared" si="24"/>
        <v>4246806.9591723513</v>
      </c>
      <c r="I35" s="372"/>
      <c r="J35" s="613">
        <f t="shared" si="0"/>
        <v>2014</v>
      </c>
      <c r="K35" s="819">
        <f t="shared" si="5"/>
        <v>1725870.5450134957</v>
      </c>
      <c r="L35" s="819">
        <f t="shared" si="25"/>
        <v>1711432.1361153666</v>
      </c>
      <c r="M35" s="819">
        <f t="shared" si="26"/>
        <v>752789.73745745514</v>
      </c>
      <c r="N35" s="819">
        <f t="shared" si="27"/>
        <v>905866.18129337206</v>
      </c>
      <c r="O35" s="819">
        <f t="shared" si="28"/>
        <v>1172099.7563041858</v>
      </c>
      <c r="P35" s="819">
        <f t="shared" si="29"/>
        <v>1544409.9591723513</v>
      </c>
      <c r="Q35" s="605"/>
      <c r="R35" s="613">
        <f t="shared" si="1"/>
        <v>2014</v>
      </c>
      <c r="S35" s="820">
        <f>(C35-$B35)/$B35</f>
        <v>0.63864433871614557</v>
      </c>
      <c r="T35" s="820">
        <f t="shared" si="6"/>
        <v>0.63330152309796328</v>
      </c>
      <c r="U35" s="820">
        <f t="shared" si="20"/>
        <v>0.27856371120063228</v>
      </c>
      <c r="V35" s="820">
        <f t="shared" si="21"/>
        <v>0.33520840250095457</v>
      </c>
      <c r="W35" s="820">
        <f t="shared" si="22"/>
        <v>0.43372596857685447</v>
      </c>
      <c r="X35" s="820">
        <f t="shared" si="22"/>
        <v>0.57149632684329921</v>
      </c>
      <c r="Y35" s="605"/>
      <c r="Z35" s="613">
        <f t="shared" si="2"/>
        <v>2014</v>
      </c>
      <c r="AA35" s="821">
        <f t="shared" si="7"/>
        <v>0.63864433871614557</v>
      </c>
      <c r="AB35" s="821">
        <f t="shared" si="8"/>
        <v>0.63330152309796328</v>
      </c>
      <c r="AC35" s="821">
        <f t="shared" si="11"/>
        <v>0.27856371120063228</v>
      </c>
      <c r="AD35" s="821">
        <f t="shared" si="15"/>
        <v>0.33520840250095457</v>
      </c>
      <c r="AE35" s="821">
        <f t="shared" si="18"/>
        <v>0.43372596857685447</v>
      </c>
      <c r="AF35" s="821">
        <f t="shared" si="23"/>
        <v>0.57149632684329921</v>
      </c>
      <c r="AG35" s="605"/>
      <c r="AH35" s="605"/>
      <c r="AI35" s="605"/>
    </row>
    <row r="36" spans="1:35">
      <c r="A36" s="585">
        <f t="shared" si="3"/>
        <v>2016</v>
      </c>
      <c r="B36" s="607">
        <f>VLOOKUP($A36,Database!$A$10:$L$130,10,FALSE)</f>
        <v>3508986.4174955119</v>
      </c>
      <c r="C36" s="607">
        <f t="shared" ref="C36:C37" si="30">B35</f>
        <v>2702397</v>
      </c>
      <c r="D36" s="607">
        <f t="shared" ref="D36:D37" si="31">AVERAGE(B34:B35)</f>
        <v>3565332.2725067479</v>
      </c>
      <c r="E36" s="607">
        <f t="shared" ref="E36" si="32">AVERAGE(B33:B36)</f>
        <v>3759760.4224315612</v>
      </c>
      <c r="F36" s="607">
        <f t="shared" ref="F36:F37" si="33">AVERAGE(B32:B35)</f>
        <v>3455186.7374574551</v>
      </c>
      <c r="G36" s="607">
        <f t="shared" ref="G36:G37" si="34">AVERAGE(B31:B35)</f>
        <v>3427089.9450346977</v>
      </c>
      <c r="H36" s="607">
        <f t="shared" ref="H36:H37" si="35">AVERAGE(B26:B35)</f>
        <v>4050382.7591723516</v>
      </c>
      <c r="I36" s="372"/>
      <c r="J36" s="613">
        <f t="shared" ref="J36" si="36">A36</f>
        <v>2016</v>
      </c>
      <c r="K36" s="819">
        <f t="shared" ref="K36" si="37">C36-$B36</f>
        <v>-806589.41749551194</v>
      </c>
      <c r="L36" s="819">
        <f t="shared" ref="L36" si="38">D36-$B36</f>
        <v>56345.855011235923</v>
      </c>
      <c r="M36" s="819">
        <f t="shared" ref="M36" si="39">E36-$B36</f>
        <v>250774.00493604923</v>
      </c>
      <c r="N36" s="819">
        <f t="shared" ref="N36" si="40">F36-$B36</f>
        <v>-53799.680038056802</v>
      </c>
      <c r="O36" s="819">
        <f t="shared" ref="O36" si="41">G36-$B36</f>
        <v>-81896.472460814286</v>
      </c>
      <c r="P36" s="819">
        <f t="shared" ref="P36" si="42">H36-$B36</f>
        <v>541396.34167683963</v>
      </c>
      <c r="Q36" s="605"/>
      <c r="R36" s="613">
        <f t="shared" ref="R36" si="43">J36</f>
        <v>2016</v>
      </c>
      <c r="S36" s="820">
        <f>(C36-$B36)/$B36</f>
        <v>-0.22986393263705004</v>
      </c>
      <c r="T36" s="820">
        <f t="shared" ref="T36" si="44">(D36-$B36)/$B36</f>
        <v>1.6057587094182018E-2</v>
      </c>
      <c r="U36" s="820">
        <f t="shared" ref="U36" si="45">(E36-$B36)/$B36</f>
        <v>7.1466222749028349E-2</v>
      </c>
      <c r="V36" s="820">
        <f t="shared" ref="V36" si="46">(F36-$B36)/$B36</f>
        <v>-1.5331971582966553E-2</v>
      </c>
      <c r="W36" s="820">
        <f t="shared" ref="W36" si="47">(G36-$B36)/$B36</f>
        <v>-2.3339067957768474E-2</v>
      </c>
      <c r="X36" s="820">
        <f t="shared" ref="X36" si="48">(H36-$B36)/$B36</f>
        <v>0.15428852587672692</v>
      </c>
      <c r="Y36" s="605"/>
      <c r="Z36" s="613">
        <f t="shared" ref="Z36" si="49">R36</f>
        <v>2016</v>
      </c>
      <c r="AA36" s="821">
        <f t="shared" ref="AA36" si="50">ABS(S36)</f>
        <v>0.22986393263705004</v>
      </c>
      <c r="AB36" s="821">
        <f t="shared" ref="AB36" si="51">ABS(T36)</f>
        <v>1.6057587094182018E-2</v>
      </c>
      <c r="AC36" s="821">
        <f t="shared" ref="AC36" si="52">ABS(U36)</f>
        <v>7.1466222749028349E-2</v>
      </c>
      <c r="AD36" s="821">
        <f t="shared" ref="AD36" si="53">ABS(V36)</f>
        <v>1.5331971582966553E-2</v>
      </c>
      <c r="AE36" s="821">
        <f t="shared" ref="AE36" si="54">ABS(W36)</f>
        <v>2.3339067957768474E-2</v>
      </c>
      <c r="AF36" s="821">
        <f t="shared" ref="AF36" si="55">ABS(X36)</f>
        <v>0.15428852587672692</v>
      </c>
      <c r="AG36" s="605"/>
      <c r="AH36" s="605"/>
      <c r="AI36" s="605"/>
    </row>
    <row r="37" spans="1:35">
      <c r="A37" s="585">
        <f t="shared" si="3"/>
        <v>2018</v>
      </c>
      <c r="B37" s="607" t="e">
        <f>VLOOKUP($A37,Database!$A$10:$L$130,10,FALSE)</f>
        <v>#N/A</v>
      </c>
      <c r="C37" s="607">
        <f t="shared" si="30"/>
        <v>3508986.4174955119</v>
      </c>
      <c r="D37" s="607">
        <f t="shared" si="31"/>
        <v>3105691.7087477557</v>
      </c>
      <c r="E37" s="607">
        <f>AVERAGE(B34:B36)</f>
        <v>3546550.3208363359</v>
      </c>
      <c r="F37" s="607">
        <f t="shared" si="33"/>
        <v>3759760.4224315612</v>
      </c>
      <c r="G37" s="607">
        <f t="shared" si="34"/>
        <v>3465946.6734650666</v>
      </c>
      <c r="H37" s="607">
        <f t="shared" si="35"/>
        <v>3951272.9009219026</v>
      </c>
      <c r="I37" s="375"/>
      <c r="J37" s="613">
        <f t="shared" si="0"/>
        <v>2018</v>
      </c>
      <c r="K37" s="980" t="s">
        <v>138</v>
      </c>
      <c r="L37" s="980" t="s">
        <v>138</v>
      </c>
      <c r="M37" s="980" t="s">
        <v>138</v>
      </c>
      <c r="N37" s="980" t="s">
        <v>138</v>
      </c>
      <c r="O37" s="980" t="s">
        <v>138</v>
      </c>
      <c r="P37" s="980" t="s">
        <v>138</v>
      </c>
      <c r="Q37" s="605"/>
      <c r="R37" s="613">
        <f t="shared" si="1"/>
        <v>2018</v>
      </c>
      <c r="S37" s="980" t="s">
        <v>138</v>
      </c>
      <c r="T37" s="980" t="s">
        <v>138</v>
      </c>
      <c r="U37" s="980" t="s">
        <v>138</v>
      </c>
      <c r="V37" s="980" t="s">
        <v>138</v>
      </c>
      <c r="W37" s="980" t="s">
        <v>138</v>
      </c>
      <c r="X37" s="980" t="s">
        <v>138</v>
      </c>
      <c r="Y37" s="605"/>
      <c r="Z37" s="613">
        <f t="shared" si="2"/>
        <v>2018</v>
      </c>
      <c r="AA37" s="980" t="s">
        <v>138</v>
      </c>
      <c r="AB37" s="980" t="s">
        <v>138</v>
      </c>
      <c r="AC37" s="980" t="s">
        <v>138</v>
      </c>
      <c r="AD37" s="980" t="s">
        <v>138</v>
      </c>
      <c r="AE37" s="980" t="s">
        <v>138</v>
      </c>
      <c r="AF37" s="980" t="s">
        <v>138</v>
      </c>
      <c r="AG37" s="605"/>
      <c r="AH37" s="605"/>
      <c r="AI37" s="605"/>
    </row>
    <row r="38" spans="1:35">
      <c r="A38" s="585"/>
      <c r="B38" s="374"/>
      <c r="C38" s="375"/>
      <c r="D38" s="375"/>
      <c r="E38" s="375"/>
      <c r="F38" s="375"/>
      <c r="G38" s="375"/>
      <c r="H38" s="375"/>
      <c r="I38" s="375"/>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605"/>
    </row>
    <row r="39" spans="1:35">
      <c r="A39" s="601"/>
      <c r="B39" s="21"/>
      <c r="C39" s="602"/>
      <c r="D39" s="602"/>
      <c r="E39" s="602"/>
      <c r="F39" s="602"/>
      <c r="G39" s="602"/>
      <c r="H39" s="602"/>
      <c r="I39" s="602"/>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605"/>
    </row>
    <row r="40" spans="1:35" ht="18">
      <c r="A40" s="621" t="s">
        <v>292</v>
      </c>
      <c r="B40" s="231"/>
      <c r="C40" s="231"/>
      <c r="D40" s="231"/>
      <c r="E40" s="231"/>
      <c r="F40" s="231"/>
      <c r="G40" s="231"/>
      <c r="H40" s="231"/>
      <c r="I40" s="13"/>
      <c r="J40" s="605"/>
      <c r="K40" s="605"/>
      <c r="L40" s="605"/>
      <c r="M40" s="605"/>
      <c r="N40" s="605"/>
      <c r="O40" s="605"/>
      <c r="P40" s="605"/>
      <c r="Q40" s="605"/>
      <c r="R40" s="605"/>
      <c r="S40" s="605"/>
      <c r="T40" s="605"/>
      <c r="U40" s="605"/>
      <c r="V40" s="605"/>
      <c r="W40" s="605"/>
      <c r="X40" s="610"/>
      <c r="Y40" s="610"/>
      <c r="Z40" s="610" t="s">
        <v>193</v>
      </c>
      <c r="AA40" s="622" t="s">
        <v>293</v>
      </c>
      <c r="AB40" s="622"/>
      <c r="AC40" s="622"/>
      <c r="AD40" s="622"/>
      <c r="AE40" s="622"/>
      <c r="AF40" s="622"/>
      <c r="AG40" s="622"/>
      <c r="AH40" s="605"/>
      <c r="AI40" s="605"/>
    </row>
    <row r="41" spans="1:35">
      <c r="A41" s="600" t="s">
        <v>283</v>
      </c>
      <c r="B41" s="626">
        <f>B42</f>
        <v>29</v>
      </c>
      <c r="C41" s="626">
        <f t="shared" ref="C41" si="56">C42</f>
        <v>28</v>
      </c>
      <c r="D41" s="626">
        <v>28</v>
      </c>
      <c r="E41" s="626">
        <f t="shared" ref="E41" si="57">E42</f>
        <v>26</v>
      </c>
      <c r="F41" s="626">
        <f t="shared" ref="F41" si="58">F42</f>
        <v>25</v>
      </c>
      <c r="G41" s="626">
        <f t="shared" ref="G41" si="59">G42</f>
        <v>24</v>
      </c>
      <c r="H41" s="626">
        <f t="shared" ref="H41" si="60">H42</f>
        <v>19</v>
      </c>
      <c r="I41" s="598"/>
      <c r="J41" s="605" t="s">
        <v>284</v>
      </c>
      <c r="K41" s="625">
        <f t="shared" ref="K41:P41" si="61">SUM(K8:K37)</f>
        <v>-316368.41749551194</v>
      </c>
      <c r="L41" s="625">
        <f t="shared" si="61"/>
        <v>5496450.0825044876</v>
      </c>
      <c r="M41" s="625">
        <f t="shared" si="61"/>
        <v>4624744.3006249927</v>
      </c>
      <c r="N41" s="625">
        <f t="shared" si="61"/>
        <v>4987571.8781934306</v>
      </c>
      <c r="O41" s="625">
        <f t="shared" si="61"/>
        <v>4132788.8290896765</v>
      </c>
      <c r="P41" s="625">
        <f t="shared" si="61"/>
        <v>-4075350.4223894188</v>
      </c>
      <c r="Q41" s="605"/>
      <c r="R41" s="605"/>
      <c r="S41" s="605"/>
      <c r="T41" s="605"/>
      <c r="U41" s="605"/>
      <c r="V41" s="605"/>
      <c r="W41" s="605"/>
      <c r="X41" s="616"/>
      <c r="Y41" s="623" t="s">
        <v>294</v>
      </c>
      <c r="Z41" s="13">
        <v>5</v>
      </c>
      <c r="AA41" s="1051">
        <f>AVERAGE(AA32:AA36)</f>
        <v>0.36027536834140261</v>
      </c>
      <c r="AB41" s="1051">
        <f t="shared" ref="AB41:AF41" si="62">AVERAGE(AB32:AB36)</f>
        <v>0.41171579622162335</v>
      </c>
      <c r="AC41" s="1051">
        <f>AVERAGE(AC32:AC36)</f>
        <v>0.19496767573522558</v>
      </c>
      <c r="AD41" s="1051">
        <f t="shared" si="62"/>
        <v>0.33622891010151196</v>
      </c>
      <c r="AE41" s="1051">
        <f t="shared" si="62"/>
        <v>0.35779496816752737</v>
      </c>
      <c r="AF41" s="1051">
        <f t="shared" si="62"/>
        <v>0.39932619157596172</v>
      </c>
      <c r="AG41" s="605"/>
      <c r="AH41" s="605"/>
      <c r="AI41" s="605"/>
    </row>
    <row r="42" spans="1:35">
      <c r="A42" s="31" t="s">
        <v>282</v>
      </c>
      <c r="B42" s="627">
        <f>(Forecast_Year -$A$8)/2</f>
        <v>29</v>
      </c>
      <c r="C42" s="627">
        <f>((Forecast_Year -$A$8)/2)-1</f>
        <v>28</v>
      </c>
      <c r="D42" s="628">
        <f>((Forecast_Year -$A$8)/2)-2</f>
        <v>27</v>
      </c>
      <c r="E42" s="628">
        <f>((Forecast_Year -$A$8)/2)-3</f>
        <v>26</v>
      </c>
      <c r="F42" s="628">
        <f>((Forecast_Year -$A$8)/2)-4</f>
        <v>25</v>
      </c>
      <c r="G42" s="628">
        <f>((Forecast_Year -$A$8)/2)-5</f>
        <v>24</v>
      </c>
      <c r="H42" s="628">
        <f>((Forecast_Year -$A$8)/2)-10</f>
        <v>19</v>
      </c>
      <c r="I42" s="599"/>
      <c r="J42" s="605" t="s">
        <v>285</v>
      </c>
      <c r="K42" s="606">
        <f t="shared" ref="K42:P42" si="63">COUNTIF(K8:K37, "&gt;0")</f>
        <v>12</v>
      </c>
      <c r="L42" s="606">
        <f t="shared" si="63"/>
        <v>13</v>
      </c>
      <c r="M42" s="606">
        <f t="shared" si="63"/>
        <v>16</v>
      </c>
      <c r="N42" s="606">
        <f t="shared" si="63"/>
        <v>15</v>
      </c>
      <c r="O42" s="606">
        <f t="shared" si="63"/>
        <v>13</v>
      </c>
      <c r="P42" s="606">
        <f t="shared" si="63"/>
        <v>14</v>
      </c>
      <c r="Q42" s="605"/>
      <c r="R42" s="605"/>
      <c r="S42" s="605"/>
      <c r="T42" s="605"/>
      <c r="U42" s="605"/>
      <c r="V42" s="605"/>
      <c r="W42" s="605"/>
      <c r="X42" s="616"/>
      <c r="Y42" s="623" t="s">
        <v>294</v>
      </c>
      <c r="Z42" s="616">
        <v>10</v>
      </c>
      <c r="AA42" s="1051">
        <f>AVERAGE(AA27:AA36)</f>
        <v>0.83120694077617208</v>
      </c>
      <c r="AB42" s="1051">
        <f t="shared" ref="AB42:AF42" si="64">AVERAGE(AB27:AB36)</f>
        <v>0.67233569820496808</v>
      </c>
      <c r="AC42" s="1051">
        <f t="shared" si="64"/>
        <v>0.44485906411346193</v>
      </c>
      <c r="AD42" s="1051">
        <f t="shared" si="64"/>
        <v>0.60647161053053356</v>
      </c>
      <c r="AE42" s="1051">
        <f t="shared" si="64"/>
        <v>0.52019774472510993</v>
      </c>
      <c r="AF42" s="1051">
        <f t="shared" si="64"/>
        <v>0.91119183905122925</v>
      </c>
      <c r="AG42" s="605"/>
      <c r="AH42" s="605"/>
      <c r="AI42" s="605"/>
    </row>
    <row r="43" spans="1:35">
      <c r="A43" s="12" t="s">
        <v>121</v>
      </c>
      <c r="B43" s="629">
        <f ca="1">COUNT(OFFSET(B$8,COUNT(B$8:B40)-B41,0,B$41,1))</f>
        <v>29</v>
      </c>
      <c r="C43" s="630">
        <f ca="1">COUNT(OFFSET(C$8,COUNT(C$8:C40)-C41,0,C$41,1))</f>
        <v>28</v>
      </c>
      <c r="D43" s="631">
        <f>COUNT(D8:D35)</f>
        <v>26</v>
      </c>
      <c r="E43" s="631">
        <f>COUNT(E8:E35)</f>
        <v>25</v>
      </c>
      <c r="F43" s="631">
        <f>COUNT(F8:F35)</f>
        <v>24</v>
      </c>
      <c r="G43" s="631">
        <f>COUNT(G8:G35)</f>
        <v>23</v>
      </c>
      <c r="H43" s="631">
        <f>COUNT(H8:H35)</f>
        <v>18</v>
      </c>
      <c r="I43" s="143"/>
      <c r="J43" s="605" t="s">
        <v>286</v>
      </c>
      <c r="K43" s="606">
        <f t="shared" ref="K43:P43" si="65">COUNTIF(K8:K37, "&lt;0")</f>
        <v>16</v>
      </c>
      <c r="L43" s="606">
        <f t="shared" si="65"/>
        <v>14</v>
      </c>
      <c r="M43" s="606">
        <f t="shared" si="65"/>
        <v>10</v>
      </c>
      <c r="N43" s="606">
        <f t="shared" si="65"/>
        <v>10</v>
      </c>
      <c r="O43" s="606">
        <f t="shared" si="65"/>
        <v>11</v>
      </c>
      <c r="P43" s="606">
        <f t="shared" si="65"/>
        <v>5</v>
      </c>
      <c r="Q43" s="605"/>
      <c r="R43" s="605"/>
      <c r="S43" s="605"/>
      <c r="T43" s="605"/>
      <c r="U43" s="605"/>
      <c r="V43" s="605"/>
      <c r="W43" s="605"/>
      <c r="X43" s="616"/>
      <c r="Y43" s="623" t="s">
        <v>294</v>
      </c>
      <c r="Z43" s="616">
        <v>15</v>
      </c>
      <c r="AA43" s="1051">
        <f>AVERAGE(AA22:AA36)</f>
        <v>1.3503975441148368</v>
      </c>
      <c r="AB43" s="1051">
        <f t="shared" ref="AB43:AF43" si="66">AVERAGE(AB22:AB36)</f>
        <v>1.273391070337005</v>
      </c>
      <c r="AC43" s="1051">
        <f t="shared" si="66"/>
        <v>0.88869649794428185</v>
      </c>
      <c r="AD43" s="1051">
        <f t="shared" si="66"/>
        <v>1.3348141252604926</v>
      </c>
      <c r="AE43" s="1051">
        <f t="shared" si="66"/>
        <v>1.3027537134580847</v>
      </c>
      <c r="AF43" s="1051">
        <f t="shared" si="66"/>
        <v>1.2547399301521935</v>
      </c>
      <c r="AG43" s="605"/>
      <c r="AH43" s="605"/>
      <c r="AI43" s="605"/>
    </row>
    <row r="44" spans="1:35">
      <c r="A44" s="12" t="s">
        <v>141</v>
      </c>
      <c r="B44" s="629">
        <f ca="1">MEDIAN(OFFSET(B$8,COUNT(B$8:B40)-B$41,0,B$41,1))</f>
        <v>4122588</v>
      </c>
      <c r="C44" s="629">
        <f ca="1">MEDIAN(OFFSET(C$8,COUNT(C$8:C40)-C$41,0,C$41,1))</f>
        <v>4260989.3636086192</v>
      </c>
      <c r="D44" s="631">
        <f>MEDIAN(D8:D35)</f>
        <v>4370561.145608332</v>
      </c>
      <c r="E44" s="631">
        <f>MEDIAN(E8:E35)</f>
        <v>4717073.216637508</v>
      </c>
      <c r="F44" s="631">
        <f>MEDIAN(F8:F35)</f>
        <v>4872655.7333187535</v>
      </c>
      <c r="G44" s="631">
        <f>MEDIAN(G8:G35)</f>
        <v>4673675.5733100055</v>
      </c>
      <c r="H44" s="631">
        <f>MEDIAN(H8:H35)</f>
        <v>6794094.5905101299</v>
      </c>
      <c r="I44" s="143"/>
      <c r="J44" s="401" t="s">
        <v>287</v>
      </c>
      <c r="K44" s="605"/>
      <c r="L44" s="605"/>
      <c r="M44" s="605"/>
      <c r="N44" s="605"/>
      <c r="O44" s="605"/>
      <c r="P44" s="605"/>
      <c r="Q44" s="605"/>
      <c r="R44" s="605"/>
      <c r="S44" s="605"/>
      <c r="T44" s="605"/>
      <c r="U44" s="605"/>
      <c r="V44" s="605"/>
      <c r="W44" s="605"/>
      <c r="X44" s="619"/>
      <c r="Y44" s="619"/>
      <c r="Z44" s="617" t="s">
        <v>87</v>
      </c>
      <c r="AA44" s="1053">
        <f>AVERAGE(AA8:AA37)</f>
        <v>1.1246500551885203</v>
      </c>
      <c r="AB44" s="1053">
        <f t="shared" ref="AB44:AF44" si="67">AVERAGE(AB8:AB37)</f>
        <v>1.1417290085257692</v>
      </c>
      <c r="AC44" s="1054">
        <f t="shared" si="67"/>
        <v>0.8870790413554327</v>
      </c>
      <c r="AD44" s="1054">
        <f t="shared" si="67"/>
        <v>1.3429779135287629</v>
      </c>
      <c r="AE44" s="1054">
        <f t="shared" si="67"/>
        <v>1.4222208899083189</v>
      </c>
      <c r="AF44" s="1054">
        <f t="shared" si="67"/>
        <v>1.1202623123337805</v>
      </c>
      <c r="AG44" s="615"/>
      <c r="AH44" s="605"/>
      <c r="AI44" s="605"/>
    </row>
    <row r="45" spans="1:35">
      <c r="A45" s="12" t="s">
        <v>56</v>
      </c>
      <c r="B45" s="629">
        <f ca="1">AVERAGE(OFFSET(B$8,COUNT(B$8:B40)-B$41,0,B$41,1))</f>
        <v>5471246.1727316901</v>
      </c>
      <c r="C45" s="629">
        <f ca="1">AVERAGE(OFFSET(C$8,COUNT(C$8:C40)-C$41,0,C$41,1))</f>
        <v>5541326.8782758396</v>
      </c>
      <c r="D45" s="631">
        <f>AVERAGE(D8:D35)</f>
        <v>5717088.9545852598</v>
      </c>
      <c r="E45" s="631">
        <f>AVERAGE(E8:E35)</f>
        <v>5661184.1154964985</v>
      </c>
      <c r="F45" s="631">
        <f>AVERAGE(F8:F35)</f>
        <v>5753100.6729147919</v>
      </c>
      <c r="G45" s="631">
        <f>AVERAGE(G8:G35)</f>
        <v>5810393.5605771318</v>
      </c>
      <c r="H45" s="631">
        <f>AVERAGE(H8:H35)</f>
        <v>6345744.6570920693</v>
      </c>
      <c r="I45" s="143"/>
      <c r="J45" s="401" t="s">
        <v>298</v>
      </c>
      <c r="K45" s="605"/>
      <c r="L45" s="605"/>
      <c r="M45" s="605"/>
      <c r="N45" s="605"/>
      <c r="O45" s="605"/>
      <c r="P45" s="605"/>
      <c r="Q45" s="605"/>
      <c r="R45" s="605"/>
      <c r="S45" s="605"/>
      <c r="T45" s="605"/>
      <c r="U45" s="605"/>
      <c r="V45" s="605"/>
      <c r="W45" s="605"/>
      <c r="X45" s="605"/>
      <c r="Y45" s="605"/>
      <c r="Z45" s="605"/>
      <c r="AA45" s="1055"/>
      <c r="AB45" s="1056"/>
      <c r="AC45" s="1057"/>
      <c r="AD45" s="1057"/>
      <c r="AE45" s="1057"/>
      <c r="AF45" s="1057"/>
      <c r="AG45" s="605"/>
      <c r="AH45" s="605"/>
      <c r="AI45" s="605"/>
    </row>
    <row r="46" spans="1:35">
      <c r="A46" s="12" t="s">
        <v>142</v>
      </c>
      <c r="B46" s="629">
        <f ca="1">MIN(OFFSET(B$8,COUNT(B$8:B$40)-B41,0,B$41,1))</f>
        <v>695963</v>
      </c>
      <c r="C46" s="629">
        <f ca="1">MIN(OFFSET(C$8,COUNT(C$8:C$40)-C41,0,C$41,1))</f>
        <v>695963</v>
      </c>
      <c r="D46" s="631">
        <f>MIN(D8:D35)</f>
        <v>854433</v>
      </c>
      <c r="E46" s="631">
        <f>MIN(E8:E35)</f>
        <v>1664783.25</v>
      </c>
      <c r="F46" s="631">
        <f>MIN(F8:F35)</f>
        <v>1664783.25</v>
      </c>
      <c r="G46" s="631">
        <f>MIN(G8:G35)</f>
        <v>2053562.2</v>
      </c>
      <c r="H46" s="631">
        <f>MIN(H8:H35)</f>
        <v>3631700.2</v>
      </c>
      <c r="I46" s="143"/>
      <c r="J46" s="605"/>
      <c r="K46" s="605"/>
      <c r="L46" s="605"/>
      <c r="M46" s="605"/>
      <c r="N46" s="605"/>
      <c r="O46" s="605"/>
      <c r="P46" s="605"/>
      <c r="Q46" s="605"/>
      <c r="R46" s="605"/>
      <c r="S46" s="605"/>
      <c r="T46" s="605"/>
      <c r="U46" s="605"/>
      <c r="V46" s="605"/>
      <c r="W46" s="605"/>
      <c r="X46" s="610"/>
      <c r="Y46" s="610"/>
      <c r="Z46" s="618" t="s">
        <v>194</v>
      </c>
      <c r="AA46" s="1058" t="s">
        <v>293</v>
      </c>
      <c r="AB46" s="1058"/>
      <c r="AC46" s="1059"/>
      <c r="AD46" s="1059"/>
      <c r="AE46" s="1059"/>
      <c r="AF46" s="1059"/>
      <c r="AG46" s="622"/>
      <c r="AH46" s="605"/>
      <c r="AI46" s="605"/>
    </row>
    <row r="47" spans="1:35">
      <c r="A47" s="12" t="s">
        <v>143</v>
      </c>
      <c r="B47" s="629">
        <f ca="1">MAX(OFFSET(B$8,COUNT(B$8:B40)-B$41,0,B$41,1))</f>
        <v>21201513</v>
      </c>
      <c r="C47" s="629">
        <f ca="1">MAX(OFFSET(C$8,COUNT(C$8:C40)-C$41,0,C$41,1))</f>
        <v>21201513</v>
      </c>
      <c r="D47" s="631">
        <f>MAX(D8:D35)</f>
        <v>18997915</v>
      </c>
      <c r="E47" s="631">
        <f>MAX(E8:E35)</f>
        <v>14393425.75</v>
      </c>
      <c r="F47" s="631">
        <f>MAX(F8:F35)</f>
        <v>14393425.75</v>
      </c>
      <c r="G47" s="631">
        <f>MAX(G8:G35)</f>
        <v>12299757.199999999</v>
      </c>
      <c r="H47" s="631">
        <f>MAX(H8:H35)</f>
        <v>8811068.3499999996</v>
      </c>
      <c r="I47" s="143"/>
      <c r="J47" s="605"/>
      <c r="K47" s="605"/>
      <c r="L47" s="605"/>
      <c r="M47" s="605"/>
      <c r="N47" s="605"/>
      <c r="O47" s="605"/>
      <c r="P47" s="605"/>
      <c r="Q47" s="605"/>
      <c r="R47" s="605"/>
      <c r="S47" s="605"/>
      <c r="T47" s="605"/>
      <c r="U47" s="605"/>
      <c r="V47" s="605"/>
      <c r="W47" s="605"/>
      <c r="X47" s="616"/>
      <c r="Y47" s="623" t="s">
        <v>294</v>
      </c>
      <c r="Z47" s="13">
        <v>5</v>
      </c>
      <c r="AA47" s="1052">
        <f>STDEV(AA32:AA37)</f>
        <v>0.24562974322244591</v>
      </c>
      <c r="AB47" s="1052">
        <f t="shared" ref="AB47:AF47" si="68">STDEV(AB32:AB37)</f>
        <v>0.31145245302003616</v>
      </c>
      <c r="AC47" s="1052">
        <f t="shared" si="68"/>
        <v>9.097267732653376E-2</v>
      </c>
      <c r="AD47" s="1052">
        <f t="shared" si="68"/>
        <v>0.31409598455940152</v>
      </c>
      <c r="AE47" s="1052">
        <f t="shared" si="68"/>
        <v>0.35851261844034055</v>
      </c>
      <c r="AF47" s="1052">
        <f t="shared" si="68"/>
        <v>0.42448754426327689</v>
      </c>
      <c r="AG47" s="605"/>
      <c r="AH47" s="605"/>
      <c r="AI47" s="605"/>
    </row>
    <row r="48" spans="1:35">
      <c r="A48" s="12" t="s">
        <v>119</v>
      </c>
      <c r="B48" s="629">
        <f ca="1">STDEV(OFFSET(B$8,COUNT(B$8:B40)-B$41,0,B$41,1))</f>
        <v>4907535.5263432264</v>
      </c>
      <c r="C48" s="629">
        <f ca="1">STDEV(OFFSET(C$8,COUNT(C$8:C40)-C$41,0,C$41,1))</f>
        <v>4982790.2286356902</v>
      </c>
      <c r="D48" s="631">
        <f>STDEV(D8:D35)</f>
        <v>4304490.5668818848</v>
      </c>
      <c r="E48" s="631">
        <f>STDEV(E8:E35)</f>
        <v>3477021.5552609204</v>
      </c>
      <c r="F48" s="631">
        <f>STDEV(F8:F35)</f>
        <v>3520641.6249549156</v>
      </c>
      <c r="G48" s="631">
        <f>STDEV(G8:G35)</f>
        <v>3172315.3637122991</v>
      </c>
      <c r="H48" s="631">
        <f>STDEV(H8:H35)</f>
        <v>1769453.3090807355</v>
      </c>
      <c r="I48" s="143"/>
      <c r="J48" s="605"/>
      <c r="K48" s="605"/>
      <c r="L48" s="605"/>
      <c r="M48" s="605"/>
      <c r="N48" s="605"/>
      <c r="O48" s="605"/>
      <c r="P48" s="605"/>
      <c r="Q48" s="605"/>
      <c r="R48" s="605"/>
      <c r="S48" s="605"/>
      <c r="T48" s="605"/>
      <c r="U48" s="605"/>
      <c r="V48" s="605"/>
      <c r="W48" s="605"/>
      <c r="X48" s="616"/>
      <c r="Y48" s="623" t="s">
        <v>294</v>
      </c>
      <c r="Z48" s="616">
        <v>10</v>
      </c>
      <c r="AA48" s="1052">
        <f>STDEV(AA27:AA36)</f>
        <v>1.4274264852276013</v>
      </c>
      <c r="AB48" s="1052">
        <f t="shared" ref="AB48:AF48" si="69">STDEV(AB27:AB36)</f>
        <v>1.1982753360194875</v>
      </c>
      <c r="AC48" s="1052">
        <f t="shared" si="69"/>
        <v>0.77733817753548418</v>
      </c>
      <c r="AD48" s="1052">
        <f t="shared" si="69"/>
        <v>0.98244773400533225</v>
      </c>
      <c r="AE48" s="1052">
        <f t="shared" si="69"/>
        <v>0.80453896506511091</v>
      </c>
      <c r="AF48" s="1052">
        <f t="shared" si="69"/>
        <v>1.6214226694821698</v>
      </c>
      <c r="AG48" s="605"/>
      <c r="AH48" s="605"/>
      <c r="AI48" s="605"/>
    </row>
    <row r="49" spans="1:35">
      <c r="A49" s="12"/>
      <c r="B49" s="629"/>
      <c r="C49" s="629"/>
      <c r="D49" s="979"/>
      <c r="E49" s="979"/>
      <c r="F49" s="979"/>
      <c r="G49" s="979"/>
      <c r="H49" s="979"/>
      <c r="I49" s="143"/>
      <c r="J49" s="605"/>
      <c r="K49" s="605"/>
      <c r="L49" s="605"/>
      <c r="M49" s="605"/>
      <c r="N49" s="605"/>
      <c r="O49" s="605"/>
      <c r="P49" s="605"/>
      <c r="Q49" s="605"/>
      <c r="R49" s="605"/>
      <c r="S49" s="605"/>
      <c r="T49" s="605"/>
      <c r="U49" s="605"/>
      <c r="V49" s="605"/>
      <c r="W49" s="605"/>
      <c r="X49" s="616"/>
      <c r="Y49" s="623" t="s">
        <v>294</v>
      </c>
      <c r="Z49" s="616">
        <v>15</v>
      </c>
      <c r="AA49" s="1052">
        <f>STDEV(AA22:AA37)</f>
        <v>2.2506805765791409</v>
      </c>
      <c r="AB49" s="1052">
        <f t="shared" ref="AB49:AF49" si="70">STDEV(AB22:AB37)</f>
        <v>1.9839839023407499</v>
      </c>
      <c r="AC49" s="1052">
        <f t="shared" si="70"/>
        <v>1.5389682335082528</v>
      </c>
      <c r="AD49" s="1052">
        <f t="shared" si="70"/>
        <v>2.3513352377271293</v>
      </c>
      <c r="AE49" s="1052">
        <f t="shared" si="70"/>
        <v>2.275378305631035</v>
      </c>
      <c r="AF49" s="1052">
        <f t="shared" si="70"/>
        <v>1.7020898207028001</v>
      </c>
      <c r="AG49" s="605"/>
      <c r="AH49" s="605"/>
      <c r="AI49" s="605"/>
    </row>
    <row r="50" spans="1:35">
      <c r="A50" s="12"/>
      <c r="B50" s="629"/>
      <c r="C50" s="629"/>
      <c r="D50" s="979"/>
      <c r="E50" s="979"/>
      <c r="F50" s="979"/>
      <c r="G50" s="979"/>
      <c r="H50" s="979"/>
      <c r="I50" s="143"/>
      <c r="J50" s="605"/>
      <c r="K50" s="605"/>
      <c r="L50" s="605"/>
      <c r="M50" s="605"/>
      <c r="N50" s="605"/>
      <c r="O50" s="605"/>
      <c r="P50" s="605"/>
      <c r="Q50" s="605"/>
      <c r="R50" s="605"/>
      <c r="S50" s="605"/>
      <c r="T50" s="605"/>
      <c r="U50" s="605"/>
      <c r="V50" s="605"/>
      <c r="W50" s="605"/>
      <c r="X50" s="619"/>
      <c r="Y50" s="619"/>
      <c r="Z50" s="617" t="s">
        <v>87</v>
      </c>
      <c r="AA50" s="1054">
        <f t="shared" ref="AA50:AF50" si="71">STDEV(AA8:AA37)</f>
        <v>1.8514646566011803</v>
      </c>
      <c r="AB50" s="1054">
        <f t="shared" si="71"/>
        <v>1.6700015733437712</v>
      </c>
      <c r="AC50" s="1054">
        <f t="shared" si="71"/>
        <v>1.2932430449166457</v>
      </c>
      <c r="AD50" s="1054">
        <f t="shared" si="71"/>
        <v>2.0100702869492184</v>
      </c>
      <c r="AE50" s="1054">
        <f t="shared" si="71"/>
        <v>2.1276180708745618</v>
      </c>
      <c r="AF50" s="1054">
        <f t="shared" si="71"/>
        <v>1.5277718787915353</v>
      </c>
      <c r="AG50" s="605"/>
      <c r="AH50" s="605"/>
      <c r="AI50" s="605"/>
    </row>
    <row r="51" spans="1:35">
      <c r="A51" s="12"/>
      <c r="B51" s="629"/>
      <c r="C51" s="629"/>
      <c r="D51" s="979"/>
      <c r="E51" s="979"/>
      <c r="F51" s="979"/>
      <c r="H51" s="979"/>
      <c r="I51" s="143"/>
      <c r="J51" s="605"/>
      <c r="K51" s="605"/>
      <c r="L51" s="605"/>
      <c r="M51" s="605"/>
      <c r="N51" s="605"/>
      <c r="O51" s="605"/>
      <c r="P51" s="605"/>
      <c r="Q51" s="605"/>
      <c r="R51" s="605"/>
      <c r="S51" s="605"/>
      <c r="T51" s="605"/>
      <c r="U51" s="605"/>
      <c r="V51" s="605"/>
      <c r="W51" s="605"/>
      <c r="X51" s="12"/>
      <c r="Y51" s="12"/>
      <c r="Z51" s="12"/>
      <c r="AA51" s="12"/>
      <c r="AB51" s="12"/>
      <c r="AC51" s="12"/>
      <c r="AD51" s="12"/>
      <c r="AE51" s="12"/>
      <c r="AF51" s="605"/>
      <c r="AG51" s="605"/>
      <c r="AH51" s="605"/>
      <c r="AI51" s="605"/>
    </row>
    <row r="52" spans="1:35" ht="17" thickBot="1">
      <c r="G52" s="12" t="s">
        <v>344</v>
      </c>
      <c r="J52" s="605"/>
      <c r="K52" s="605"/>
      <c r="L52" s="605"/>
      <c r="M52" s="605"/>
      <c r="N52" s="605"/>
      <c r="O52" s="605"/>
      <c r="P52" s="605"/>
      <c r="Q52" s="605"/>
      <c r="R52" s="605"/>
      <c r="S52" s="605"/>
      <c r="T52" s="605"/>
      <c r="U52" s="605"/>
      <c r="V52" s="605"/>
      <c r="W52" s="605"/>
      <c r="X52" s="401" t="s">
        <v>299</v>
      </c>
      <c r="Y52" s="12"/>
      <c r="Z52" s="12"/>
      <c r="AA52" s="12"/>
      <c r="AB52" s="12"/>
      <c r="AC52" s="12"/>
      <c r="AD52" s="12"/>
      <c r="AE52" s="12"/>
      <c r="AG52" s="605"/>
      <c r="AH52" s="605"/>
      <c r="AI52" s="605"/>
    </row>
    <row r="53" spans="1:35">
      <c r="A53" s="603"/>
      <c r="F53" s="968"/>
      <c r="G53" s="969"/>
      <c r="H53" s="969"/>
      <c r="I53" s="969"/>
      <c r="J53" s="970"/>
      <c r="K53" s="970"/>
      <c r="L53" s="970"/>
      <c r="M53" s="970"/>
      <c r="N53" s="970"/>
      <c r="O53" s="970"/>
      <c r="P53" s="971"/>
      <c r="Q53" s="605"/>
      <c r="R53" s="605"/>
      <c r="S53" s="605"/>
      <c r="T53" s="605"/>
      <c r="U53" s="605"/>
      <c r="V53" s="605"/>
      <c r="W53" s="605"/>
      <c r="X53" s="401" t="s">
        <v>300</v>
      </c>
      <c r="Y53" s="12"/>
      <c r="Z53" s="12"/>
      <c r="AA53" s="12"/>
      <c r="AB53" s="12"/>
      <c r="AC53" s="12"/>
      <c r="AD53" s="12"/>
      <c r="AE53" s="12"/>
      <c r="AG53" s="605"/>
      <c r="AH53" s="605"/>
      <c r="AI53" s="605"/>
    </row>
    <row r="54" spans="1:35">
      <c r="F54" s="972"/>
      <c r="H54" s="13"/>
      <c r="I54" s="224" t="s">
        <v>331</v>
      </c>
      <c r="J54" s="978">
        <f>C4</f>
        <v>2018</v>
      </c>
      <c r="K54" s="616"/>
      <c r="L54" s="616"/>
      <c r="M54" s="616"/>
      <c r="N54" s="616"/>
      <c r="O54" s="616"/>
      <c r="P54" s="973"/>
      <c r="Q54" s="605"/>
      <c r="R54" s="605"/>
      <c r="S54" s="605"/>
      <c r="T54" s="605"/>
      <c r="U54" s="605"/>
      <c r="V54" s="605"/>
      <c r="W54" s="605"/>
      <c r="AG54" s="605"/>
      <c r="AH54" s="605"/>
      <c r="AI54" s="605"/>
    </row>
    <row r="55" spans="1:35">
      <c r="B55" s="597"/>
      <c r="F55" s="972"/>
      <c r="G55" s="226"/>
      <c r="H55" s="226"/>
      <c r="I55" s="226"/>
      <c r="J55" s="1116" t="s">
        <v>135</v>
      </c>
      <c r="K55" s="1116"/>
      <c r="L55" s="1116"/>
      <c r="M55" s="226"/>
      <c r="N55" s="226"/>
      <c r="O55" s="226"/>
      <c r="P55" s="808"/>
      <c r="Q55" s="12"/>
      <c r="R55" s="12"/>
      <c r="S55" s="12"/>
      <c r="T55" s="12"/>
      <c r="U55" s="12"/>
    </row>
    <row r="56" spans="1:35">
      <c r="F56" s="972"/>
      <c r="G56" s="231"/>
      <c r="H56" s="231" t="s">
        <v>343</v>
      </c>
      <c r="I56" s="231"/>
      <c r="J56" s="227" t="s">
        <v>189</v>
      </c>
      <c r="K56" s="249" t="s">
        <v>191</v>
      </c>
      <c r="L56" s="249" t="s">
        <v>192</v>
      </c>
      <c r="M56" s="227" t="s">
        <v>118</v>
      </c>
      <c r="N56" s="617" t="s">
        <v>193</v>
      </c>
      <c r="O56" s="967" t="s">
        <v>194</v>
      </c>
      <c r="P56" s="808"/>
      <c r="Q56" s="12"/>
      <c r="R56" s="12"/>
      <c r="S56" s="12"/>
      <c r="T56" s="12"/>
      <c r="U56" s="12"/>
    </row>
    <row r="57" spans="1:35">
      <c r="F57" s="972"/>
      <c r="G57" s="13"/>
      <c r="H57" s="13"/>
      <c r="I57" s="224" t="s">
        <v>337</v>
      </c>
      <c r="J57" s="974">
        <f>C37</f>
        <v>3508986.4174955119</v>
      </c>
      <c r="K57" s="347">
        <f>IF(J57-Mean_TotalRun_Performance!C50&lt;0,0,J57-Mean_TotalRun_Performance!C50)</f>
        <v>0</v>
      </c>
      <c r="L57" s="347">
        <f>J57+Mean_TotalRun_Performance!C50</f>
        <v>7084346.4679803513</v>
      </c>
      <c r="M57" s="13">
        <v>10</v>
      </c>
      <c r="N57" s="975">
        <f>AA42</f>
        <v>0.83120694077617208</v>
      </c>
      <c r="O57" s="975">
        <f>AA48</f>
        <v>1.4274264852276013</v>
      </c>
      <c r="P57" s="808"/>
      <c r="Q57" s="12"/>
      <c r="R57" s="12"/>
      <c r="S57" s="12"/>
      <c r="T57" s="12"/>
      <c r="U57" s="12"/>
      <c r="X57" s="12"/>
      <c r="Y57" s="12"/>
      <c r="Z57" s="12"/>
      <c r="AA57" s="12"/>
      <c r="AB57" s="12"/>
      <c r="AC57" s="12"/>
      <c r="AD57" s="12"/>
      <c r="AE57" s="12"/>
    </row>
    <row r="58" spans="1:35">
      <c r="F58" s="972"/>
      <c r="G58" s="13"/>
      <c r="H58" s="13"/>
      <c r="I58" s="224" t="s">
        <v>338</v>
      </c>
      <c r="J58" s="974">
        <f>D37</f>
        <v>3105691.7087477557</v>
      </c>
      <c r="K58" s="347">
        <f>IF(J58-Mean_TotalRun_Performance!C51&lt;0,0,J58-Mean_TotalRun_Performance!C51)</f>
        <v>194492.83546541631</v>
      </c>
      <c r="L58" s="347">
        <f>J58+Mean_TotalRun_Performance!C51</f>
        <v>6016890.5820300952</v>
      </c>
      <c r="M58" s="13">
        <v>10</v>
      </c>
      <c r="N58" s="975">
        <f>AB42</f>
        <v>0.67233569820496808</v>
      </c>
      <c r="O58" s="975">
        <f>AB48</f>
        <v>1.1982753360194875</v>
      </c>
      <c r="P58" s="808"/>
      <c r="Q58" s="12"/>
      <c r="R58" s="12"/>
      <c r="S58" s="12"/>
      <c r="T58" s="12"/>
      <c r="U58" s="12"/>
      <c r="X58" s="12"/>
      <c r="Y58" s="12"/>
      <c r="Z58" s="12"/>
      <c r="AA58" s="12"/>
      <c r="AB58" s="12"/>
      <c r="AC58" s="12"/>
      <c r="AD58" s="12"/>
      <c r="AE58" s="12"/>
    </row>
    <row r="59" spans="1:35">
      <c r="F59" s="972"/>
      <c r="G59" s="21"/>
      <c r="H59" s="21"/>
      <c r="I59" s="827" t="s">
        <v>339</v>
      </c>
      <c r="J59" s="1060">
        <f>E37</f>
        <v>3546550.3208363359</v>
      </c>
      <c r="K59" s="602">
        <f>IF(J59-Mean_TotalRun_Performance!C52&lt;0,0,J59-Mean_TotalRun_Performance!C52)</f>
        <v>1530849.235942268</v>
      </c>
      <c r="L59" s="602">
        <f>J59+Mean_TotalRun_Performance!C52</f>
        <v>5562251.405730404</v>
      </c>
      <c r="M59" s="21">
        <v>10</v>
      </c>
      <c r="N59" s="826">
        <f>AC42</f>
        <v>0.44485906411346193</v>
      </c>
      <c r="O59" s="826">
        <f>AC48</f>
        <v>0.77733817753548418</v>
      </c>
      <c r="P59" s="808"/>
      <c r="Q59" s="12"/>
      <c r="R59" s="12"/>
      <c r="S59" s="12"/>
      <c r="T59" s="12"/>
      <c r="U59" s="12"/>
    </row>
    <row r="60" spans="1:35">
      <c r="F60" s="972"/>
      <c r="G60" s="13"/>
      <c r="H60" s="13"/>
      <c r="I60" s="224" t="s">
        <v>340</v>
      </c>
      <c r="J60" s="974">
        <f>F37</f>
        <v>3759760.4224315612</v>
      </c>
      <c r="K60" s="347">
        <f>IF(J60-Mean_TotalRun_Performance!C53&lt;0,0,J60-Mean_TotalRun_Performance!C53)</f>
        <v>1036207.567785922</v>
      </c>
      <c r="L60" s="347">
        <f>J60+Mean_TotalRun_Performance!C53</f>
        <v>6483313.2770771999</v>
      </c>
      <c r="M60" s="13">
        <v>10</v>
      </c>
      <c r="N60" s="975">
        <f>AD42</f>
        <v>0.60647161053053356</v>
      </c>
      <c r="O60" s="975">
        <f>AD48</f>
        <v>0.98244773400533225</v>
      </c>
      <c r="P60" s="808"/>
      <c r="Q60" s="12"/>
      <c r="R60" s="12"/>
      <c r="S60" s="12"/>
      <c r="T60" s="12"/>
      <c r="U60" s="12"/>
    </row>
    <row r="61" spans="1:35">
      <c r="F61" s="972"/>
      <c r="G61" s="13"/>
      <c r="H61" s="13"/>
      <c r="I61" s="224" t="s">
        <v>341</v>
      </c>
      <c r="J61" s="974">
        <f>G37</f>
        <v>3465946.6734650666</v>
      </c>
      <c r="K61" s="347">
        <f>IF(J61-Mean_TotalRun_Performance!C54&lt;0,0,J61-Mean_TotalRun_Performance!C54)</f>
        <v>1322140.6558296657</v>
      </c>
      <c r="L61" s="347">
        <f>J61+Mean_TotalRun_Performance!C54</f>
        <v>5609752.691100467</v>
      </c>
      <c r="M61" s="13">
        <v>10</v>
      </c>
      <c r="N61" s="975">
        <f>AE42</f>
        <v>0.52019774472510993</v>
      </c>
      <c r="O61" s="975">
        <f>AE48</f>
        <v>0.80453896506511091</v>
      </c>
      <c r="P61" s="808"/>
      <c r="Q61" s="12"/>
      <c r="R61" s="12"/>
      <c r="S61" s="12"/>
      <c r="T61" s="12"/>
      <c r="U61" s="12"/>
    </row>
    <row r="62" spans="1:35">
      <c r="F62" s="972"/>
      <c r="G62" s="13"/>
      <c r="H62" s="13"/>
      <c r="I62" s="224" t="s">
        <v>342</v>
      </c>
      <c r="J62" s="974">
        <f>H37</f>
        <v>3951272.9009219026</v>
      </c>
      <c r="K62" s="347">
        <f>IF(J62-Mean_TotalRun_Performance!C55&lt;0,0,J62-Mean_TotalRun_Performance!C55)</f>
        <v>0</v>
      </c>
      <c r="L62" s="347">
        <f>J62+Mean_TotalRun_Performance!C55</f>
        <v>8075086.0040081535</v>
      </c>
      <c r="M62" s="13">
        <v>10</v>
      </c>
      <c r="N62" s="975">
        <f>AF42</f>
        <v>0.91119183905122925</v>
      </c>
      <c r="O62" s="975">
        <f>AF48</f>
        <v>1.6214226694821698</v>
      </c>
      <c r="P62" s="808"/>
      <c r="Q62" s="12"/>
      <c r="R62" s="12"/>
      <c r="S62" s="12"/>
      <c r="T62" s="12"/>
      <c r="U62" s="12"/>
    </row>
    <row r="63" spans="1:35" ht="17" thickBot="1">
      <c r="F63" s="976"/>
      <c r="G63" s="225"/>
      <c r="H63" s="225"/>
      <c r="I63" s="225"/>
      <c r="J63" s="225"/>
      <c r="K63" s="977"/>
      <c r="L63" s="225"/>
      <c r="M63" s="225"/>
      <c r="N63" s="225"/>
      <c r="O63" s="225"/>
      <c r="P63" s="809"/>
      <c r="Q63" s="12"/>
      <c r="R63" s="12"/>
      <c r="S63" s="12"/>
      <c r="T63" s="12"/>
      <c r="U63" s="12"/>
    </row>
    <row r="64" spans="1:35">
      <c r="G64" s="12"/>
      <c r="H64" s="12"/>
      <c r="I64" s="12"/>
      <c r="J64" s="12"/>
      <c r="K64" s="12"/>
      <c r="L64" s="12"/>
      <c r="M64" s="12"/>
      <c r="N64" s="12"/>
      <c r="O64" s="12"/>
      <c r="P64" s="12"/>
      <c r="Q64" s="12"/>
      <c r="R64" s="12"/>
      <c r="S64" s="12"/>
      <c r="T64" s="12"/>
      <c r="U64" s="12"/>
    </row>
    <row r="65" spans="7:21">
      <c r="G65" s="12"/>
      <c r="H65" s="12"/>
      <c r="I65" s="12"/>
      <c r="J65" s="12"/>
      <c r="K65" s="12"/>
      <c r="L65" s="12"/>
      <c r="M65" s="12"/>
      <c r="N65" s="12"/>
      <c r="O65" s="12"/>
      <c r="P65" s="12"/>
      <c r="Q65" s="12"/>
      <c r="R65" s="12"/>
      <c r="S65" s="12"/>
      <c r="T65" s="12"/>
      <c r="U65" s="12"/>
    </row>
    <row r="66" spans="7:21">
      <c r="G66" s="12"/>
      <c r="H66" s="12"/>
      <c r="I66" s="12"/>
      <c r="J66" s="12"/>
      <c r="K66" s="12"/>
      <c r="L66" s="12"/>
      <c r="M66" s="12"/>
      <c r="N66" s="12"/>
      <c r="O66" s="12"/>
      <c r="P66" s="12"/>
      <c r="Q66" s="12"/>
      <c r="R66" s="12"/>
      <c r="S66" s="12"/>
      <c r="T66" s="12"/>
    </row>
    <row r="67" spans="7:21">
      <c r="G67" s="12"/>
      <c r="H67" s="12"/>
      <c r="I67" s="12"/>
      <c r="J67" s="12"/>
      <c r="K67" s="12"/>
      <c r="L67" s="12"/>
      <c r="M67" s="12"/>
      <c r="N67" s="12"/>
      <c r="O67" s="12"/>
      <c r="P67" s="12"/>
      <c r="Q67" s="12"/>
      <c r="R67" s="12"/>
      <c r="S67" s="12"/>
      <c r="T67" s="12"/>
    </row>
    <row r="68" spans="7:21">
      <c r="G68" s="12"/>
      <c r="H68" s="12"/>
      <c r="I68" s="12"/>
      <c r="J68" s="12"/>
      <c r="K68" s="12"/>
      <c r="L68" s="12"/>
      <c r="M68" s="12"/>
      <c r="N68" s="12"/>
      <c r="O68" s="12"/>
      <c r="P68" s="12"/>
      <c r="Q68" s="12"/>
      <c r="R68" s="12"/>
      <c r="S68" s="12"/>
      <c r="T68" s="12"/>
    </row>
  </sheetData>
  <sheetProtection selectLockedCells="1" selectUnlockedCells="1"/>
  <mergeCells count="8">
    <mergeCell ref="J55:L55"/>
    <mergeCell ref="R3:X3"/>
    <mergeCell ref="Z3:AF3"/>
    <mergeCell ref="K6:P6"/>
    <mergeCell ref="S6:X6"/>
    <mergeCell ref="R4:X4"/>
    <mergeCell ref="Z4:AF4"/>
    <mergeCell ref="AA6:AF6"/>
  </mergeCells>
  <conditionalFormatting sqref="S38:X38 AA38:AF38 AA8:AF36 S8:X36">
    <cfRule type="cellIs" dxfId="12" priority="17" operator="greaterThan">
      <formula>1</formula>
    </cfRule>
  </conditionalFormatting>
  <conditionalFormatting sqref="R3">
    <cfRule type="cellIs" dxfId="11" priority="13" operator="greaterThan">
      <formula>1</formula>
    </cfRule>
  </conditionalFormatting>
  <conditionalFormatting sqref="R3">
    <cfRule type="containsText" dxfId="10" priority="12" operator="containsText" text="Conditional formating used to highlight values &gt;1.00.">
      <formula>NOT(ISERROR(SEARCH("Conditional formating used to highlight values &gt;1.00.",R3)))</formula>
    </cfRule>
  </conditionalFormatting>
  <conditionalFormatting sqref="Z3">
    <cfRule type="cellIs" dxfId="9" priority="11" operator="greaterThan">
      <formula>1</formula>
    </cfRule>
  </conditionalFormatting>
  <conditionalFormatting sqref="Z3">
    <cfRule type="containsText" dxfId="8" priority="10" operator="containsText" text="Conditional formating used to highlight values &gt;1.00.">
      <formula>NOT(ISERROR(SEARCH("Conditional formating used to highlight values &gt;1.00.",Z3)))</formula>
    </cfRule>
  </conditionalFormatting>
  <conditionalFormatting sqref="AA41:AF41">
    <cfRule type="top10" dxfId="7" priority="8" bottom="1" rank="1"/>
  </conditionalFormatting>
  <conditionalFormatting sqref="AA42:AF42">
    <cfRule type="top10" dxfId="6" priority="7" bottom="1" rank="1"/>
  </conditionalFormatting>
  <conditionalFormatting sqref="AA43:AF43">
    <cfRule type="top10" dxfId="5" priority="6" bottom="1" rank="1"/>
  </conditionalFormatting>
  <conditionalFormatting sqref="AB44:AG44">
    <cfRule type="top10" dxfId="4" priority="5" bottom="1" rank="1"/>
  </conditionalFormatting>
  <conditionalFormatting sqref="AA47:AF47">
    <cfRule type="top10" dxfId="3" priority="4" bottom="1" rank="1"/>
  </conditionalFormatting>
  <conditionalFormatting sqref="AA48:AF48">
    <cfRule type="top10" dxfId="2" priority="3" bottom="1" rank="1"/>
  </conditionalFormatting>
  <conditionalFormatting sqref="AA49:AF49">
    <cfRule type="top10" dxfId="1" priority="2" bottom="1" rank="1"/>
  </conditionalFormatting>
  <conditionalFormatting sqref="AA50:AF50">
    <cfRule type="top10" dxfId="0" priority="1" bottom="1" rank="1"/>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transitionEntry="1" codeName="Sheet22">
    <tabColor rgb="FFFFC000"/>
    <pageSetUpPr fitToPage="1"/>
  </sheetPr>
  <dimension ref="A1:AE160"/>
  <sheetViews>
    <sheetView zoomScale="75" zoomScaleNormal="75" zoomScaleSheetLayoutView="100" workbookViewId="0">
      <pane ySplit="7" topLeftCell="A20" activePane="bottomLeft" state="frozen"/>
      <selection pane="bottomLeft" activeCell="M36" sqref="M36"/>
    </sheetView>
  </sheetViews>
  <sheetFormatPr baseColWidth="10" defaultColWidth="9.7109375" defaultRowHeight="16"/>
  <cols>
    <col min="1" max="1" width="6.85546875" style="476" customWidth="1"/>
    <col min="2" max="2" width="9.5703125" style="584" customWidth="1"/>
    <col min="3" max="3" width="9.7109375" style="476" customWidth="1"/>
    <col min="4" max="4" width="10.140625" style="476" customWidth="1"/>
    <col min="5" max="5" width="8.7109375" style="476" customWidth="1"/>
    <col min="6" max="6" width="1.85546875" style="476" customWidth="1"/>
    <col min="7" max="7" width="6.7109375" style="476" customWidth="1"/>
    <col min="8" max="8" width="9.42578125" style="476" customWidth="1"/>
    <col min="9" max="9" width="9.28515625" style="476" customWidth="1"/>
    <col min="10" max="10" width="11.85546875" style="476" customWidth="1"/>
    <col min="11" max="11" width="1.85546875" style="476" customWidth="1"/>
    <col min="12" max="12" width="8" style="477" customWidth="1"/>
    <col min="13" max="13" width="9.28515625" style="477" customWidth="1"/>
    <col min="14" max="14" width="10.5703125" style="507" customWidth="1"/>
    <col min="15" max="15" width="11" style="507" customWidth="1"/>
    <col min="16" max="16" width="1.85546875" style="507" customWidth="1"/>
    <col min="17" max="17" width="7.28515625" style="507" customWidth="1"/>
    <col min="18" max="18" width="9.5703125" style="477" customWidth="1"/>
    <col min="19" max="20" width="9.7109375" style="477"/>
    <col min="21" max="21" width="2" style="477" customWidth="1"/>
    <col min="22" max="22" width="7.28515625" style="477" customWidth="1"/>
    <col min="23" max="23" width="10" style="477" customWidth="1"/>
    <col min="24" max="25" width="9.7109375" style="477"/>
    <col min="26" max="26" width="1.28515625" style="477" customWidth="1"/>
    <col min="27" max="16384" width="9.7109375" style="477"/>
  </cols>
  <sheetData>
    <row r="1" spans="1:30" ht="18">
      <c r="A1" s="586" t="str">
        <f ca="1">CELL("filename",A1)</f>
        <v>/Users/janohlberger/Work/UW/Thresholds/Data/Rich/[2018_PWS_Wild_Pink_forecast_DRAFT.xlsm]Mean_TotalRun_Performance</v>
      </c>
      <c r="B1" s="472"/>
      <c r="C1" s="473"/>
      <c r="D1" s="473"/>
      <c r="E1" s="473"/>
      <c r="F1" s="473"/>
      <c r="G1" s="473"/>
      <c r="H1" s="473"/>
      <c r="I1" s="473"/>
      <c r="J1" s="473"/>
      <c r="K1" s="473"/>
      <c r="L1" s="473"/>
      <c r="M1" s="473"/>
      <c r="N1" s="474"/>
      <c r="O1" s="475"/>
      <c r="P1" s="475"/>
      <c r="Q1" s="475"/>
      <c r="R1" s="476"/>
    </row>
    <row r="2" spans="1:30" ht="20">
      <c r="A2" s="478" t="s">
        <v>304</v>
      </c>
      <c r="B2" s="472"/>
      <c r="C2" s="473"/>
      <c r="D2" s="473"/>
      <c r="E2" s="473"/>
      <c r="F2" s="473"/>
      <c r="G2" s="473"/>
      <c r="H2" s="473"/>
      <c r="I2" s="473"/>
      <c r="J2" s="473"/>
      <c r="K2" s="473"/>
      <c r="L2" s="472"/>
      <c r="M2" s="472"/>
      <c r="N2" s="480"/>
      <c r="O2" s="481"/>
      <c r="P2" s="481"/>
      <c r="Q2" s="481"/>
    </row>
    <row r="3" spans="1:30" ht="25">
      <c r="A3" s="482" t="s">
        <v>301</v>
      </c>
      <c r="B3" s="472"/>
      <c r="C3" s="473"/>
      <c r="D3" s="473"/>
      <c r="E3" s="473"/>
      <c r="F3" s="473"/>
      <c r="G3" s="473"/>
      <c r="H3" s="473"/>
      <c r="I3" s="472" t="s">
        <v>302</v>
      </c>
      <c r="J3" s="635">
        <v>2018</v>
      </c>
      <c r="K3" s="473"/>
      <c r="N3" s="477"/>
      <c r="O3" s="481"/>
      <c r="P3" s="481"/>
      <c r="Q3" s="481"/>
      <c r="R3" s="476"/>
    </row>
    <row r="4" spans="1:30" ht="20">
      <c r="A4" s="482" t="s">
        <v>256</v>
      </c>
      <c r="B4" s="483"/>
      <c r="C4" s="484"/>
      <c r="D4" s="484"/>
      <c r="E4" s="484"/>
      <c r="F4" s="484"/>
      <c r="G4" s="482" t="s">
        <v>257</v>
      </c>
      <c r="H4" s="482"/>
      <c r="I4" s="484"/>
      <c r="J4" s="484"/>
      <c r="K4" s="484"/>
      <c r="L4" s="482" t="s">
        <v>258</v>
      </c>
      <c r="M4" s="483"/>
      <c r="N4" s="484"/>
      <c r="O4" s="484"/>
      <c r="P4" s="485"/>
      <c r="Q4" s="482" t="s">
        <v>259</v>
      </c>
      <c r="R4" s="483"/>
      <c r="S4" s="484"/>
      <c r="T4" s="484"/>
      <c r="U4" s="486"/>
      <c r="V4" s="482" t="s">
        <v>260</v>
      </c>
      <c r="W4" s="483"/>
      <c r="X4" s="484"/>
      <c r="Y4" s="484"/>
      <c r="AA4" s="482" t="s">
        <v>261</v>
      </c>
      <c r="AB4" s="483"/>
      <c r="AC4" s="484"/>
      <c r="AD4" s="484"/>
    </row>
    <row r="5" spans="1:30">
      <c r="A5" s="487"/>
      <c r="B5" s="488" t="s">
        <v>135</v>
      </c>
      <c r="C5" s="489"/>
      <c r="D5" s="489"/>
      <c r="E5" s="489"/>
      <c r="F5" s="490"/>
      <c r="G5" s="487"/>
      <c r="H5" s="488" t="s">
        <v>135</v>
      </c>
      <c r="I5" s="489"/>
      <c r="J5" s="489"/>
      <c r="K5" s="490"/>
      <c r="L5" s="487"/>
      <c r="M5" s="488" t="s">
        <v>135</v>
      </c>
      <c r="N5" s="489"/>
      <c r="O5" s="489"/>
      <c r="P5" s="491"/>
      <c r="Q5" s="487"/>
      <c r="R5" s="488" t="s">
        <v>135</v>
      </c>
      <c r="S5" s="489"/>
      <c r="T5" s="489"/>
      <c r="V5" s="487"/>
      <c r="W5" s="488" t="s">
        <v>135</v>
      </c>
      <c r="X5" s="489"/>
      <c r="Y5" s="489"/>
      <c r="AA5" s="487"/>
      <c r="AB5" s="488" t="s">
        <v>135</v>
      </c>
      <c r="AC5" s="489"/>
      <c r="AD5" s="489"/>
    </row>
    <row r="6" spans="1:30">
      <c r="A6" s="492"/>
      <c r="B6" s="493"/>
      <c r="C6" s="494"/>
      <c r="D6" s="495" t="s">
        <v>5</v>
      </c>
      <c r="E6" s="496" t="s">
        <v>6</v>
      </c>
      <c r="F6" s="497"/>
      <c r="G6" s="492"/>
      <c r="H6" s="493"/>
      <c r="I6" s="495" t="s">
        <v>5</v>
      </c>
      <c r="J6" s="496" t="s">
        <v>6</v>
      </c>
      <c r="K6" s="497"/>
      <c r="L6" s="492"/>
      <c r="M6" s="493"/>
      <c r="N6" s="495" t="s">
        <v>5</v>
      </c>
      <c r="O6" s="496" t="s">
        <v>6</v>
      </c>
      <c r="P6" s="498"/>
      <c r="Q6" s="492"/>
      <c r="R6" s="493"/>
      <c r="S6" s="495" t="s">
        <v>5</v>
      </c>
      <c r="T6" s="496" t="s">
        <v>6</v>
      </c>
      <c r="V6" s="492"/>
      <c r="W6" s="493"/>
      <c r="X6" s="495" t="s">
        <v>5</v>
      </c>
      <c r="Y6" s="496" t="s">
        <v>6</v>
      </c>
      <c r="AA6" s="492"/>
      <c r="AB6" s="493"/>
      <c r="AC6" s="495" t="s">
        <v>5</v>
      </c>
      <c r="AD6" s="496" t="s">
        <v>6</v>
      </c>
    </row>
    <row r="7" spans="1:30">
      <c r="A7" s="494" t="s">
        <v>7</v>
      </c>
      <c r="B7" s="494" t="s">
        <v>46</v>
      </c>
      <c r="C7" s="633" t="s">
        <v>31</v>
      </c>
      <c r="D7" s="494" t="s">
        <v>8</v>
      </c>
      <c r="E7" s="499" t="s">
        <v>8</v>
      </c>
      <c r="F7" s="497"/>
      <c r="G7" s="494" t="s">
        <v>7</v>
      </c>
      <c r="H7" s="492" t="s">
        <v>46</v>
      </c>
      <c r="I7" s="494" t="s">
        <v>8</v>
      </c>
      <c r="J7" s="499" t="s">
        <v>8</v>
      </c>
      <c r="K7" s="497"/>
      <c r="L7" s="494" t="s">
        <v>7</v>
      </c>
      <c r="M7" s="492" t="s">
        <v>46</v>
      </c>
      <c r="N7" s="494" t="s">
        <v>8</v>
      </c>
      <c r="O7" s="499" t="s">
        <v>8</v>
      </c>
      <c r="P7" s="498"/>
      <c r="Q7" s="494" t="s">
        <v>7</v>
      </c>
      <c r="R7" s="492" t="s">
        <v>46</v>
      </c>
      <c r="S7" s="494" t="s">
        <v>8</v>
      </c>
      <c r="T7" s="499" t="s">
        <v>8</v>
      </c>
      <c r="V7" s="494" t="s">
        <v>7</v>
      </c>
      <c r="W7" s="492" t="s">
        <v>46</v>
      </c>
      <c r="X7" s="494" t="s">
        <v>8</v>
      </c>
      <c r="Y7" s="499" t="s">
        <v>8</v>
      </c>
      <c r="AA7" s="494" t="s">
        <v>7</v>
      </c>
      <c r="AB7" s="492" t="s">
        <v>46</v>
      </c>
      <c r="AC7" s="494" t="s">
        <v>8</v>
      </c>
      <c r="AD7" s="499" t="s">
        <v>8</v>
      </c>
    </row>
    <row r="8" spans="1:30" ht="23">
      <c r="A8" s="636">
        <f>IF(ISEVEN($J$3), 1962, 1961)</f>
        <v>1962</v>
      </c>
      <c r="B8" s="678">
        <f>VLOOKUP($A8,MeanRuns_EvenOrOdd!$A$8:$H$37,3, FALSE)</f>
        <v>3192618</v>
      </c>
      <c r="C8" s="647">
        <f>VLOOKUP(A8,Database!$A$74:$J$131,10,FALSE)</f>
        <v>8760326</v>
      </c>
      <c r="D8" s="502">
        <f>(B8-$C8)^2</f>
        <v>30999372373264</v>
      </c>
      <c r="E8" s="503">
        <f>(B8-$C8)/$C8</f>
        <v>-0.6355594529244688</v>
      </c>
      <c r="F8" s="497"/>
      <c r="G8" s="643">
        <f>A8</f>
        <v>1962</v>
      </c>
      <c r="H8" s="817" t="s">
        <v>138</v>
      </c>
      <c r="I8" s="817" t="s">
        <v>138</v>
      </c>
      <c r="J8" s="817" t="s">
        <v>138</v>
      </c>
      <c r="K8" s="497"/>
      <c r="L8" s="638">
        <f t="shared" ref="L8:L36" si="0">G8</f>
        <v>1962</v>
      </c>
      <c r="M8" s="817" t="s">
        <v>138</v>
      </c>
      <c r="N8" s="817" t="s">
        <v>138</v>
      </c>
      <c r="O8" s="817" t="s">
        <v>138</v>
      </c>
      <c r="P8" s="498"/>
      <c r="Q8" s="638">
        <f t="shared" ref="Q8:Q36" si="1">L8</f>
        <v>1962</v>
      </c>
      <c r="R8" s="817" t="s">
        <v>138</v>
      </c>
      <c r="S8" s="817" t="s">
        <v>138</v>
      </c>
      <c r="T8" s="817" t="s">
        <v>138</v>
      </c>
      <c r="V8" s="638">
        <f t="shared" ref="V8:V36" si="2">Q8</f>
        <v>1962</v>
      </c>
      <c r="W8" s="817" t="s">
        <v>138</v>
      </c>
      <c r="X8" s="817" t="s">
        <v>138</v>
      </c>
      <c r="Y8" s="817" t="s">
        <v>138</v>
      </c>
      <c r="AA8" s="638">
        <f t="shared" ref="AA8:AA36" si="3">V8</f>
        <v>1962</v>
      </c>
      <c r="AB8" s="817" t="s">
        <v>138</v>
      </c>
      <c r="AC8" s="817" t="s">
        <v>138</v>
      </c>
      <c r="AD8" s="817" t="s">
        <v>138</v>
      </c>
    </row>
    <row r="9" spans="1:30">
      <c r="A9" s="637">
        <f>A8+2</f>
        <v>1964</v>
      </c>
      <c r="B9" s="639">
        <f>VLOOKUP($A9,MeanRuns_EvenOrOdd!$A$8:$H$37,3, FALSE)</f>
        <v>8760326</v>
      </c>
      <c r="C9" s="647">
        <f>VLOOKUP(A9,Database!$A$74:$J$131,10,FALSE)</f>
        <v>6048576</v>
      </c>
      <c r="D9" s="502">
        <f t="shared" ref="D9:D34" si="4">(B9-$C9)^2</f>
        <v>7353588062500</v>
      </c>
      <c r="E9" s="503">
        <f>(B9-$C9)/C9</f>
        <v>0.44832866446581809</v>
      </c>
      <c r="F9" s="497"/>
      <c r="G9" s="643">
        <f t="shared" ref="G9:G36" si="5">A9</f>
        <v>1964</v>
      </c>
      <c r="H9" s="644">
        <f>VLOOKUP($A9,MeanRuns_EvenOrOdd!$A$8:$H$37,4, FALSE)</f>
        <v>5976472</v>
      </c>
      <c r="I9" s="502">
        <f t="shared" ref="I9:I34" si="6">(H9-$C9)^2</f>
        <v>5198986816</v>
      </c>
      <c r="J9" s="503">
        <f>(H9-$C9)/$C9</f>
        <v>-1.1920822355542858E-2</v>
      </c>
      <c r="K9" s="497"/>
      <c r="L9" s="638">
        <f t="shared" si="0"/>
        <v>1964</v>
      </c>
      <c r="M9" s="817" t="s">
        <v>138</v>
      </c>
      <c r="N9" s="817" t="s">
        <v>138</v>
      </c>
      <c r="O9" s="817" t="s">
        <v>138</v>
      </c>
      <c r="P9" s="498"/>
      <c r="Q9" s="638">
        <f t="shared" si="1"/>
        <v>1964</v>
      </c>
      <c r="R9" s="817" t="s">
        <v>138</v>
      </c>
      <c r="S9" s="817" t="s">
        <v>138</v>
      </c>
      <c r="T9" s="817" t="s">
        <v>138</v>
      </c>
      <c r="V9" s="638">
        <f t="shared" si="2"/>
        <v>1964</v>
      </c>
      <c r="W9" s="817" t="s">
        <v>138</v>
      </c>
      <c r="X9" s="817" t="s">
        <v>138</v>
      </c>
      <c r="Y9" s="817" t="s">
        <v>138</v>
      </c>
      <c r="AA9" s="638">
        <f t="shared" si="3"/>
        <v>1964</v>
      </c>
      <c r="AB9" s="817" t="s">
        <v>138</v>
      </c>
      <c r="AC9" s="817" t="s">
        <v>138</v>
      </c>
      <c r="AD9" s="817" t="s">
        <v>138</v>
      </c>
    </row>
    <row r="10" spans="1:30">
      <c r="A10" s="637">
        <f t="shared" ref="A10:A36" si="7">A9+2</f>
        <v>1966</v>
      </c>
      <c r="B10" s="639">
        <f>VLOOKUP($A10,MeanRuns_EvenOrOdd!$A$8:$H$37,3, FALSE)</f>
        <v>6048576</v>
      </c>
      <c r="C10" s="647">
        <f>VLOOKUP(A10,Database!$A$74:$J$131,10,FALSE)</f>
        <v>4122588</v>
      </c>
      <c r="D10" s="502">
        <f t="shared" si="4"/>
        <v>3709429776144</v>
      </c>
      <c r="E10" s="503">
        <f t="shared" ref="E10:E34" si="8">(B10-$C10)/C10</f>
        <v>0.46717935432791247</v>
      </c>
      <c r="F10" s="497"/>
      <c r="G10" s="643">
        <f t="shared" si="5"/>
        <v>1966</v>
      </c>
      <c r="H10" s="644">
        <f>VLOOKUP($A10,MeanRuns_EvenOrOdd!$A$8:$H$37,4, FALSE)</f>
        <v>7404451</v>
      </c>
      <c r="I10" s="502">
        <f t="shared" si="6"/>
        <v>10770624750769</v>
      </c>
      <c r="J10" s="503">
        <f t="shared" ref="J10:J34" si="9">(H10-$C10)/$C10</f>
        <v>0.7960686345567396</v>
      </c>
      <c r="K10" s="497"/>
      <c r="L10" s="638">
        <f t="shared" si="0"/>
        <v>1966</v>
      </c>
      <c r="M10" s="644">
        <f>VLOOKUP($A10,MeanRuns_EvenOrOdd!$A$8:$H$37,5, FALSE)</f>
        <v>5531027</v>
      </c>
      <c r="N10" s="502">
        <f>(M10-$C10)^2</f>
        <v>1983700416721</v>
      </c>
      <c r="O10" s="503">
        <f t="shared" ref="O10:O34" si="10">(M10-$C10)/$C10</f>
        <v>0.34163952352260279</v>
      </c>
      <c r="P10" s="498"/>
      <c r="Q10" s="638">
        <f t="shared" si="1"/>
        <v>1966</v>
      </c>
      <c r="R10" s="817" t="s">
        <v>138</v>
      </c>
      <c r="S10" s="817" t="s">
        <v>138</v>
      </c>
      <c r="T10" s="817" t="s">
        <v>138</v>
      </c>
      <c r="V10" s="638">
        <f t="shared" si="2"/>
        <v>1966</v>
      </c>
      <c r="W10" s="817" t="s">
        <v>138</v>
      </c>
      <c r="X10" s="817" t="s">
        <v>138</v>
      </c>
      <c r="Y10" s="817" t="s">
        <v>138</v>
      </c>
      <c r="AA10" s="638">
        <f t="shared" si="3"/>
        <v>1966</v>
      </c>
      <c r="AB10" s="817" t="s">
        <v>138</v>
      </c>
      <c r="AC10" s="817" t="s">
        <v>138</v>
      </c>
      <c r="AD10" s="817" t="s">
        <v>138</v>
      </c>
    </row>
    <row r="11" spans="1:30">
      <c r="A11" s="637">
        <f t="shared" si="7"/>
        <v>1968</v>
      </c>
      <c r="B11" s="639">
        <f>VLOOKUP($A11,MeanRuns_EvenOrOdd!$A$8:$H$37,3, FALSE)</f>
        <v>4122588</v>
      </c>
      <c r="C11" s="647">
        <f>VLOOKUP(A11,Database!$A$74:$J$131,10,FALSE)</f>
        <v>3608678</v>
      </c>
      <c r="D11" s="502">
        <f t="shared" si="4"/>
        <v>264103488100</v>
      </c>
      <c r="E11" s="503">
        <f t="shared" si="8"/>
        <v>0.14240949178618872</v>
      </c>
      <c r="F11" s="497"/>
      <c r="G11" s="643">
        <f t="shared" si="5"/>
        <v>1968</v>
      </c>
      <c r="H11" s="644">
        <f>VLOOKUP($A11,MeanRuns_EvenOrOdd!$A$8:$H$37,4, FALSE)</f>
        <v>5085582</v>
      </c>
      <c r="I11" s="502">
        <f t="shared" si="6"/>
        <v>2181245425216</v>
      </c>
      <c r="J11" s="503">
        <f t="shared" si="9"/>
        <v>0.40926455616156387</v>
      </c>
      <c r="K11" s="497"/>
      <c r="L11" s="638">
        <f t="shared" si="0"/>
        <v>1968</v>
      </c>
      <c r="M11" s="644">
        <f>VLOOKUP($A11,MeanRuns_EvenOrOdd!$A$8:$H$37,5, FALSE)</f>
        <v>5635042</v>
      </c>
      <c r="N11" s="502">
        <f>(M11-$C11)^2</f>
        <v>4106151060496</v>
      </c>
      <c r="O11" s="503">
        <f t="shared" si="10"/>
        <v>0.56152530095508657</v>
      </c>
      <c r="P11" s="498"/>
      <c r="Q11" s="638">
        <f t="shared" si="1"/>
        <v>1968</v>
      </c>
      <c r="R11" s="644">
        <f>VLOOKUP($A11,MeanRuns_EvenOrOdd!$A$8:$H$37,6, FALSE)</f>
        <v>5531027</v>
      </c>
      <c r="S11" s="502">
        <f>(R11-$C11)^2</f>
        <v>3695425677801</v>
      </c>
      <c r="T11" s="503">
        <f t="shared" ref="T11:T34" si="11">(R11-$C11)/$C11</f>
        <v>0.53270172622772105</v>
      </c>
      <c r="V11" s="638">
        <f t="shared" si="2"/>
        <v>1968</v>
      </c>
      <c r="W11" s="817" t="s">
        <v>138</v>
      </c>
      <c r="X11" s="817" t="s">
        <v>138</v>
      </c>
      <c r="Y11" s="817" t="s">
        <v>138</v>
      </c>
      <c r="AA11" s="638">
        <f t="shared" si="3"/>
        <v>1968</v>
      </c>
      <c r="AB11" s="817" t="s">
        <v>138</v>
      </c>
      <c r="AC11" s="817" t="s">
        <v>138</v>
      </c>
      <c r="AD11" s="817" t="s">
        <v>138</v>
      </c>
    </row>
    <row r="12" spans="1:30">
      <c r="A12" s="637">
        <f t="shared" si="7"/>
        <v>1970</v>
      </c>
      <c r="B12" s="639">
        <f>VLOOKUP($A12,MeanRuns_EvenOrOdd!$A$8:$H$37,3, FALSE)</f>
        <v>3608678</v>
      </c>
      <c r="C12" s="647">
        <f>VLOOKUP(A12,Database!$A$74:$J$131,10,FALSE)</f>
        <v>3789216</v>
      </c>
      <c r="D12" s="502">
        <f t="shared" si="4"/>
        <v>32593969444</v>
      </c>
      <c r="E12" s="503">
        <f t="shared" si="8"/>
        <v>-4.7645212096644796E-2</v>
      </c>
      <c r="F12" s="497"/>
      <c r="G12" s="643">
        <f t="shared" si="5"/>
        <v>1970</v>
      </c>
      <c r="H12" s="644">
        <f>VLOOKUP($A12,MeanRuns_EvenOrOdd!$A$8:$H$37,4, FALSE)</f>
        <v>3865633</v>
      </c>
      <c r="I12" s="502">
        <f t="shared" si="6"/>
        <v>5839557889</v>
      </c>
      <c r="J12" s="503">
        <f t="shared" si="9"/>
        <v>2.0166968576085395E-2</v>
      </c>
      <c r="K12" s="497"/>
      <c r="L12" s="638">
        <f t="shared" si="0"/>
        <v>1970</v>
      </c>
      <c r="M12" s="644">
        <f>VLOOKUP($A12,MeanRuns_EvenOrOdd!$A$8:$H$37,5, FALSE)</f>
        <v>4392264.5</v>
      </c>
      <c r="N12" s="502">
        <f t="shared" ref="N12:N34" si="12">(M12-$C12)^2</f>
        <v>363667493352.25</v>
      </c>
      <c r="O12" s="503">
        <f t="shared" si="10"/>
        <v>0.15914862071731989</v>
      </c>
      <c r="P12" s="498"/>
      <c r="Q12" s="638">
        <f t="shared" si="1"/>
        <v>1970</v>
      </c>
      <c r="R12" s="644">
        <f>VLOOKUP($A12,MeanRuns_EvenOrOdd!$A$8:$H$37,6, FALSE)</f>
        <v>5635042</v>
      </c>
      <c r="S12" s="502">
        <f t="shared" ref="S12:S34" si="13">(R12-$C12)^2</f>
        <v>3407073622276</v>
      </c>
      <c r="T12" s="503">
        <f t="shared" si="11"/>
        <v>0.48712609679680441</v>
      </c>
      <c r="V12" s="638">
        <f t="shared" si="2"/>
        <v>1970</v>
      </c>
      <c r="W12" s="644">
        <f>VLOOKUP($A12,MeanRuns_EvenOrOdd!$A$8:$H$37,7, FALSE)</f>
        <v>5146557.2</v>
      </c>
      <c r="X12" s="502">
        <f t="shared" ref="X12:X34" si="14">(W12-$C12)^2</f>
        <v>1842375133217.4404</v>
      </c>
      <c r="Y12" s="503">
        <f t="shared" ref="Y12:Y34" si="15">(W12-$C12)/$C12</f>
        <v>0.35821161950123726</v>
      </c>
      <c r="AA12" s="638">
        <f t="shared" si="3"/>
        <v>1970</v>
      </c>
      <c r="AB12" s="817" t="s">
        <v>138</v>
      </c>
      <c r="AC12" s="817" t="s">
        <v>138</v>
      </c>
      <c r="AD12" s="817" t="s">
        <v>138</v>
      </c>
    </row>
    <row r="13" spans="1:30">
      <c r="A13" s="637">
        <f t="shared" si="7"/>
        <v>1972</v>
      </c>
      <c r="B13" s="639">
        <f>VLOOKUP($A13,MeanRuns_EvenOrOdd!$A$8:$H$37,3, FALSE)</f>
        <v>3789216</v>
      </c>
      <c r="C13" s="647">
        <f>VLOOKUP(A13,Database!$A$74:$J$131,10,FALSE)</f>
        <v>695963</v>
      </c>
      <c r="D13" s="502">
        <f t="shared" si="4"/>
        <v>9568214122009</v>
      </c>
      <c r="E13" s="503">
        <f t="shared" si="8"/>
        <v>4.4445653001668193</v>
      </c>
      <c r="F13" s="497"/>
      <c r="G13" s="643">
        <f t="shared" si="5"/>
        <v>1972</v>
      </c>
      <c r="H13" s="644">
        <f>VLOOKUP($A13,MeanRuns_EvenOrOdd!$A$8:$H$37,4, FALSE)</f>
        <v>3698947</v>
      </c>
      <c r="I13" s="502">
        <f t="shared" si="6"/>
        <v>9017912904256</v>
      </c>
      <c r="J13" s="503">
        <f t="shared" si="9"/>
        <v>4.314861565916579</v>
      </c>
      <c r="K13" s="497"/>
      <c r="L13" s="638">
        <f t="shared" si="0"/>
        <v>1972</v>
      </c>
      <c r="M13" s="644">
        <f>VLOOKUP($A13,MeanRuns_EvenOrOdd!$A$8:$H$37,5, FALSE)</f>
        <v>3054111.25</v>
      </c>
      <c r="N13" s="502">
        <f t="shared" si="12"/>
        <v>5560863168978.0625</v>
      </c>
      <c r="O13" s="503">
        <f t="shared" si="10"/>
        <v>3.3883241637845689</v>
      </c>
      <c r="P13" s="498"/>
      <c r="Q13" s="638">
        <f t="shared" si="1"/>
        <v>1972</v>
      </c>
      <c r="R13" s="644">
        <f>VLOOKUP($A13,MeanRuns_EvenOrOdd!$A$8:$H$37,6, FALSE)</f>
        <v>4392264.5</v>
      </c>
      <c r="S13" s="502">
        <f t="shared" si="13"/>
        <v>13662644778902.25</v>
      </c>
      <c r="T13" s="503">
        <f t="shared" si="11"/>
        <v>5.3110603580937497</v>
      </c>
      <c r="V13" s="638">
        <f t="shared" si="2"/>
        <v>1972</v>
      </c>
      <c r="W13" s="644">
        <f>VLOOKUP($A13,MeanRuns_EvenOrOdd!$A$8:$H$37,7, FALSE)</f>
        <v>5265876.8</v>
      </c>
      <c r="X13" s="502">
        <f t="shared" si="14"/>
        <v>20884112139430.438</v>
      </c>
      <c r="Y13" s="503">
        <f t="shared" si="15"/>
        <v>6.5663171749072866</v>
      </c>
      <c r="AA13" s="638">
        <f t="shared" si="3"/>
        <v>1972</v>
      </c>
      <c r="AB13" s="817" t="s">
        <v>138</v>
      </c>
      <c r="AC13" s="817" t="s">
        <v>138</v>
      </c>
      <c r="AD13" s="817" t="s">
        <v>138</v>
      </c>
    </row>
    <row r="14" spans="1:30">
      <c r="A14" s="637">
        <f t="shared" si="7"/>
        <v>1974</v>
      </c>
      <c r="B14" s="639">
        <f>VLOOKUP($A14,MeanRuns_EvenOrOdd!$A$8:$H$37,3, FALSE)</f>
        <v>695963</v>
      </c>
      <c r="C14" s="647">
        <f>VLOOKUP(A14,Database!$A$74:$J$131,10,FALSE)</f>
        <v>1012903</v>
      </c>
      <c r="D14" s="502">
        <f t="shared" si="4"/>
        <v>100450963600</v>
      </c>
      <c r="E14" s="503">
        <f t="shared" si="8"/>
        <v>-0.31290261752606124</v>
      </c>
      <c r="F14" s="497"/>
      <c r="G14" s="634">
        <f t="shared" si="5"/>
        <v>1974</v>
      </c>
      <c r="H14" s="639">
        <f>VLOOKUP($A14,MeanRuns_EvenOrOdd!$A$8:$H$37,4, FALSE)</f>
        <v>2242589.5</v>
      </c>
      <c r="I14" s="502">
        <f t="shared" si="6"/>
        <v>1512128888282.25</v>
      </c>
      <c r="J14" s="503">
        <f t="shared" si="9"/>
        <v>1.2140219744634975</v>
      </c>
      <c r="K14" s="497"/>
      <c r="L14" s="638">
        <f t="shared" si="0"/>
        <v>1974</v>
      </c>
      <c r="M14" s="644">
        <f>VLOOKUP($A14,MeanRuns_EvenOrOdd!$A$8:$H$37,5, FALSE)</f>
        <v>2276690</v>
      </c>
      <c r="N14" s="502">
        <f t="shared" si="12"/>
        <v>1597157581369</v>
      </c>
      <c r="O14" s="503">
        <f t="shared" si="10"/>
        <v>1.247688080694795</v>
      </c>
      <c r="P14" s="498"/>
      <c r="Q14" s="638">
        <f t="shared" si="1"/>
        <v>1974</v>
      </c>
      <c r="R14" s="644">
        <f>VLOOKUP($A14,MeanRuns_EvenOrOdd!$A$8:$H$37,6, FALSE)</f>
        <v>3054111.25</v>
      </c>
      <c r="S14" s="502">
        <f t="shared" si="13"/>
        <v>4166531119868.0625</v>
      </c>
      <c r="T14" s="503">
        <f t="shared" si="11"/>
        <v>2.0152060463835135</v>
      </c>
      <c r="V14" s="638">
        <f t="shared" si="2"/>
        <v>1974</v>
      </c>
      <c r="W14" s="644">
        <f>VLOOKUP($A14,MeanRuns_EvenOrOdd!$A$8:$H$37,7, FALSE)</f>
        <v>3653004.2</v>
      </c>
      <c r="X14" s="502">
        <f t="shared" si="14"/>
        <v>6970134346241.4414</v>
      </c>
      <c r="Y14" s="503">
        <f t="shared" si="15"/>
        <v>2.6064699186397911</v>
      </c>
      <c r="AA14" s="638">
        <f t="shared" si="3"/>
        <v>1974</v>
      </c>
      <c r="AB14" s="817" t="s">
        <v>138</v>
      </c>
      <c r="AC14" s="817" t="s">
        <v>138</v>
      </c>
      <c r="AD14" s="817" t="s">
        <v>138</v>
      </c>
    </row>
    <row r="15" spans="1:30">
      <c r="A15" s="637">
        <f t="shared" si="7"/>
        <v>1976</v>
      </c>
      <c r="B15" s="639">
        <f>VLOOKUP($A15,MeanRuns_EvenOrOdd!$A$8:$H$37,3, FALSE)</f>
        <v>1012903</v>
      </c>
      <c r="C15" s="647">
        <f>VLOOKUP(A15,Database!$A$74:$J$131,10,FALSE)</f>
        <v>1161051</v>
      </c>
      <c r="D15" s="502">
        <f t="shared" si="4"/>
        <v>21947829904</v>
      </c>
      <c r="E15" s="503">
        <f t="shared" si="8"/>
        <v>-0.12759818474812906</v>
      </c>
      <c r="F15" s="497"/>
      <c r="G15" s="634">
        <f t="shared" si="5"/>
        <v>1976</v>
      </c>
      <c r="H15" s="639">
        <f>VLOOKUP($A15,MeanRuns_EvenOrOdd!$A$8:$H$37,4, FALSE)</f>
        <v>854433</v>
      </c>
      <c r="I15" s="502">
        <f t="shared" si="6"/>
        <v>94014597924</v>
      </c>
      <c r="J15" s="503">
        <f t="shared" si="9"/>
        <v>-0.26408659051152794</v>
      </c>
      <c r="K15" s="497"/>
      <c r="L15" s="638">
        <f t="shared" si="0"/>
        <v>1976</v>
      </c>
      <c r="M15" s="644">
        <f>VLOOKUP($A15,MeanRuns_EvenOrOdd!$A$8:$H$37,5, FALSE)</f>
        <v>1664783.25</v>
      </c>
      <c r="N15" s="502">
        <f t="shared" si="12"/>
        <v>253746179690.0625</v>
      </c>
      <c r="O15" s="503">
        <f t="shared" si="10"/>
        <v>0.43385884857771106</v>
      </c>
      <c r="P15" s="498"/>
      <c r="Q15" s="638">
        <f t="shared" si="1"/>
        <v>1976</v>
      </c>
      <c r="R15" s="644">
        <f>VLOOKUP($A15,MeanRuns_EvenOrOdd!$A$8:$H$37,6, FALSE)</f>
        <v>2276690</v>
      </c>
      <c r="S15" s="502">
        <f t="shared" si="13"/>
        <v>1244650378321</v>
      </c>
      <c r="T15" s="503">
        <f t="shared" si="11"/>
        <v>0.96088716171813293</v>
      </c>
      <c r="V15" s="638">
        <f t="shared" si="2"/>
        <v>1976</v>
      </c>
      <c r="W15" s="644">
        <f>VLOOKUP($A15,MeanRuns_EvenOrOdd!$A$8:$H$37,7, FALSE)</f>
        <v>2645869.6</v>
      </c>
      <c r="X15" s="502">
        <f t="shared" si="14"/>
        <v>2204686274905.9604</v>
      </c>
      <c r="Y15" s="503">
        <f t="shared" si="15"/>
        <v>1.2788573456290895</v>
      </c>
      <c r="AA15" s="638">
        <f t="shared" si="3"/>
        <v>1976</v>
      </c>
      <c r="AB15" s="817" t="s">
        <v>138</v>
      </c>
      <c r="AC15" s="817" t="s">
        <v>138</v>
      </c>
      <c r="AD15" s="817" t="s">
        <v>138</v>
      </c>
    </row>
    <row r="16" spans="1:30">
      <c r="A16" s="637">
        <f t="shared" si="7"/>
        <v>1978</v>
      </c>
      <c r="B16" s="639">
        <f>VLOOKUP($A16,MeanRuns_EvenOrOdd!$A$8:$H$37,3, FALSE)</f>
        <v>1161051</v>
      </c>
      <c r="C16" s="647">
        <f>VLOOKUP(A16,Database!$A$74:$J$131,10,FALSE)</f>
        <v>3925083</v>
      </c>
      <c r="D16" s="502">
        <f t="shared" si="4"/>
        <v>7639872897024</v>
      </c>
      <c r="E16" s="503">
        <f t="shared" si="8"/>
        <v>-0.70419708322091534</v>
      </c>
      <c r="F16" s="497"/>
      <c r="G16" s="634">
        <f t="shared" si="5"/>
        <v>1978</v>
      </c>
      <c r="H16" s="639">
        <f>VLOOKUP($A16,MeanRuns_EvenOrOdd!$A$8:$H$37,4, FALSE)</f>
        <v>1086977</v>
      </c>
      <c r="I16" s="502">
        <f t="shared" si="6"/>
        <v>8054845667236</v>
      </c>
      <c r="J16" s="503">
        <f t="shared" si="9"/>
        <v>-0.72306904083302193</v>
      </c>
      <c r="K16" s="497"/>
      <c r="L16" s="638">
        <f t="shared" si="0"/>
        <v>1978</v>
      </c>
      <c r="M16" s="644">
        <f>VLOOKUP($A16,MeanRuns_EvenOrOdd!$A$8:$H$37,5, FALSE)</f>
        <v>1698750</v>
      </c>
      <c r="N16" s="502">
        <f t="shared" si="12"/>
        <v>4956558626889</v>
      </c>
      <c r="O16" s="503">
        <f t="shared" si="10"/>
        <v>-0.56720660429346337</v>
      </c>
      <c r="P16" s="498"/>
      <c r="Q16" s="638">
        <f t="shared" si="1"/>
        <v>1978</v>
      </c>
      <c r="R16" s="644">
        <f>VLOOKUP($A16,MeanRuns_EvenOrOdd!$A$8:$H$37,6, FALSE)</f>
        <v>1664783.25</v>
      </c>
      <c r="S16" s="502">
        <f t="shared" si="13"/>
        <v>5108954959850.0625</v>
      </c>
      <c r="T16" s="503">
        <f t="shared" si="11"/>
        <v>-0.57586037034121318</v>
      </c>
      <c r="V16" s="638">
        <f t="shared" si="2"/>
        <v>1978</v>
      </c>
      <c r="W16" s="644">
        <f>VLOOKUP($A16,MeanRuns_EvenOrOdd!$A$8:$H$37,7, FALSE)</f>
        <v>2053562.2</v>
      </c>
      <c r="X16" s="502">
        <f t="shared" si="14"/>
        <v>3502590104832.6401</v>
      </c>
      <c r="Y16" s="503">
        <f t="shared" si="15"/>
        <v>-0.47681050311547551</v>
      </c>
      <c r="AA16" s="638">
        <f t="shared" si="3"/>
        <v>1978</v>
      </c>
      <c r="AB16" s="817" t="s">
        <v>138</v>
      </c>
      <c r="AC16" s="817" t="s">
        <v>138</v>
      </c>
      <c r="AD16" s="817" t="s">
        <v>138</v>
      </c>
    </row>
    <row r="17" spans="1:30">
      <c r="A17" s="637">
        <f t="shared" si="7"/>
        <v>1980</v>
      </c>
      <c r="B17" s="639">
        <f>VLOOKUP($A17,MeanRuns_EvenOrOdd!$A$8:$H$37,3, FALSE)</f>
        <v>3925083</v>
      </c>
      <c r="C17" s="647">
        <f>VLOOKUP(A17,Database!$A$74:$J$131,10,FALSE)</f>
        <v>14013916</v>
      </c>
      <c r="D17" s="502">
        <f t="shared" si="4"/>
        <v>101784551301889</v>
      </c>
      <c r="E17" s="503">
        <f t="shared" si="8"/>
        <v>-0.7199153327306943</v>
      </c>
      <c r="F17" s="497"/>
      <c r="G17" s="634">
        <f t="shared" si="5"/>
        <v>1980</v>
      </c>
      <c r="H17" s="639">
        <f>VLOOKUP($A17,MeanRuns_EvenOrOdd!$A$8:$H$37,4, FALSE)</f>
        <v>2543067</v>
      </c>
      <c r="I17" s="502">
        <f t="shared" si="6"/>
        <v>131580376780801</v>
      </c>
      <c r="J17" s="503">
        <f t="shared" si="9"/>
        <v>-0.81853273560366713</v>
      </c>
      <c r="K17" s="497"/>
      <c r="L17" s="638">
        <f t="shared" si="0"/>
        <v>1980</v>
      </c>
      <c r="M17" s="644">
        <f>VLOOKUP($A17,MeanRuns_EvenOrOdd!$A$8:$H$37,5, FALSE)</f>
        <v>5028238.25</v>
      </c>
      <c r="N17" s="502">
        <f t="shared" si="12"/>
        <v>80742404626845.062</v>
      </c>
      <c r="O17" s="503">
        <f t="shared" si="10"/>
        <v>-0.64119677540524722</v>
      </c>
      <c r="P17" s="498"/>
      <c r="Q17" s="638">
        <f t="shared" si="1"/>
        <v>1980</v>
      </c>
      <c r="R17" s="644">
        <f>VLOOKUP($A17,MeanRuns_EvenOrOdd!$A$8:$H$37,6, FALSE)</f>
        <v>1698750</v>
      </c>
      <c r="S17" s="502">
        <f t="shared" si="13"/>
        <v>151663313607556</v>
      </c>
      <c r="T17" s="503">
        <f t="shared" si="11"/>
        <v>-0.87878120576718166</v>
      </c>
      <c r="V17" s="638">
        <f t="shared" si="2"/>
        <v>1980</v>
      </c>
      <c r="W17" s="644">
        <f>VLOOKUP($A17,MeanRuns_EvenOrOdd!$A$8:$H$37,7, FALSE)</f>
        <v>2116843.2000000002</v>
      </c>
      <c r="X17" s="502">
        <f t="shared" si="14"/>
        <v>141540341208499.84</v>
      </c>
      <c r="Y17" s="503">
        <f t="shared" si="15"/>
        <v>-0.84894706090717265</v>
      </c>
      <c r="AA17" s="638">
        <f t="shared" si="3"/>
        <v>1980</v>
      </c>
      <c r="AB17" s="644">
        <f>VLOOKUP($A17,MeanRuns_EvenOrOdd!$A$8:$H$37,8, FALSE)</f>
        <v>3631700.2</v>
      </c>
      <c r="AC17" s="502">
        <f t="shared" ref="AC17:AC34" si="16">(AB17-$C17)^2</f>
        <v>107790404917769.66</v>
      </c>
      <c r="AD17" s="503">
        <f t="shared" ref="AD17:AD34" si="17">(AB17-$C17)/$C17</f>
        <v>-0.74085043752224577</v>
      </c>
    </row>
    <row r="18" spans="1:30">
      <c r="A18" s="637">
        <f t="shared" si="7"/>
        <v>1982</v>
      </c>
      <c r="B18" s="639">
        <f>VLOOKUP($A18,MeanRuns_EvenOrOdd!$A$8:$H$37,3, FALSE)</f>
        <v>14013916</v>
      </c>
      <c r="C18" s="647">
        <f>VLOOKUP(A18,Database!$A$74:$J$131,10,FALSE)</f>
        <v>16794317</v>
      </c>
      <c r="D18" s="502">
        <f t="shared" si="4"/>
        <v>7730629720801</v>
      </c>
      <c r="E18" s="503">
        <f t="shared" si="8"/>
        <v>-0.16555606280386395</v>
      </c>
      <c r="F18" s="497"/>
      <c r="G18" s="634">
        <f t="shared" si="5"/>
        <v>1982</v>
      </c>
      <c r="H18" s="639">
        <f>VLOOKUP($A18,MeanRuns_EvenOrOdd!$A$8:$H$37,4, FALSE)</f>
        <v>8969499.5</v>
      </c>
      <c r="I18" s="502">
        <f t="shared" si="6"/>
        <v>61227768908306.25</v>
      </c>
      <c r="J18" s="503">
        <f t="shared" si="9"/>
        <v>-0.46592055514969738</v>
      </c>
      <c r="K18" s="497"/>
      <c r="L18" s="638">
        <f t="shared" si="0"/>
        <v>1982</v>
      </c>
      <c r="M18" s="644">
        <f>VLOOKUP($A18,MeanRuns_EvenOrOdd!$A$8:$H$37,5, FALSE)</f>
        <v>8973591.75</v>
      </c>
      <c r="N18" s="502">
        <f t="shared" si="12"/>
        <v>61163743435987.562</v>
      </c>
      <c r="O18" s="503">
        <f t="shared" si="10"/>
        <v>-0.46567688641342186</v>
      </c>
      <c r="P18" s="498"/>
      <c r="Q18" s="638">
        <f t="shared" si="1"/>
        <v>1982</v>
      </c>
      <c r="R18" s="644">
        <f>VLOOKUP($A18,MeanRuns_EvenOrOdd!$A$8:$H$37,6, FALSE)</f>
        <v>5028238.25</v>
      </c>
      <c r="S18" s="502">
        <f t="shared" si="13"/>
        <v>138440609151201.56</v>
      </c>
      <c r="T18" s="503">
        <f t="shared" si="11"/>
        <v>-0.70059882459048495</v>
      </c>
      <c r="V18" s="638">
        <f t="shared" si="2"/>
        <v>1982</v>
      </c>
      <c r="W18" s="644">
        <f>VLOOKUP($A18,MeanRuns_EvenOrOdd!$A$8:$H$37,7, FALSE)</f>
        <v>4161783.2</v>
      </c>
      <c r="X18" s="502">
        <f t="shared" si="14"/>
        <v>159580910208142.47</v>
      </c>
      <c r="Y18" s="503">
        <f t="shared" si="15"/>
        <v>-0.75219098222333192</v>
      </c>
      <c r="AA18" s="638">
        <f t="shared" si="3"/>
        <v>1982</v>
      </c>
      <c r="AB18" s="644">
        <f>VLOOKUP($A18,MeanRuns_EvenOrOdd!$A$8:$H$37,8, FALSE)</f>
        <v>4713830</v>
      </c>
      <c r="AC18" s="502">
        <f t="shared" si="16"/>
        <v>145938166157169</v>
      </c>
      <c r="AD18" s="503">
        <f t="shared" si="17"/>
        <v>-0.71931993423727802</v>
      </c>
    </row>
    <row r="19" spans="1:30">
      <c r="A19" s="637">
        <f t="shared" si="7"/>
        <v>1984</v>
      </c>
      <c r="B19" s="639">
        <f>VLOOKUP($A19,MeanRuns_EvenOrOdd!$A$8:$H$37,3, FALSE)</f>
        <v>16794317</v>
      </c>
      <c r="C19" s="647">
        <f>VLOOKUP(A19,Database!$A$74:$J$131,10,FALSE)</f>
        <v>21201513</v>
      </c>
      <c r="D19" s="502">
        <f t="shared" si="4"/>
        <v>19423376582416</v>
      </c>
      <c r="E19" s="503">
        <f t="shared" si="8"/>
        <v>-0.20787176839690638</v>
      </c>
      <c r="F19" s="504"/>
      <c r="G19" s="634">
        <f t="shared" si="5"/>
        <v>1984</v>
      </c>
      <c r="H19" s="639">
        <f>VLOOKUP($A19,MeanRuns_EvenOrOdd!$A$8:$H$37,4, FALSE)</f>
        <v>15404116.5</v>
      </c>
      <c r="I19" s="502">
        <f t="shared" si="6"/>
        <v>33609806178212.25</v>
      </c>
      <c r="J19" s="503">
        <f t="shared" si="9"/>
        <v>-0.27344258402690413</v>
      </c>
      <c r="K19" s="504"/>
      <c r="L19" s="638">
        <f t="shared" si="0"/>
        <v>1984</v>
      </c>
      <c r="M19" s="644">
        <f>VLOOKUP($A19,MeanRuns_EvenOrOdd!$A$8:$H$37,5, FALSE)</f>
        <v>13983707.25</v>
      </c>
      <c r="N19" s="502">
        <f t="shared" si="12"/>
        <v>52096719844733.062</v>
      </c>
      <c r="O19" s="503">
        <f t="shared" si="10"/>
        <v>-0.34043823900681053</v>
      </c>
      <c r="P19" s="498"/>
      <c r="Q19" s="638">
        <f t="shared" si="1"/>
        <v>1984</v>
      </c>
      <c r="R19" s="644">
        <f>VLOOKUP($A19,MeanRuns_EvenOrOdd!$A$8:$H$37,6, FALSE)</f>
        <v>8973591.75</v>
      </c>
      <c r="S19" s="502">
        <f t="shared" si="13"/>
        <v>149522058096201.56</v>
      </c>
      <c r="T19" s="503">
        <f t="shared" si="11"/>
        <v>-0.576747576930005</v>
      </c>
      <c r="V19" s="638">
        <f t="shared" si="2"/>
        <v>1984</v>
      </c>
      <c r="W19" s="644">
        <f>VLOOKUP($A19,MeanRuns_EvenOrOdd!$A$8:$H$37,7, FALSE)</f>
        <v>7381454</v>
      </c>
      <c r="X19" s="502">
        <f t="shared" si="14"/>
        <v>190994030763481</v>
      </c>
      <c r="Y19" s="503">
        <f t="shared" si="15"/>
        <v>-0.65184305478575988</v>
      </c>
      <c r="AA19" s="638">
        <f t="shared" si="3"/>
        <v>1984</v>
      </c>
      <c r="AB19" s="644">
        <f>VLOOKUP($A19,MeanRuns_EvenOrOdd!$A$8:$H$37,8, FALSE)</f>
        <v>5517229.0999999996</v>
      </c>
      <c r="AC19" s="502">
        <f t="shared" si="16"/>
        <v>245996761455799.22</v>
      </c>
      <c r="AD19" s="503">
        <f t="shared" si="17"/>
        <v>-0.73977191627786187</v>
      </c>
    </row>
    <row r="20" spans="1:30">
      <c r="A20" s="637">
        <f t="shared" si="7"/>
        <v>1986</v>
      </c>
      <c r="B20" s="639">
        <f>VLOOKUP($A20,MeanRuns_EvenOrOdd!$A$8:$H$37,3, FALSE)</f>
        <v>21201513</v>
      </c>
      <c r="C20" s="647">
        <f>VLOOKUP(A20,Database!$A$74:$J$131,10,FALSE)</f>
        <v>5563957</v>
      </c>
      <c r="D20" s="502">
        <f t="shared" si="4"/>
        <v>244533157653136</v>
      </c>
      <c r="E20" s="503">
        <f t="shared" si="8"/>
        <v>2.8105098583615939</v>
      </c>
      <c r="F20" s="504"/>
      <c r="G20" s="634">
        <f t="shared" si="5"/>
        <v>1986</v>
      </c>
      <c r="H20" s="639">
        <f>VLOOKUP($A20,MeanRuns_EvenOrOdd!$A$8:$H$37,4, FALSE)</f>
        <v>18997915</v>
      </c>
      <c r="I20" s="502">
        <f t="shared" si="6"/>
        <v>180471227545764</v>
      </c>
      <c r="J20" s="503">
        <f t="shared" si="9"/>
        <v>2.4144611469858592</v>
      </c>
      <c r="K20" s="504"/>
      <c r="L20" s="638">
        <f t="shared" si="0"/>
        <v>1986</v>
      </c>
      <c r="M20" s="644">
        <f>VLOOKUP($A20,MeanRuns_EvenOrOdd!$A$8:$H$37,5, FALSE)</f>
        <v>14393425.75</v>
      </c>
      <c r="N20" s="502">
        <f t="shared" si="12"/>
        <v>77959518407226.562</v>
      </c>
      <c r="O20" s="503">
        <f t="shared" si="10"/>
        <v>1.5869045627060023</v>
      </c>
      <c r="P20" s="498"/>
      <c r="Q20" s="638">
        <f t="shared" si="1"/>
        <v>1986</v>
      </c>
      <c r="R20" s="644">
        <f>VLOOKUP($A20,MeanRuns_EvenOrOdd!$A$8:$H$37,6, FALSE)</f>
        <v>13983707.25</v>
      </c>
      <c r="S20" s="502">
        <f t="shared" si="13"/>
        <v>70892194272375.062</v>
      </c>
      <c r="T20" s="503">
        <f t="shared" si="11"/>
        <v>1.5132665924628821</v>
      </c>
      <c r="V20" s="638">
        <f t="shared" si="2"/>
        <v>1986</v>
      </c>
      <c r="W20" s="644">
        <f>VLOOKUP($A20,MeanRuns_EvenOrOdd!$A$8:$H$37,7, FALSE)</f>
        <v>11419176</v>
      </c>
      <c r="X20" s="502">
        <f t="shared" si="14"/>
        <v>34283589537961</v>
      </c>
      <c r="Y20" s="503">
        <f t="shared" si="15"/>
        <v>1.0523479962192375</v>
      </c>
      <c r="AA20" s="638">
        <f t="shared" si="3"/>
        <v>1986</v>
      </c>
      <c r="AB20" s="644">
        <f>VLOOKUP($A20,MeanRuns_EvenOrOdd!$A$8:$H$37,8, FALSE)</f>
        <v>7032522.7999999998</v>
      </c>
      <c r="AC20" s="502">
        <f t="shared" si="16"/>
        <v>2156685508929.6394</v>
      </c>
      <c r="AD20" s="503">
        <f t="shared" si="17"/>
        <v>0.26394269402153897</v>
      </c>
    </row>
    <row r="21" spans="1:30">
      <c r="A21" s="637">
        <f t="shared" si="7"/>
        <v>1988</v>
      </c>
      <c r="B21" s="639">
        <f>VLOOKUP($A21,MeanRuns_EvenOrOdd!$A$8:$H$37,3, FALSE)</f>
        <v>5563957</v>
      </c>
      <c r="C21" s="647">
        <f>VLOOKUP(A21,Database!$A$74:$J$131,10,FALSE)</f>
        <v>1766936</v>
      </c>
      <c r="D21" s="502">
        <f t="shared" si="4"/>
        <v>14417368474441</v>
      </c>
      <c r="E21" s="503">
        <f t="shared" si="8"/>
        <v>2.1489295594181113</v>
      </c>
      <c r="F21" s="504"/>
      <c r="G21" s="634">
        <f t="shared" si="5"/>
        <v>1988</v>
      </c>
      <c r="H21" s="639">
        <f>VLOOKUP($A21,MeanRuns_EvenOrOdd!$A$8:$H$37,4, FALSE)</f>
        <v>13382735</v>
      </c>
      <c r="I21" s="502">
        <f t="shared" si="6"/>
        <v>134926786408401</v>
      </c>
      <c r="J21" s="503">
        <f t="shared" si="9"/>
        <v>6.5739783444335282</v>
      </c>
      <c r="K21" s="504"/>
      <c r="L21" s="638">
        <f t="shared" si="0"/>
        <v>1988</v>
      </c>
      <c r="M21" s="644">
        <f>VLOOKUP($A21,MeanRuns_EvenOrOdd!$A$8:$H$37,5, FALSE)</f>
        <v>11331680.75</v>
      </c>
      <c r="N21" s="502">
        <f t="shared" si="12"/>
        <v>91484342132652.562</v>
      </c>
      <c r="O21" s="503">
        <f t="shared" si="10"/>
        <v>5.4131812074687478</v>
      </c>
      <c r="P21" s="498"/>
      <c r="Q21" s="638">
        <f t="shared" si="1"/>
        <v>1988</v>
      </c>
      <c r="R21" s="644">
        <f>VLOOKUP($A21,MeanRuns_EvenOrOdd!$A$8:$H$37,6, FALSE)</f>
        <v>14393425.75</v>
      </c>
      <c r="S21" s="502">
        <f t="shared" si="13"/>
        <v>159428243406855.06</v>
      </c>
      <c r="T21" s="503">
        <f t="shared" si="11"/>
        <v>7.1459802448985137</v>
      </c>
      <c r="V21" s="638">
        <f t="shared" si="2"/>
        <v>1988</v>
      </c>
      <c r="W21" s="644">
        <f>VLOOKUP($A21,MeanRuns_EvenOrOdd!$A$8:$H$37,7, FALSE)</f>
        <v>12299757.199999999</v>
      </c>
      <c r="X21" s="502">
        <f t="shared" si="14"/>
        <v>110940322431169.42</v>
      </c>
      <c r="Y21" s="503">
        <f t="shared" si="15"/>
        <v>5.9610654828471432</v>
      </c>
      <c r="AA21" s="638">
        <f t="shared" si="3"/>
        <v>1988</v>
      </c>
      <c r="AB21" s="644">
        <f>VLOOKUP($A21,MeanRuns_EvenOrOdd!$A$8:$H$37,8, FALSE)</f>
        <v>7176659.7000000002</v>
      </c>
      <c r="AC21" s="502">
        <f t="shared" si="16"/>
        <v>29265110510341.691</v>
      </c>
      <c r="AD21" s="503">
        <f t="shared" si="17"/>
        <v>3.0616409988816802</v>
      </c>
    </row>
    <row r="22" spans="1:30">
      <c r="A22" s="637">
        <f t="shared" si="7"/>
        <v>1990</v>
      </c>
      <c r="B22" s="639">
        <f>VLOOKUP($A22,MeanRuns_EvenOrOdd!$A$8:$H$37,3, FALSE)</f>
        <v>1766936</v>
      </c>
      <c r="C22" s="647">
        <f>VLOOKUP(A22,Database!$A$74:$J$131,10,FALSE)</f>
        <v>12923662</v>
      </c>
      <c r="D22" s="502">
        <f t="shared" si="4"/>
        <v>124472535039076</v>
      </c>
      <c r="E22" s="503">
        <f t="shared" si="8"/>
        <v>-0.86327899940434838</v>
      </c>
      <c r="F22" s="504"/>
      <c r="G22" s="634">
        <f t="shared" si="5"/>
        <v>1990</v>
      </c>
      <c r="H22" s="639">
        <f>VLOOKUP($A22,MeanRuns_EvenOrOdd!$A$8:$H$37,4, FALSE)</f>
        <v>3665446.5</v>
      </c>
      <c r="I22" s="502">
        <f t="shared" si="6"/>
        <v>85714554244440.25</v>
      </c>
      <c r="J22" s="503">
        <f t="shared" si="9"/>
        <v>-0.71637709961773988</v>
      </c>
      <c r="K22" s="504"/>
      <c r="L22" s="638">
        <f t="shared" si="0"/>
        <v>1990</v>
      </c>
      <c r="M22" s="644">
        <f>VLOOKUP($A22,MeanRuns_EvenOrOdd!$A$8:$H$37,5, FALSE)</f>
        <v>10364017</v>
      </c>
      <c r="N22" s="502">
        <f t="shared" si="12"/>
        <v>6551782526025</v>
      </c>
      <c r="O22" s="503">
        <f t="shared" si="10"/>
        <v>-0.19805880098071274</v>
      </c>
      <c r="P22" s="498"/>
      <c r="Q22" s="638">
        <f t="shared" si="1"/>
        <v>1990</v>
      </c>
      <c r="R22" s="644">
        <f>VLOOKUP($A22,MeanRuns_EvenOrOdd!$A$8:$H$37,6, FALSE)</f>
        <v>11331680.75</v>
      </c>
      <c r="S22" s="502">
        <f t="shared" si="13"/>
        <v>2534404300351.5625</v>
      </c>
      <c r="T22" s="503">
        <f t="shared" si="11"/>
        <v>-0.12318344831364361</v>
      </c>
      <c r="V22" s="638">
        <f t="shared" si="2"/>
        <v>1990</v>
      </c>
      <c r="W22" s="644">
        <f>VLOOKUP($A22,MeanRuns_EvenOrOdd!$A$8:$H$37,7, FALSE)</f>
        <v>11868127.800000001</v>
      </c>
      <c r="X22" s="502">
        <f t="shared" si="14"/>
        <v>1114152447369.6384</v>
      </c>
      <c r="Y22" s="503">
        <f t="shared" si="15"/>
        <v>-8.1674543948920916E-2</v>
      </c>
      <c r="AA22" s="638">
        <f t="shared" si="3"/>
        <v>1990</v>
      </c>
      <c r="AB22" s="644">
        <f>VLOOKUP($A22,MeanRuns_EvenOrOdd!$A$8:$H$37,8, FALSE)</f>
        <v>6992485.5</v>
      </c>
      <c r="AC22" s="502">
        <f t="shared" si="16"/>
        <v>35178854674152.25</v>
      </c>
      <c r="AD22" s="503">
        <f t="shared" si="17"/>
        <v>-0.45893930837869329</v>
      </c>
    </row>
    <row r="23" spans="1:30">
      <c r="A23" s="637">
        <f t="shared" si="7"/>
        <v>1992</v>
      </c>
      <c r="B23" s="639">
        <f>VLOOKUP($A23,MeanRuns_EvenOrOdd!$A$8:$H$37,3, FALSE)</f>
        <v>12923662</v>
      </c>
      <c r="C23" s="647">
        <f>VLOOKUP(A23,Database!$A$74:$J$131,10,FALSE)</f>
        <v>1405383</v>
      </c>
      <c r="D23" s="502">
        <f t="shared" si="4"/>
        <v>132670751121841</v>
      </c>
      <c r="E23" s="503">
        <f t="shared" si="8"/>
        <v>8.1958291796613452</v>
      </c>
      <c r="F23" s="504"/>
      <c r="G23" s="634">
        <f t="shared" si="5"/>
        <v>1992</v>
      </c>
      <c r="H23" s="639">
        <f>VLOOKUP($A23,MeanRuns_EvenOrOdd!$A$8:$H$37,4, FALSE)</f>
        <v>7345299</v>
      </c>
      <c r="I23" s="502">
        <f t="shared" si="6"/>
        <v>35282602087056</v>
      </c>
      <c r="J23" s="503">
        <f t="shared" si="9"/>
        <v>4.2265460732056672</v>
      </c>
      <c r="K23" s="504"/>
      <c r="L23" s="638">
        <f t="shared" si="0"/>
        <v>1992</v>
      </c>
      <c r="M23" s="644">
        <f>VLOOKUP($A23,MeanRuns_EvenOrOdd!$A$8:$H$37,5, FALSE)</f>
        <v>5414984.5</v>
      </c>
      <c r="N23" s="502">
        <f t="shared" si="12"/>
        <v>16076904188802.25</v>
      </c>
      <c r="O23" s="503">
        <f t="shared" si="10"/>
        <v>2.8530311665930213</v>
      </c>
      <c r="P23" s="498"/>
      <c r="Q23" s="638">
        <f t="shared" si="1"/>
        <v>1992</v>
      </c>
      <c r="R23" s="644">
        <f>VLOOKUP($A23,MeanRuns_EvenOrOdd!$A$8:$H$37,6, FALSE)</f>
        <v>10364017</v>
      </c>
      <c r="S23" s="502">
        <f t="shared" si="13"/>
        <v>80257123145956</v>
      </c>
      <c r="T23" s="503">
        <f t="shared" si="11"/>
        <v>6.3745142783141677</v>
      </c>
      <c r="V23" s="638">
        <f t="shared" si="2"/>
        <v>1992</v>
      </c>
      <c r="W23" s="644">
        <f>VLOOKUP($A23,MeanRuns_EvenOrOdd!$A$8:$H$37,7, FALSE)</f>
        <v>11650077</v>
      </c>
      <c r="X23" s="502">
        <f t="shared" si="14"/>
        <v>104953755153636</v>
      </c>
      <c r="Y23" s="503">
        <f t="shared" si="15"/>
        <v>7.289610020898218</v>
      </c>
      <c r="AA23" s="638">
        <f t="shared" si="3"/>
        <v>1992</v>
      </c>
      <c r="AB23" s="644">
        <f>VLOOKUP($A23,MeanRuns_EvenOrOdd!$A$8:$H$37,8, FALSE)</f>
        <v>7905930.0999999996</v>
      </c>
      <c r="AC23" s="502">
        <f t="shared" si="16"/>
        <v>42257112599318.406</v>
      </c>
      <c r="AD23" s="503">
        <f t="shared" si="17"/>
        <v>4.6254630232470433</v>
      </c>
    </row>
    <row r="24" spans="1:30">
      <c r="A24" s="637">
        <f t="shared" si="7"/>
        <v>1994</v>
      </c>
      <c r="B24" s="639">
        <f>VLOOKUP($A24,MeanRuns_EvenOrOdd!$A$8:$H$37,3, FALSE)</f>
        <v>1405383</v>
      </c>
      <c r="C24" s="647">
        <f>VLOOKUP(A24,Database!$A$74:$J$131,10,FALSE)</f>
        <v>4666639</v>
      </c>
      <c r="D24" s="502">
        <f t="shared" si="4"/>
        <v>10635790697536</v>
      </c>
      <c r="E24" s="503">
        <f t="shared" si="8"/>
        <v>-0.69884471457937924</v>
      </c>
      <c r="F24" s="504"/>
      <c r="G24" s="634">
        <f t="shared" si="5"/>
        <v>1994</v>
      </c>
      <c r="H24" s="639">
        <f>VLOOKUP($A24,MeanRuns_EvenOrOdd!$A$8:$H$37,4, FALSE)</f>
        <v>7164522.5</v>
      </c>
      <c r="I24" s="502">
        <f t="shared" si="6"/>
        <v>6239421979572.25</v>
      </c>
      <c r="J24" s="503">
        <f t="shared" si="9"/>
        <v>0.53526392335040274</v>
      </c>
      <c r="K24" s="504"/>
      <c r="L24" s="638">
        <f t="shared" si="0"/>
        <v>1994</v>
      </c>
      <c r="M24" s="644">
        <f>VLOOKUP($A24,MeanRuns_EvenOrOdd!$A$8:$H$37,5, FALSE)</f>
        <v>5190655</v>
      </c>
      <c r="N24" s="502">
        <f t="shared" si="12"/>
        <v>274592768256</v>
      </c>
      <c r="O24" s="503">
        <f t="shared" si="10"/>
        <v>0.11228980857529369</v>
      </c>
      <c r="P24" s="498"/>
      <c r="Q24" s="638">
        <f t="shared" si="1"/>
        <v>1994</v>
      </c>
      <c r="R24" s="644">
        <f>VLOOKUP($A24,MeanRuns_EvenOrOdd!$A$8:$H$37,6, FALSE)</f>
        <v>5414984.5</v>
      </c>
      <c r="S24" s="502">
        <f t="shared" si="13"/>
        <v>560020987370.25</v>
      </c>
      <c r="T24" s="503">
        <f t="shared" si="11"/>
        <v>0.16036070070986849</v>
      </c>
      <c r="V24" s="638">
        <f t="shared" si="2"/>
        <v>1994</v>
      </c>
      <c r="W24" s="644">
        <f>VLOOKUP($A24,MeanRuns_EvenOrOdd!$A$8:$H$37,7, FALSE)</f>
        <v>8572290.1999999993</v>
      </c>
      <c r="X24" s="502">
        <f t="shared" si="14"/>
        <v>15254111296061.434</v>
      </c>
      <c r="Y24" s="503">
        <f t="shared" si="15"/>
        <v>0.83693021894344077</v>
      </c>
      <c r="AA24" s="638">
        <f t="shared" si="3"/>
        <v>1994</v>
      </c>
      <c r="AB24" s="644">
        <f>VLOOKUP($A24,MeanRuns_EvenOrOdd!$A$8:$H$37,8, FALSE)</f>
        <v>7976872.0999999996</v>
      </c>
      <c r="AC24" s="502">
        <f t="shared" si="16"/>
        <v>10957643176335.607</v>
      </c>
      <c r="AD24" s="503">
        <f t="shared" si="17"/>
        <v>0.70933986965779861</v>
      </c>
    </row>
    <row r="25" spans="1:30" s="655" customFormat="1">
      <c r="A25" s="648">
        <f t="shared" si="7"/>
        <v>1996</v>
      </c>
      <c r="B25" s="649">
        <f>VLOOKUP($A25,MeanRuns_EvenOrOdd!$A$8:$H$37,3, FALSE)</f>
        <v>4666639</v>
      </c>
      <c r="C25" s="649">
        <f>VLOOKUP(A25,Database!$A$74:$J$131,10,FALSE)</f>
        <v>4500085</v>
      </c>
      <c r="D25" s="652">
        <f t="shared" si="4"/>
        <v>27740234916</v>
      </c>
      <c r="E25" s="650">
        <f t="shared" si="8"/>
        <v>3.7011300897649708E-2</v>
      </c>
      <c r="F25" s="650"/>
      <c r="G25" s="651">
        <f t="shared" si="5"/>
        <v>1996</v>
      </c>
      <c r="H25" s="649">
        <f>VLOOKUP($A25,MeanRuns_EvenOrOdd!$A$8:$H$37,4, FALSE)</f>
        <v>3036011</v>
      </c>
      <c r="I25" s="652">
        <f t="shared" si="6"/>
        <v>2143512677476</v>
      </c>
      <c r="J25" s="509">
        <f t="shared" si="9"/>
        <v>-0.32534363239805469</v>
      </c>
      <c r="K25" s="650"/>
      <c r="L25" s="651">
        <f t="shared" si="0"/>
        <v>1996</v>
      </c>
      <c r="M25" s="653">
        <f>VLOOKUP($A25,MeanRuns_EvenOrOdd!$A$8:$H$37,5, FALSE)</f>
        <v>5873942.25</v>
      </c>
      <c r="N25" s="652">
        <f t="shared" si="12"/>
        <v>1887483743377.5625</v>
      </c>
      <c r="O25" s="509">
        <f t="shared" si="10"/>
        <v>0.30529584441182778</v>
      </c>
      <c r="P25" s="654"/>
      <c r="Q25" s="651">
        <f t="shared" si="1"/>
        <v>1996</v>
      </c>
      <c r="R25" s="653">
        <f>VLOOKUP($A25,MeanRuns_EvenOrOdd!$A$8:$H$37,6, FALSE)</f>
        <v>5190655</v>
      </c>
      <c r="S25" s="652">
        <f t="shared" si="13"/>
        <v>476886924900</v>
      </c>
      <c r="T25" s="509">
        <f t="shared" si="11"/>
        <v>0.1534571013658631</v>
      </c>
      <c r="V25" s="651">
        <f t="shared" si="2"/>
        <v>1996</v>
      </c>
      <c r="W25" s="653">
        <f>VLOOKUP($A25,MeanRuns_EvenOrOdd!$A$8:$H$37,7, FALSE)</f>
        <v>5265315.4000000004</v>
      </c>
      <c r="X25" s="652">
        <f t="shared" si="14"/>
        <v>585577565084.16052</v>
      </c>
      <c r="Y25" s="509">
        <f t="shared" si="15"/>
        <v>0.1700479879824493</v>
      </c>
      <c r="AA25" s="651">
        <f t="shared" si="3"/>
        <v>1996</v>
      </c>
      <c r="AB25" s="653">
        <f>VLOOKUP($A25,MeanRuns_EvenOrOdd!$A$8:$H$37,8, FALSE)</f>
        <v>8342245.7000000002</v>
      </c>
      <c r="AC25" s="652">
        <f t="shared" si="16"/>
        <v>14762198844624.492</v>
      </c>
      <c r="AD25" s="509">
        <f t="shared" si="17"/>
        <v>0.85379736160539199</v>
      </c>
    </row>
    <row r="26" spans="1:30">
      <c r="A26" s="637">
        <f t="shared" si="7"/>
        <v>1998</v>
      </c>
      <c r="B26" s="639">
        <f>VLOOKUP($A26,MeanRuns_EvenOrOdd!$A$8:$H$37,3, FALSE)</f>
        <v>4500085</v>
      </c>
      <c r="C26" s="647">
        <f>VLOOKUP(A26,Database!$A$74:$J$131,10,FALSE)</f>
        <v>5274275.5</v>
      </c>
      <c r="D26" s="502">
        <f t="shared" si="4"/>
        <v>599370930290.25</v>
      </c>
      <c r="E26" s="503">
        <f t="shared" si="8"/>
        <v>-0.14678613204789928</v>
      </c>
      <c r="F26" s="504"/>
      <c r="G26" s="634">
        <f t="shared" si="5"/>
        <v>1998</v>
      </c>
      <c r="H26" s="639">
        <f>VLOOKUP($A26,MeanRuns_EvenOrOdd!$A$8:$H$37,4, FALSE)</f>
        <v>4583362</v>
      </c>
      <c r="I26" s="502">
        <f t="shared" si="6"/>
        <v>477361464482.25</v>
      </c>
      <c r="J26" s="503">
        <f t="shared" si="9"/>
        <v>-0.13099685444948789</v>
      </c>
      <c r="K26" s="504"/>
      <c r="L26" s="638">
        <f t="shared" si="0"/>
        <v>1998</v>
      </c>
      <c r="M26" s="644">
        <f>VLOOKUP($A26,MeanRuns_EvenOrOdd!$A$8:$H$37,5, FALSE)</f>
        <v>3961595.625</v>
      </c>
      <c r="N26" s="502">
        <f t="shared" si="12"/>
        <v>1723128454230.0156</v>
      </c>
      <c r="O26" s="503">
        <f t="shared" si="10"/>
        <v>-0.24888344854188979</v>
      </c>
      <c r="P26" s="498"/>
      <c r="Q26" s="638">
        <f t="shared" si="1"/>
        <v>1998</v>
      </c>
      <c r="R26" s="644">
        <f>VLOOKUP($A26,MeanRuns_EvenOrOdd!$A$8:$H$37,6, FALSE)</f>
        <v>5873942.25</v>
      </c>
      <c r="S26" s="502">
        <f t="shared" si="13"/>
        <v>359600211055.5625</v>
      </c>
      <c r="T26" s="503">
        <f t="shared" si="11"/>
        <v>0.11369651623241903</v>
      </c>
      <c r="V26" s="638">
        <f t="shared" si="2"/>
        <v>1998</v>
      </c>
      <c r="W26" s="644">
        <f>VLOOKUP($A26,MeanRuns_EvenOrOdd!$A$8:$H$37,7, FALSE)</f>
        <v>5052541</v>
      </c>
      <c r="X26" s="502">
        <f t="shared" si="14"/>
        <v>49166188490.25</v>
      </c>
      <c r="Y26" s="503">
        <f t="shared" si="15"/>
        <v>-4.2040750431030761E-2</v>
      </c>
      <c r="AA26" s="638">
        <f t="shared" si="3"/>
        <v>1998</v>
      </c>
      <c r="AB26" s="644">
        <f>VLOOKUP($A26,MeanRuns_EvenOrOdd!$A$8:$H$37,8, FALSE)</f>
        <v>8676149.0999999996</v>
      </c>
      <c r="AC26" s="502">
        <f t="shared" si="16"/>
        <v>11572743990376.957</v>
      </c>
      <c r="AD26" s="503">
        <f t="shared" si="17"/>
        <v>0.64499353513103352</v>
      </c>
    </row>
    <row r="27" spans="1:30">
      <c r="A27" s="637">
        <f t="shared" si="7"/>
        <v>2000</v>
      </c>
      <c r="B27" s="639">
        <f>VLOOKUP($A27,MeanRuns_EvenOrOdd!$A$8:$H$37,3, FALSE)</f>
        <v>5274275.5</v>
      </c>
      <c r="C27" s="647">
        <f>VLOOKUP(A27,Database!$A$74:$J$131,10,FALSE)</f>
        <v>7389941</v>
      </c>
      <c r="D27" s="502">
        <f t="shared" si="4"/>
        <v>4476040507890.25</v>
      </c>
      <c r="E27" s="503">
        <f t="shared" si="8"/>
        <v>-0.28628990407365906</v>
      </c>
      <c r="F27" s="504"/>
      <c r="G27" s="634">
        <f t="shared" si="5"/>
        <v>2000</v>
      </c>
      <c r="H27" s="639">
        <f>VLOOKUP($A27,MeanRuns_EvenOrOdd!$A$8:$H$37,4, FALSE)</f>
        <v>4887180.25</v>
      </c>
      <c r="I27" s="502">
        <f t="shared" si="6"/>
        <v>6263811371740.5625</v>
      </c>
      <c r="J27" s="503">
        <f t="shared" si="9"/>
        <v>-0.3386712762659404</v>
      </c>
      <c r="K27" s="504"/>
      <c r="L27" s="638">
        <f t="shared" si="0"/>
        <v>2000</v>
      </c>
      <c r="M27" s="644">
        <f>VLOOKUP($A27,MeanRuns_EvenOrOdd!$A$8:$H$37,5, FALSE)</f>
        <v>5457735.125</v>
      </c>
      <c r="N27" s="502">
        <f t="shared" si="12"/>
        <v>3733419543384.5156</v>
      </c>
      <c r="O27" s="503">
        <f t="shared" si="10"/>
        <v>-0.26146431683284077</v>
      </c>
      <c r="P27" s="498"/>
      <c r="Q27" s="638">
        <f t="shared" si="1"/>
        <v>2000</v>
      </c>
      <c r="R27" s="644">
        <f>VLOOKUP($A27,MeanRuns_EvenOrOdd!$A$8:$H$37,6, FALSE)</f>
        <v>3961595.625</v>
      </c>
      <c r="S27" s="502">
        <f t="shared" si="13"/>
        <v>11753552010283.891</v>
      </c>
      <c r="T27" s="503">
        <f t="shared" si="11"/>
        <v>-0.46392053400696975</v>
      </c>
      <c r="V27" s="638">
        <f t="shared" si="2"/>
        <v>2000</v>
      </c>
      <c r="W27" s="644">
        <f>VLOOKUP($A27,MeanRuns_EvenOrOdd!$A$8:$H$37,7, FALSE)</f>
        <v>5754008.9000000004</v>
      </c>
      <c r="X27" s="502">
        <f t="shared" si="14"/>
        <v>2676273835810.4087</v>
      </c>
      <c r="Y27" s="503">
        <f t="shared" si="15"/>
        <v>-0.22137282286827453</v>
      </c>
      <c r="AA27" s="638">
        <f t="shared" si="3"/>
        <v>2000</v>
      </c>
      <c r="AB27" s="644">
        <f>VLOOKUP($A27,MeanRuns_EvenOrOdd!$A$8:$H$37,8, FALSE)</f>
        <v>8811068.3499999996</v>
      </c>
      <c r="AC27" s="502">
        <f t="shared" si="16"/>
        <v>2019602944918.0215</v>
      </c>
      <c r="AD27" s="503">
        <f t="shared" si="17"/>
        <v>0.19230564222366586</v>
      </c>
    </row>
    <row r="28" spans="1:30">
      <c r="A28" s="637">
        <f t="shared" si="7"/>
        <v>2002</v>
      </c>
      <c r="B28" s="639">
        <f>VLOOKUP($A28,MeanRuns_EvenOrOdd!$A$8:$H$37,3, FALSE)</f>
        <v>7389941</v>
      </c>
      <c r="C28" s="647">
        <f>VLOOKUP(A28,Database!$A$74:$J$131,10,FALSE)</f>
        <v>1264645.3102025923</v>
      </c>
      <c r="D28" s="502">
        <f t="shared" si="4"/>
        <v>37519247287450.703</v>
      </c>
      <c r="E28" s="503">
        <f t="shared" si="8"/>
        <v>4.8434890323644613</v>
      </c>
      <c r="F28" s="504"/>
      <c r="G28" s="634">
        <f t="shared" si="5"/>
        <v>2002</v>
      </c>
      <c r="H28" s="639">
        <f>VLOOKUP($A28,MeanRuns_EvenOrOdd!$A$8:$H$37,4, FALSE)</f>
        <v>6332108.25</v>
      </c>
      <c r="I28" s="502">
        <f t="shared" si="6"/>
        <v>25679180646220.188</v>
      </c>
      <c r="J28" s="503">
        <f t="shared" si="9"/>
        <v>4.0070230750989113</v>
      </c>
      <c r="K28" s="504"/>
      <c r="L28" s="638">
        <f t="shared" si="0"/>
        <v>2002</v>
      </c>
      <c r="M28" s="644">
        <f>VLOOKUP($A28,MeanRuns_EvenOrOdd!$A$8:$H$37,5, FALSE)</f>
        <v>4607236.7025506478</v>
      </c>
      <c r="N28" s="502">
        <f t="shared" si="12"/>
        <v>11172917216199.314</v>
      </c>
      <c r="O28" s="503">
        <f t="shared" si="10"/>
        <v>2.6431058300548971</v>
      </c>
      <c r="P28" s="498"/>
      <c r="Q28" s="638">
        <f t="shared" si="1"/>
        <v>2002</v>
      </c>
      <c r="R28" s="644">
        <f>VLOOKUP($A28,MeanRuns_EvenOrOdd!$A$8:$H$37,6, FALSE)</f>
        <v>5457735.125</v>
      </c>
      <c r="S28" s="502">
        <f t="shared" si="13"/>
        <v>17582002194957.762</v>
      </c>
      <c r="T28" s="503">
        <f t="shared" si="11"/>
        <v>3.31562516459709</v>
      </c>
      <c r="V28" s="638">
        <f t="shared" si="2"/>
        <v>2002</v>
      </c>
      <c r="W28" s="644">
        <f>VLOOKUP($A28,MeanRuns_EvenOrOdd!$A$8:$H$37,7, FALSE)</f>
        <v>4647264.7</v>
      </c>
      <c r="X28" s="502">
        <f t="shared" si="14"/>
        <v>11442113936233.391</v>
      </c>
      <c r="Y28" s="503">
        <f t="shared" si="15"/>
        <v>2.6747573904777484</v>
      </c>
      <c r="AA28" s="638">
        <f t="shared" si="3"/>
        <v>2002</v>
      </c>
      <c r="AB28" s="644">
        <f>VLOOKUP($A28,MeanRuns_EvenOrOdd!$A$8:$H$37,8, FALSE)</f>
        <v>8148670.8499999996</v>
      </c>
      <c r="AC28" s="502">
        <f t="shared" si="16"/>
        <v>47389807632582.992</v>
      </c>
      <c r="AD28" s="503">
        <f t="shared" si="17"/>
        <v>5.4434436946550715</v>
      </c>
    </row>
    <row r="29" spans="1:30">
      <c r="A29" s="637">
        <f t="shared" si="7"/>
        <v>2004</v>
      </c>
      <c r="B29" s="639">
        <f>VLOOKUP($A29,MeanRuns_EvenOrOdd!$A$8:$H$37,3, FALSE)</f>
        <v>1264645.3102025923</v>
      </c>
      <c r="C29" s="647">
        <f>VLOOKUP(A29,Database!$A$74:$J$131,10,FALSE)</f>
        <v>4939431.0563474381</v>
      </c>
      <c r="D29" s="502">
        <f t="shared" si="4"/>
        <v>13504050280069.334</v>
      </c>
      <c r="E29" s="503">
        <f t="shared" si="8"/>
        <v>-0.74396943782068703</v>
      </c>
      <c r="F29" s="504"/>
      <c r="G29" s="634">
        <f t="shared" si="5"/>
        <v>2004</v>
      </c>
      <c r="H29" s="639">
        <f>VLOOKUP($A29,MeanRuns_EvenOrOdd!$A$8:$H$37,4, FALSE)</f>
        <v>4327293.1551012965</v>
      </c>
      <c r="I29" s="502">
        <f t="shared" si="6"/>
        <v>374712810142.03107</v>
      </c>
      <c r="J29" s="503">
        <f t="shared" si="9"/>
        <v>-0.12392882788788216</v>
      </c>
      <c r="K29" s="504"/>
      <c r="L29" s="638">
        <f t="shared" si="0"/>
        <v>2004</v>
      </c>
      <c r="M29" s="644">
        <f>VLOOKUP($A29,MeanRuns_EvenOrOdd!$A$8:$H$37,5, FALSE)</f>
        <v>4717073.216637508</v>
      </c>
      <c r="N29" s="502">
        <f t="shared" si="12"/>
        <v>49443008880.46698</v>
      </c>
      <c r="O29" s="503">
        <f t="shared" si="10"/>
        <v>-4.5016893073988387E-2</v>
      </c>
      <c r="P29" s="498"/>
      <c r="Q29" s="638">
        <f t="shared" si="1"/>
        <v>2004</v>
      </c>
      <c r="R29" s="644">
        <f>VLOOKUP($A29,MeanRuns_EvenOrOdd!$A$8:$H$37,6, FALSE)</f>
        <v>4607236.7025506478</v>
      </c>
      <c r="S29" s="502">
        <f t="shared" si="13"/>
        <v>110353088694.46712</v>
      </c>
      <c r="T29" s="503">
        <f t="shared" si="11"/>
        <v>-6.7253566252312103E-2</v>
      </c>
      <c r="V29" s="638">
        <f t="shared" si="2"/>
        <v>2004</v>
      </c>
      <c r="W29" s="644">
        <f>VLOOKUP($A29,MeanRuns_EvenOrOdd!$A$8:$H$37,7, FALSE)</f>
        <v>4619117.1620405186</v>
      </c>
      <c r="X29" s="502">
        <f t="shared" si="14"/>
        <v>102600990886.06442</v>
      </c>
      <c r="Y29" s="503">
        <f t="shared" si="15"/>
        <v>-6.4848337926551022E-2</v>
      </c>
      <c r="AA29" s="638">
        <f t="shared" si="3"/>
        <v>2004</v>
      </c>
      <c r="AB29" s="644">
        <f>VLOOKUP($A29,MeanRuns_EvenOrOdd!$A$8:$H$37,8, FALSE)</f>
        <v>6595703.6810202589</v>
      </c>
      <c r="AC29" s="502">
        <f t="shared" si="16"/>
        <v>2743239007240.5947</v>
      </c>
      <c r="AD29" s="503">
        <f t="shared" si="17"/>
        <v>0.33531647790577424</v>
      </c>
    </row>
    <row r="30" spans="1:30">
      <c r="A30" s="637">
        <f t="shared" si="7"/>
        <v>2006</v>
      </c>
      <c r="B30" s="639">
        <f>VLOOKUP($A30,MeanRuns_EvenOrOdd!$A$8:$H$37,3, FALSE)</f>
        <v>4939431.0563474381</v>
      </c>
      <c r="C30" s="647">
        <f>VLOOKUP(A30,Database!$A$74:$J$131,10,FALSE)</f>
        <v>3314702.7753436686</v>
      </c>
      <c r="D30" s="502">
        <f t="shared" si="4"/>
        <v>2639741987093.4639</v>
      </c>
      <c r="E30" s="503">
        <f t="shared" si="8"/>
        <v>0.49015805974800186</v>
      </c>
      <c r="F30" s="504"/>
      <c r="G30" s="634">
        <f t="shared" si="5"/>
        <v>2006</v>
      </c>
      <c r="H30" s="639">
        <f>VLOOKUP($A30,MeanRuns_EvenOrOdd!$A$8:$H$37,4, FALSE)</f>
        <v>3102038.1832750151</v>
      </c>
      <c r="I30" s="502">
        <f t="shared" si="6"/>
        <v>45226228719.726822</v>
      </c>
      <c r="J30" s="503">
        <f t="shared" si="9"/>
        <v>-6.4157967239341529E-2</v>
      </c>
      <c r="K30" s="504"/>
      <c r="L30" s="638">
        <f t="shared" si="0"/>
        <v>2006</v>
      </c>
      <c r="M30" s="644">
        <f>VLOOKUP($A30,MeanRuns_EvenOrOdd!$A$8:$H$37,5, FALSE)</f>
        <v>4227180.0354734249</v>
      </c>
      <c r="N30" s="502">
        <f t="shared" si="12"/>
        <v>832614750253.90698</v>
      </c>
      <c r="O30" s="503">
        <f t="shared" si="10"/>
        <v>0.27528177395487613</v>
      </c>
      <c r="P30" s="498"/>
      <c r="Q30" s="638">
        <f t="shared" si="1"/>
        <v>2006</v>
      </c>
      <c r="R30" s="644">
        <f>VLOOKUP($A30,MeanRuns_EvenOrOdd!$A$8:$H$37,6, FALSE)</f>
        <v>4717073.216637508</v>
      </c>
      <c r="S30" s="502">
        <f t="shared" si="13"/>
        <v>1966642854614.6777</v>
      </c>
      <c r="T30" s="503">
        <f t="shared" si="11"/>
        <v>0.42307577370898403</v>
      </c>
      <c r="V30" s="638">
        <f t="shared" si="2"/>
        <v>2006</v>
      </c>
      <c r="W30" s="644">
        <f>VLOOKUP($A30,MeanRuns_EvenOrOdd!$A$8:$H$37,7, FALSE)</f>
        <v>4673675.5733100055</v>
      </c>
      <c r="X30" s="502">
        <f t="shared" si="14"/>
        <v>1846807065612.4541</v>
      </c>
      <c r="Y30" s="503">
        <f t="shared" si="15"/>
        <v>0.40998330470985844</v>
      </c>
      <c r="AA30" s="638">
        <f t="shared" si="3"/>
        <v>2006</v>
      </c>
      <c r="AB30" s="644">
        <f>VLOOKUP($A30,MeanRuns_EvenOrOdd!$A$8:$H$37,8, FALSE)</f>
        <v>4969495.4866550025</v>
      </c>
      <c r="AC30" s="502">
        <f t="shared" si="16"/>
        <v>2738338917409.1152</v>
      </c>
      <c r="AD30" s="503">
        <f t="shared" si="17"/>
        <v>0.49922808271693825</v>
      </c>
    </row>
    <row r="31" spans="1:30">
      <c r="A31" s="637">
        <f t="shared" si="7"/>
        <v>2008</v>
      </c>
      <c r="B31" s="639">
        <f>VLOOKUP($A31,MeanRuns_EvenOrOdd!$A$8:$H$37,3, FALSE)</f>
        <v>3314702.7753436686</v>
      </c>
      <c r="C31" s="647">
        <f>VLOOKUP(A31,Database!$A$74:$J$131,10,FALSE)</f>
        <v>2290691.6775990888</v>
      </c>
      <c r="D31" s="502">
        <f t="shared" si="4"/>
        <v>1048598728304.0596</v>
      </c>
      <c r="E31" s="503">
        <f t="shared" si="8"/>
        <v>0.44703139569523498</v>
      </c>
      <c r="F31" s="504"/>
      <c r="G31" s="634">
        <f t="shared" si="5"/>
        <v>2008</v>
      </c>
      <c r="H31" s="639">
        <f>VLOOKUP($A31,MeanRuns_EvenOrOdd!$A$8:$H$37,4, FALSE)</f>
        <v>4127066.9158455534</v>
      </c>
      <c r="I31" s="502">
        <f t="shared" si="6"/>
        <v>3372274015644.7598</v>
      </c>
      <c r="J31" s="503">
        <f t="shared" si="9"/>
        <v>0.80166844634944479</v>
      </c>
      <c r="K31" s="504"/>
      <c r="L31" s="638">
        <f t="shared" si="0"/>
        <v>2008</v>
      </c>
      <c r="M31" s="644">
        <f>VLOOKUP($A31,MeanRuns_EvenOrOdd!$A$8:$H$37,5, FALSE)</f>
        <v>2952367.7048731972</v>
      </c>
      <c r="N31" s="502">
        <f t="shared" si="12"/>
        <v>437815165069.24677</v>
      </c>
      <c r="O31" s="503">
        <f t="shared" si="10"/>
        <v>0.28885425033176965</v>
      </c>
      <c r="P31" s="498"/>
      <c r="Q31" s="638">
        <f t="shared" si="1"/>
        <v>2008</v>
      </c>
      <c r="R31" s="644">
        <f>VLOOKUP($A31,MeanRuns_EvenOrOdd!$A$8:$H$37,6, FALSE)</f>
        <v>4227180.0354734249</v>
      </c>
      <c r="S31" s="502">
        <f t="shared" si="13"/>
        <v>3749987160182.8433</v>
      </c>
      <c r="T31" s="503">
        <f t="shared" si="11"/>
        <v>0.84537276527061955</v>
      </c>
      <c r="V31" s="638">
        <f t="shared" si="2"/>
        <v>2008</v>
      </c>
      <c r="W31" s="644">
        <f>VLOOKUP($A31,MeanRuns_EvenOrOdd!$A$8:$H$37,7, FALSE)</f>
        <v>4436599.1283787396</v>
      </c>
      <c r="X31" s="502">
        <f t="shared" si="14"/>
        <v>4604918787311.6191</v>
      </c>
      <c r="Y31" s="503">
        <f t="shared" si="15"/>
        <v>0.93679453754719677</v>
      </c>
      <c r="AA31" s="638">
        <f t="shared" si="3"/>
        <v>2008</v>
      </c>
      <c r="AB31" s="644">
        <f>VLOOKUP($A31,MeanRuns_EvenOrOdd!$A$8:$H$37,8, FALSE)</f>
        <v>4744570.0641893698</v>
      </c>
      <c r="AC31" s="502">
        <f t="shared" si="16"/>
        <v>6021519136174.9209</v>
      </c>
      <c r="AD31" s="503">
        <f t="shared" si="17"/>
        <v>1.0712390543812649</v>
      </c>
    </row>
    <row r="32" spans="1:30">
      <c r="A32" s="637">
        <f t="shared" si="7"/>
        <v>2010</v>
      </c>
      <c r="B32" s="639">
        <f>VLOOKUP($A32,MeanRuns_EvenOrOdd!$A$8:$H$37,3, FALSE)</f>
        <v>2290691.6775990888</v>
      </c>
      <c r="C32" s="647">
        <f>VLOOKUP(A32,Database!$A$74:$J$131,10,FALSE)</f>
        <v>4399390.7272172375</v>
      </c>
      <c r="D32" s="502">
        <f t="shared" si="4"/>
        <v>4446611681860.4834</v>
      </c>
      <c r="E32" s="503">
        <f t="shared" si="8"/>
        <v>-0.47931615543318012</v>
      </c>
      <c r="F32" s="504"/>
      <c r="G32" s="634">
        <f t="shared" si="5"/>
        <v>2010</v>
      </c>
      <c r="H32" s="639">
        <f>VLOOKUP($A32,MeanRuns_EvenOrOdd!$A$8:$H$37,4, FALSE)</f>
        <v>2802697.2264713785</v>
      </c>
      <c r="I32" s="502">
        <f t="shared" si="6"/>
        <v>2549430135324.0664</v>
      </c>
      <c r="J32" s="503">
        <f t="shared" si="9"/>
        <v>-0.362935142556847</v>
      </c>
      <c r="K32" s="504"/>
      <c r="L32" s="638">
        <f t="shared" si="0"/>
        <v>2010</v>
      </c>
      <c r="M32" s="644">
        <f>VLOOKUP($A32,MeanRuns_EvenOrOdd!$A$8:$H$37,5, FALSE)</f>
        <v>3736054.0591268586</v>
      </c>
      <c r="N32" s="502">
        <f t="shared" si="12"/>
        <v>440015535233.24548</v>
      </c>
      <c r="O32" s="503">
        <f t="shared" si="10"/>
        <v>-0.15077921221831589</v>
      </c>
      <c r="P32" s="498"/>
      <c r="Q32" s="638">
        <f t="shared" si="1"/>
        <v>2010</v>
      </c>
      <c r="R32" s="644">
        <f>VLOOKUP($A32,MeanRuns_EvenOrOdd!$A$8:$H$37,6, FALSE)</f>
        <v>2952367.7048731972</v>
      </c>
      <c r="S32" s="502">
        <f t="shared" si="13"/>
        <v>2093875627193.6807</v>
      </c>
      <c r="T32" s="503">
        <f t="shared" si="11"/>
        <v>-0.3289144138509677</v>
      </c>
      <c r="V32" s="638">
        <f t="shared" si="2"/>
        <v>2010</v>
      </c>
      <c r="W32" s="644">
        <f>VLOOKUP($A32,MeanRuns_EvenOrOdd!$A$8:$H$37,7, FALSE)</f>
        <v>3839882.3638985576</v>
      </c>
      <c r="X32" s="502">
        <f t="shared" si="14"/>
        <v>313049608623.54785</v>
      </c>
      <c r="Y32" s="503">
        <f t="shared" si="15"/>
        <v>-0.12717860222262817</v>
      </c>
      <c r="AA32" s="638">
        <f t="shared" si="3"/>
        <v>2010</v>
      </c>
      <c r="AB32" s="644">
        <f>VLOOKUP($A32,MeanRuns_EvenOrOdd!$A$8:$H$37,8, FALSE)</f>
        <v>4796945.6319492785</v>
      </c>
      <c r="AC32" s="502">
        <f t="shared" si="16"/>
        <v>158049902276.50226</v>
      </c>
      <c r="AD32" s="503">
        <f t="shared" si="17"/>
        <v>9.0365900503569935E-2</v>
      </c>
    </row>
    <row r="33" spans="1:31">
      <c r="A33" s="637">
        <f t="shared" si="7"/>
        <v>2012</v>
      </c>
      <c r="B33" s="639">
        <f>VLOOKUP($A33,MeanRuns_EvenOrOdd!$A$8:$H$37,3, FALSE)</f>
        <v>4399390.7272172375</v>
      </c>
      <c r="C33" s="647">
        <f>VLOOKUP(A33,Database!$A$74:$J$131,10,FALSE)</f>
        <v>4428267.5450134957</v>
      </c>
      <c r="D33" s="502">
        <f t="shared" si="4"/>
        <v>833870606.03829753</v>
      </c>
      <c r="E33" s="503">
        <f t="shared" si="8"/>
        <v>-6.5210192254023464E-3</v>
      </c>
      <c r="F33" s="504"/>
      <c r="G33" s="634">
        <f t="shared" si="5"/>
        <v>2012</v>
      </c>
      <c r="H33" s="639">
        <f>VLOOKUP($A33,MeanRuns_EvenOrOdd!$A$8:$H$37,4, FALSE)</f>
        <v>3345041.2024081629</v>
      </c>
      <c r="I33" s="502">
        <f t="shared" si="6"/>
        <v>1173379309314.126</v>
      </c>
      <c r="J33" s="503">
        <f t="shared" si="9"/>
        <v>-0.24461628200967961</v>
      </c>
      <c r="K33" s="504"/>
      <c r="L33" s="638">
        <f t="shared" si="0"/>
        <v>2012</v>
      </c>
      <c r="M33" s="644">
        <f>VLOOKUP($A33,MeanRuns_EvenOrOdd!$A$8:$H$37,5, FALSE)</f>
        <v>3608263.1812933721</v>
      </c>
      <c r="N33" s="502">
        <f t="shared" si="12"/>
        <v>672407156520.0448</v>
      </c>
      <c r="O33" s="503">
        <f t="shared" si="10"/>
        <v>-0.1851749821763817</v>
      </c>
      <c r="P33" s="498"/>
      <c r="Q33" s="638">
        <f t="shared" si="1"/>
        <v>2012</v>
      </c>
      <c r="R33" s="644">
        <f>VLOOKUP($A33,MeanRuns_EvenOrOdd!$A$8:$H$37,6, FALSE)</f>
        <v>3736054.0591268586</v>
      </c>
      <c r="S33" s="502">
        <f t="shared" si="13"/>
        <v>479159510043.32959</v>
      </c>
      <c r="T33" s="503">
        <f t="shared" si="11"/>
        <v>-0.15631699730205156</v>
      </c>
      <c r="V33" s="638">
        <f t="shared" si="2"/>
        <v>2012</v>
      </c>
      <c r="W33" s="644">
        <f>VLOOKUP($A33,MeanRuns_EvenOrOdd!$A$8:$H$37,7, FALSE)</f>
        <v>3241772.3093420053</v>
      </c>
      <c r="X33" s="502">
        <f t="shared" si="14"/>
        <v>1407770944271.1455</v>
      </c>
      <c r="Y33" s="503">
        <f t="shared" si="15"/>
        <v>-0.26793666453318921</v>
      </c>
      <c r="AA33" s="638">
        <f t="shared" si="3"/>
        <v>2012</v>
      </c>
      <c r="AB33" s="644">
        <f>VLOOKUP($A33,MeanRuns_EvenOrOdd!$A$8:$H$37,8, FALSE)</f>
        <v>3944518.5046710023</v>
      </c>
      <c r="AC33" s="502">
        <f t="shared" si="16"/>
        <v>234013134032.28336</v>
      </c>
      <c r="AD33" s="503">
        <f t="shared" si="17"/>
        <v>-0.1092411502749478</v>
      </c>
    </row>
    <row r="34" spans="1:31">
      <c r="A34" s="637">
        <f t="shared" si="7"/>
        <v>2014</v>
      </c>
      <c r="B34" s="639">
        <f>VLOOKUP($A34,MeanRuns_EvenOrOdd!$A$8:$H$37,3, FALSE)</f>
        <v>4428267.5450134957</v>
      </c>
      <c r="C34" s="647">
        <f>VLOOKUP(A34,Database!$A$74:$J$131,10,FALSE)</f>
        <v>2702397</v>
      </c>
      <c r="D34" s="502">
        <f t="shared" si="4"/>
        <v>2978629138145.1807</v>
      </c>
      <c r="E34" s="503">
        <f t="shared" si="8"/>
        <v>0.63864433871614557</v>
      </c>
      <c r="F34" s="504"/>
      <c r="G34" s="634">
        <f t="shared" si="5"/>
        <v>2014</v>
      </c>
      <c r="H34" s="639">
        <f>VLOOKUP($A34,MeanRuns_EvenOrOdd!$A$8:$H$37,4, FALSE)</f>
        <v>4413829.1361153666</v>
      </c>
      <c r="I34" s="502">
        <f t="shared" si="6"/>
        <v>2928999956528.4067</v>
      </c>
      <c r="J34" s="503">
        <f t="shared" si="9"/>
        <v>0.63330152309796328</v>
      </c>
      <c r="K34" s="504"/>
      <c r="L34" s="638">
        <f t="shared" si="0"/>
        <v>2014</v>
      </c>
      <c r="M34" s="644">
        <f>VLOOKUP($A34,MeanRuns_EvenOrOdd!$A$8:$H$37,5, FALSE)</f>
        <v>3455186.7374574551</v>
      </c>
      <c r="N34" s="502">
        <f t="shared" si="12"/>
        <v>566692388821.26428</v>
      </c>
      <c r="O34" s="503">
        <f t="shared" si="10"/>
        <v>0.27856371120063228</v>
      </c>
      <c r="P34" s="498"/>
      <c r="Q34" s="638">
        <f t="shared" si="1"/>
        <v>2014</v>
      </c>
      <c r="R34" s="644">
        <f>VLOOKUP($A34,MeanRuns_EvenOrOdd!$A$8:$H$37,6, FALSE)</f>
        <v>3608263.1812933721</v>
      </c>
      <c r="S34" s="502">
        <f t="shared" si="13"/>
        <v>820593538411.03638</v>
      </c>
      <c r="T34" s="503">
        <f t="shared" si="11"/>
        <v>0.33520840250095457</v>
      </c>
      <c r="V34" s="638">
        <f t="shared" si="2"/>
        <v>2014</v>
      </c>
      <c r="W34" s="644">
        <f>VLOOKUP($A34,MeanRuns_EvenOrOdd!$A$8:$H$37,7, FALSE)</f>
        <v>3874496.7563041858</v>
      </c>
      <c r="X34" s="502">
        <f t="shared" si="14"/>
        <v>1373817838728.3318</v>
      </c>
      <c r="Y34" s="503">
        <f t="shared" si="15"/>
        <v>0.43372596857685447</v>
      </c>
      <c r="AA34" s="638">
        <f t="shared" si="3"/>
        <v>2014</v>
      </c>
      <c r="AB34" s="644">
        <f>VLOOKUP($A34,MeanRuns_EvenOrOdd!$A$8:$H$37,8, FALSE)</f>
        <v>4246806.9591723513</v>
      </c>
      <c r="AC34" s="502">
        <f t="shared" si="16"/>
        <v>2385202121990.7437</v>
      </c>
      <c r="AD34" s="503">
        <f t="shared" si="17"/>
        <v>0.57149632684329921</v>
      </c>
    </row>
    <row r="35" spans="1:31">
      <c r="A35" s="637">
        <f t="shared" si="7"/>
        <v>2016</v>
      </c>
      <c r="B35" s="639">
        <f>VLOOKUP($A35,MeanRuns_EvenOrOdd!$A$8:$H$37,3, FALSE)</f>
        <v>2702397</v>
      </c>
      <c r="C35" s="647">
        <f>VLOOKUP(A35,Database!$A$74:$J$131,10,FALSE)</f>
        <v>3508986.4174955119</v>
      </c>
      <c r="D35" s="502">
        <f t="shared" ref="D35" si="18">(B35-$C35)^2</f>
        <v>650586488415.74927</v>
      </c>
      <c r="E35" s="503">
        <f t="shared" ref="E35" si="19">(B35-$C35)/C35</f>
        <v>-0.22986393263705004</v>
      </c>
      <c r="F35" s="504"/>
      <c r="G35" s="634">
        <f t="shared" si="5"/>
        <v>2016</v>
      </c>
      <c r="H35" s="639">
        <f>VLOOKUP($A35,MeanRuns_EvenOrOdd!$A$8:$H$37,4, FALSE)</f>
        <v>3565332.2725067479</v>
      </c>
      <c r="I35" s="502">
        <f t="shared" ref="I35" si="20">(H35-$C35)^2</f>
        <v>3174855376.9472203</v>
      </c>
      <c r="J35" s="503">
        <f t="shared" ref="J35" si="21">(H35-$C35)/$C35</f>
        <v>1.6057587094182018E-2</v>
      </c>
      <c r="K35" s="504"/>
      <c r="L35" s="638">
        <f t="shared" si="0"/>
        <v>2016</v>
      </c>
      <c r="M35" s="644">
        <f>VLOOKUP($A35,MeanRuns_EvenOrOdd!$A$8:$H$37,5, FALSE)</f>
        <v>3759760.4224315612</v>
      </c>
      <c r="N35" s="502">
        <f t="shared" ref="N35" si="22">(M35-$C35)^2</f>
        <v>62887601551.665642</v>
      </c>
      <c r="O35" s="503">
        <f t="shared" ref="O35" si="23">(M35-$C35)/$C35</f>
        <v>7.1466222749028349E-2</v>
      </c>
      <c r="P35" s="498"/>
      <c r="Q35" s="638">
        <f t="shared" ref="Q35" si="24">L35</f>
        <v>2016</v>
      </c>
      <c r="R35" s="644">
        <f>VLOOKUP($A35,MeanRuns_EvenOrOdd!$A$8:$H$37,6, FALSE)</f>
        <v>3455186.7374574551</v>
      </c>
      <c r="S35" s="502">
        <f t="shared" ref="S35" si="25">(R35-$C35)^2</f>
        <v>2894405572.1972876</v>
      </c>
      <c r="T35" s="503">
        <f t="shared" ref="T35" si="26">(R35-$C35)/$C35</f>
        <v>-1.5331971582966553E-2</v>
      </c>
      <c r="V35" s="638">
        <f t="shared" ref="V35" si="27">Q35</f>
        <v>2016</v>
      </c>
      <c r="W35" s="644">
        <f>VLOOKUP($A35,MeanRuns_EvenOrOdd!$A$8:$H$37,7, FALSE)</f>
        <v>3427089.9450346977</v>
      </c>
      <c r="X35" s="502">
        <f t="shared" ref="X35" si="28">(W35-$C35)^2</f>
        <v>6707032201.5249128</v>
      </c>
      <c r="Y35" s="503">
        <f t="shared" ref="Y35" si="29">(W35-$C35)/$C35</f>
        <v>-2.3339067957768474E-2</v>
      </c>
      <c r="AA35" s="638">
        <f t="shared" ref="AA35" si="30">V35</f>
        <v>2016</v>
      </c>
      <c r="AB35" s="644">
        <f>VLOOKUP($A35,MeanRuns_EvenOrOdd!$A$8:$H$37,8, FALSE)</f>
        <v>4050382.7591723516</v>
      </c>
      <c r="AC35" s="502">
        <f t="shared" ref="AC35" si="31">(AB35-$C35)^2</f>
        <v>293109998781.06525</v>
      </c>
      <c r="AD35" s="503">
        <f t="shared" ref="AD35" si="32">(AB35-$C35)/$C35</f>
        <v>0.15428852587672692</v>
      </c>
    </row>
    <row r="36" spans="1:31">
      <c r="A36" s="637">
        <f t="shared" si="7"/>
        <v>2018</v>
      </c>
      <c r="B36" s="510">
        <f>VLOOKUP($A36,MeanRuns_EvenOrOdd!$A$8:$H$37,3, FALSE)</f>
        <v>3508986.4174955119</v>
      </c>
      <c r="C36" s="501"/>
      <c r="D36" s="502"/>
      <c r="E36" s="503"/>
      <c r="F36" s="504"/>
      <c r="G36" s="634">
        <f t="shared" si="5"/>
        <v>2018</v>
      </c>
      <c r="H36" s="510">
        <f>VLOOKUP($A36,MeanRuns_EvenOrOdd!$A$8:$H$37,4, FALSE)</f>
        <v>3105691.7087477557</v>
      </c>
      <c r="I36" s="501"/>
      <c r="J36" s="502"/>
      <c r="K36" s="504"/>
      <c r="L36" s="638">
        <f t="shared" si="0"/>
        <v>2018</v>
      </c>
      <c r="M36" s="510">
        <f>VLOOKUP($A36,MeanRuns_EvenOrOdd!$A$8:$H$37,5, FALSE)</f>
        <v>3546550.3208363359</v>
      </c>
      <c r="N36" s="502"/>
      <c r="O36" s="503"/>
      <c r="P36" s="498"/>
      <c r="Q36" s="638">
        <f t="shared" si="1"/>
        <v>2018</v>
      </c>
      <c r="R36" s="510">
        <f>VLOOKUP($A36,MeanRuns_EvenOrOdd!$A$8:$H$37,6, FALSE)</f>
        <v>3759760.4224315612</v>
      </c>
      <c r="S36" s="502"/>
      <c r="T36" s="503"/>
      <c r="V36" s="638">
        <f t="shared" si="2"/>
        <v>2018</v>
      </c>
      <c r="W36" s="510">
        <f>VLOOKUP($A36,MeanRuns_EvenOrOdd!$A$8:$H$37,7, FALSE)</f>
        <v>3465946.6734650666</v>
      </c>
      <c r="X36" s="502"/>
      <c r="Y36" s="503"/>
      <c r="Z36" s="498"/>
      <c r="AA36" s="638">
        <f t="shared" si="3"/>
        <v>2018</v>
      </c>
      <c r="AB36" s="510">
        <f>VLOOKUP($A36,MeanRuns_EvenOrOdd!$A$8:$H$37,8, FALSE)</f>
        <v>3951272.9009219026</v>
      </c>
      <c r="AC36" s="502"/>
      <c r="AD36" s="503"/>
    </row>
    <row r="37" spans="1:31">
      <c r="A37" s="637"/>
      <c r="B37" s="640"/>
      <c r="C37" s="511"/>
      <c r="D37" s="512"/>
      <c r="E37" s="513"/>
      <c r="F37" s="513"/>
      <c r="G37" s="634"/>
      <c r="H37" s="641"/>
      <c r="I37" s="511"/>
      <c r="J37" s="512"/>
      <c r="K37" s="513"/>
      <c r="L37" s="634"/>
      <c r="M37" s="640"/>
      <c r="N37" s="512"/>
      <c r="O37" s="513"/>
      <c r="P37" s="508"/>
      <c r="Q37" s="634"/>
      <c r="R37" s="640"/>
      <c r="S37" s="512"/>
      <c r="T37" s="513"/>
      <c r="U37" s="507"/>
      <c r="V37" s="634"/>
      <c r="W37" s="640"/>
      <c r="X37" s="512"/>
      <c r="Y37" s="513"/>
      <c r="Z37" s="507"/>
      <c r="AA37" s="634"/>
      <c r="AB37" s="640"/>
      <c r="AC37" s="507"/>
    </row>
    <row r="38" spans="1:31">
      <c r="A38" s="514"/>
      <c r="B38" s="515"/>
      <c r="C38" s="516"/>
      <c r="D38" s="517"/>
      <c r="E38" s="513"/>
      <c r="F38" s="513"/>
      <c r="G38" s="505"/>
      <c r="H38" s="642"/>
      <c r="I38" s="516"/>
      <c r="J38" s="517"/>
      <c r="K38" s="513"/>
      <c r="L38" s="505"/>
      <c r="M38" s="515"/>
      <c r="N38" s="517"/>
      <c r="O38" s="513"/>
      <c r="P38" s="508"/>
      <c r="Q38" s="638"/>
      <c r="R38" s="515"/>
      <c r="S38" s="517"/>
      <c r="T38" s="513"/>
      <c r="U38" s="518"/>
      <c r="V38" s="500"/>
      <c r="W38" s="515"/>
      <c r="X38" s="517"/>
      <c r="Y38" s="513"/>
      <c r="AA38" s="500"/>
    </row>
    <row r="39" spans="1:31">
      <c r="A39" s="514"/>
      <c r="B39" s="519"/>
      <c r="C39" s="520"/>
      <c r="D39" s="517"/>
      <c r="E39" s="513"/>
      <c r="F39" s="513"/>
      <c r="G39" s="505"/>
      <c r="H39" s="642"/>
      <c r="I39" s="520"/>
      <c r="J39" s="517"/>
      <c r="K39" s="513"/>
      <c r="L39" s="505"/>
      <c r="M39" s="519"/>
      <c r="N39" s="517"/>
      <c r="O39" s="513"/>
      <c r="P39" s="508"/>
      <c r="Q39" s="638"/>
      <c r="R39" s="519"/>
      <c r="S39" s="517"/>
      <c r="T39" s="513"/>
      <c r="U39" s="518"/>
      <c r="V39" s="500"/>
      <c r="W39" s="519"/>
      <c r="X39" s="517"/>
      <c r="Y39" s="513"/>
      <c r="AA39" s="500"/>
    </row>
    <row r="40" spans="1:31">
      <c r="A40" s="514"/>
      <c r="B40" s="479"/>
      <c r="C40" s="521"/>
      <c r="D40" s="522"/>
      <c r="E40" s="523"/>
      <c r="F40" s="513"/>
      <c r="G40" s="505"/>
      <c r="H40" s="642"/>
      <c r="I40" s="521"/>
      <c r="J40" s="522"/>
      <c r="K40" s="513"/>
      <c r="L40" s="505"/>
      <c r="M40" s="479"/>
      <c r="N40" s="522"/>
      <c r="O40" s="523"/>
      <c r="P40" s="508"/>
      <c r="Q40" s="638"/>
      <c r="R40" s="479"/>
      <c r="S40" s="522"/>
      <c r="T40" s="523"/>
      <c r="U40" s="518"/>
      <c r="V40" s="500"/>
      <c r="W40" s="479"/>
      <c r="X40" s="522"/>
      <c r="Y40" s="523"/>
      <c r="AA40" s="500"/>
    </row>
    <row r="41" spans="1:31" ht="51">
      <c r="A41" s="656"/>
      <c r="B41" s="657"/>
      <c r="C41" s="658" t="s">
        <v>178</v>
      </c>
      <c r="D41" s="659">
        <f>SUM(D25:D36)</f>
        <v>67891451135041.516</v>
      </c>
      <c r="E41" s="660">
        <f>SUM(E25:E36)</f>
        <v>4.5635875461836157</v>
      </c>
      <c r="F41" s="661"/>
      <c r="G41" s="656"/>
      <c r="H41" s="658" t="s">
        <v>178</v>
      </c>
      <c r="I41" s="659">
        <f>SUM(I25:I36)</f>
        <v>45011063470969.055</v>
      </c>
      <c r="J41" s="660">
        <f>SUM(J25:J36)</f>
        <v>3.867400648833268</v>
      </c>
      <c r="K41" s="661"/>
      <c r="L41" s="656"/>
      <c r="M41" s="658" t="s">
        <v>178</v>
      </c>
      <c r="N41" s="659">
        <f>SUM(N25:N36)</f>
        <v>21578824563521.246</v>
      </c>
      <c r="O41" s="660">
        <f>SUM(O25:O36)</f>
        <v>2.9712487798596148</v>
      </c>
      <c r="P41" s="662"/>
      <c r="Q41" s="656"/>
      <c r="R41" s="658" t="s">
        <v>178</v>
      </c>
      <c r="S41" s="659">
        <f>SUM(S25:S36)</f>
        <v>39395547525909.445</v>
      </c>
      <c r="T41" s="660">
        <f>SUM(T25:T36)</f>
        <v>4.1546982406806627</v>
      </c>
      <c r="U41" s="663"/>
      <c r="V41" s="657"/>
      <c r="W41" s="658" t="s">
        <v>178</v>
      </c>
      <c r="X41" s="659">
        <f>SUM(X25:X36)</f>
        <v>24408803793252.898</v>
      </c>
      <c r="Y41" s="660">
        <f>SUM(Y25:Y36)</f>
        <v>3.8785929433546662</v>
      </c>
      <c r="Z41" s="664"/>
      <c r="AA41" s="657"/>
      <c r="AB41" s="658" t="s">
        <v>178</v>
      </c>
      <c r="AC41" s="659">
        <f>SUM(AC25:AC36)</f>
        <v>90317825630407.688</v>
      </c>
      <c r="AD41" s="660">
        <f>SUM(AD25:AD36)</f>
        <v>9.747233451567789</v>
      </c>
      <c r="AE41" s="664"/>
    </row>
    <row r="42" spans="1:31">
      <c r="A42" s="524"/>
      <c r="B42" s="479"/>
      <c r="C42" s="527" t="s">
        <v>179</v>
      </c>
      <c r="D42" s="528">
        <f>SQRT(D41/(COUNT(D25:D36)-1))</f>
        <v>2605598.8013322679</v>
      </c>
      <c r="E42" s="529">
        <f>E41/COUNTA(E25:E36)</f>
        <v>0.41487159510760141</v>
      </c>
      <c r="F42" s="530"/>
      <c r="G42" s="524"/>
      <c r="H42" s="527" t="s">
        <v>179</v>
      </c>
      <c r="I42" s="528">
        <f>SQRT(I41/(COUNT(I25:I36)-1))</f>
        <v>2121581.0960453302</v>
      </c>
      <c r="J42" s="529">
        <f>J41/COUNTA(J25:J36)</f>
        <v>0.35158187716666073</v>
      </c>
      <c r="K42" s="530"/>
      <c r="L42" s="524"/>
      <c r="M42" s="527" t="s">
        <v>179</v>
      </c>
      <c r="N42" s="528">
        <f>SQRT(N41/(COUNT(N25:N36)-1))</f>
        <v>1468973.2660440505</v>
      </c>
      <c r="O42" s="529">
        <f>O41/COUNTA(O25:O36)</f>
        <v>0.27011352544178319</v>
      </c>
      <c r="P42" s="508"/>
      <c r="Q42" s="524"/>
      <c r="R42" s="527" t="s">
        <v>179</v>
      </c>
      <c r="S42" s="528">
        <f>SQRT(S41/(COUNT(S25:S36)-1))</f>
        <v>1984831.1647570794</v>
      </c>
      <c r="T42" s="529">
        <f>T41/COUNTA(T25:T36)</f>
        <v>0.37769984006187846</v>
      </c>
      <c r="U42" s="518"/>
      <c r="V42" s="479"/>
      <c r="W42" s="527" t="s">
        <v>179</v>
      </c>
      <c r="X42" s="528">
        <f>SQRT(X41/(COUNT(X25:X36)-1))</f>
        <v>1562331.7123214551</v>
      </c>
      <c r="Y42" s="529">
        <f>Y41/COUNTA(Y25:Y36)</f>
        <v>0.35259935848678786</v>
      </c>
      <c r="Z42" s="540"/>
      <c r="AA42" s="479"/>
      <c r="AB42" s="527" t="s">
        <v>179</v>
      </c>
      <c r="AC42" s="528">
        <f>SQRT(AC41/(COUNT(AC25:AC36)-1))</f>
        <v>3005292.4255454359</v>
      </c>
      <c r="AD42" s="529">
        <f>AD41/COUNTA(AD25:AD36)</f>
        <v>0.88611213196070804</v>
      </c>
      <c r="AE42" s="540"/>
    </row>
    <row r="43" spans="1:31">
      <c r="A43" s="527"/>
      <c r="B43" s="479"/>
      <c r="C43" s="527" t="s">
        <v>180</v>
      </c>
      <c r="D43" s="531"/>
      <c r="E43" s="646">
        <f>E42*0.8</f>
        <v>0.33189727608608116</v>
      </c>
      <c r="F43" s="526"/>
      <c r="G43" s="527"/>
      <c r="H43" s="527" t="s">
        <v>180</v>
      </c>
      <c r="I43" s="531"/>
      <c r="J43" s="646">
        <f>J42*0.8</f>
        <v>0.28126550173332859</v>
      </c>
      <c r="K43" s="526"/>
      <c r="L43" s="527"/>
      <c r="M43" s="527" t="s">
        <v>180</v>
      </c>
      <c r="N43" s="531"/>
      <c r="O43" s="646">
        <f>O42*0.8</f>
        <v>0.21609082035342655</v>
      </c>
      <c r="P43" s="508"/>
      <c r="Q43" s="527"/>
      <c r="R43" s="527" t="s">
        <v>180</v>
      </c>
      <c r="S43" s="531"/>
      <c r="T43" s="646">
        <f>T42*0.8</f>
        <v>0.30215987204950279</v>
      </c>
      <c r="U43" s="518"/>
      <c r="V43" s="479"/>
      <c r="W43" s="527" t="s">
        <v>180</v>
      </c>
      <c r="X43" s="531"/>
      <c r="Y43" s="646">
        <f>Y42*0.8</f>
        <v>0.28207948678943029</v>
      </c>
      <c r="Z43" s="540"/>
      <c r="AA43" s="479"/>
      <c r="AB43" s="527" t="s">
        <v>180</v>
      </c>
      <c r="AC43" s="531"/>
      <c r="AD43" s="646">
        <f>AD42*0.8</f>
        <v>0.70888970556856645</v>
      </c>
      <c r="AE43" s="540"/>
    </row>
    <row r="44" spans="1:31">
      <c r="A44" s="527"/>
      <c r="B44" s="479"/>
      <c r="C44" s="527" t="s">
        <v>262</v>
      </c>
      <c r="D44" s="532">
        <f>COUNT(D25:D36)-1</f>
        <v>10</v>
      </c>
      <c r="E44" s="525"/>
      <c r="F44" s="526"/>
      <c r="G44" s="527"/>
      <c r="H44" s="527" t="s">
        <v>262</v>
      </c>
      <c r="I44" s="532">
        <f>COUNT(I25:I36)-1</f>
        <v>10</v>
      </c>
      <c r="J44" s="525"/>
      <c r="K44" s="526"/>
      <c r="L44" s="527"/>
      <c r="M44" s="527" t="s">
        <v>262</v>
      </c>
      <c r="N44" s="532">
        <f>COUNT(N25:N36)-1</f>
        <v>10</v>
      </c>
      <c r="O44" s="525"/>
      <c r="P44" s="508"/>
      <c r="Q44" s="527"/>
      <c r="R44" s="527" t="s">
        <v>262</v>
      </c>
      <c r="S44" s="532">
        <f>COUNT(S25:S36)-1</f>
        <v>10</v>
      </c>
      <c r="T44" s="525"/>
      <c r="U44" s="518"/>
      <c r="V44" s="479"/>
      <c r="W44" s="527" t="s">
        <v>262</v>
      </c>
      <c r="X44" s="532">
        <f>COUNT(X25:X36)-1</f>
        <v>10</v>
      </c>
      <c r="Y44" s="525"/>
      <c r="Z44" s="540"/>
      <c r="AA44" s="479"/>
      <c r="AB44" s="527" t="s">
        <v>262</v>
      </c>
      <c r="AC44" s="532">
        <f>COUNT(AC25:AC36)-1</f>
        <v>10</v>
      </c>
      <c r="AD44" s="525"/>
      <c r="AE44" s="540"/>
    </row>
    <row r="45" spans="1:31">
      <c r="A45" s="527"/>
      <c r="B45" s="479"/>
      <c r="C45" s="527" t="s">
        <v>263</v>
      </c>
      <c r="D45" s="533">
        <f>_xlfn.T.INV.2T(0.2,D44)</f>
        <v>1.3721836411103363</v>
      </c>
      <c r="E45" s="525"/>
      <c r="F45" s="526"/>
      <c r="G45" s="527"/>
      <c r="H45" s="527" t="s">
        <v>263</v>
      </c>
      <c r="I45" s="533">
        <f>_xlfn.T.INV.2T(0.2,I44)</f>
        <v>1.3721836411103363</v>
      </c>
      <c r="J45" s="525"/>
      <c r="K45" s="526"/>
      <c r="L45" s="527"/>
      <c r="M45" s="527" t="s">
        <v>263</v>
      </c>
      <c r="N45" s="533">
        <f>_xlfn.T.INV.2T(0.2,N44)</f>
        <v>1.3721836411103363</v>
      </c>
      <c r="O45" s="525"/>
      <c r="P45" s="508"/>
      <c r="Q45" s="527"/>
      <c r="R45" s="527" t="s">
        <v>263</v>
      </c>
      <c r="S45" s="533">
        <f>_xlfn.T.INV.2T(0.2,S44)</f>
        <v>1.3721836411103363</v>
      </c>
      <c r="T45" s="525"/>
      <c r="U45" s="518"/>
      <c r="V45" s="479"/>
      <c r="W45" s="527" t="s">
        <v>263</v>
      </c>
      <c r="X45" s="533">
        <f>_xlfn.T.INV.2T(0.2,X44)</f>
        <v>1.3721836411103363</v>
      </c>
      <c r="Y45" s="525"/>
      <c r="Z45" s="540"/>
      <c r="AA45" s="479"/>
      <c r="AB45" s="527" t="s">
        <v>263</v>
      </c>
      <c r="AC45" s="533">
        <f>_xlfn.T.INV.2T(0.2,AC44)</f>
        <v>1.3721836411103363</v>
      </c>
      <c r="AD45" s="525"/>
      <c r="AE45" s="540"/>
    </row>
    <row r="46" spans="1:31">
      <c r="A46" s="665"/>
      <c r="B46" s="665" t="s">
        <v>181</v>
      </c>
      <c r="C46" s="666" t="s">
        <v>182</v>
      </c>
      <c r="D46" s="667">
        <f>D42*D45</f>
        <v>3575360.0504848394</v>
      </c>
      <c r="E46" s="668">
        <f>D46/B36</f>
        <v>1.0189153291270647</v>
      </c>
      <c r="F46" s="669"/>
      <c r="G46" s="665" t="s">
        <v>181</v>
      </c>
      <c r="H46" s="666" t="s">
        <v>182</v>
      </c>
      <c r="I46" s="667">
        <f>I42*I45</f>
        <v>2911198.8732823394</v>
      </c>
      <c r="J46" s="668">
        <f>I46/H36</f>
        <v>0.93737535669828687</v>
      </c>
      <c r="K46" s="669"/>
      <c r="L46" s="665" t="s">
        <v>181</v>
      </c>
      <c r="M46" s="666" t="s">
        <v>182</v>
      </c>
      <c r="N46" s="667">
        <f>N42*N45</f>
        <v>2015701.0848940678</v>
      </c>
      <c r="O46" s="668">
        <f>N46/M36</f>
        <v>0.56835541654424682</v>
      </c>
      <c r="P46" s="670"/>
      <c r="Q46" s="665" t="s">
        <v>181</v>
      </c>
      <c r="R46" s="666" t="s">
        <v>182</v>
      </c>
      <c r="S46" s="667">
        <f>S42*S45</f>
        <v>2723552.8546456392</v>
      </c>
      <c r="T46" s="668">
        <f>S46/R36</f>
        <v>0.72439532008378016</v>
      </c>
      <c r="U46" s="671"/>
      <c r="V46" s="665" t="s">
        <v>181</v>
      </c>
      <c r="W46" s="666" t="s">
        <v>182</v>
      </c>
      <c r="X46" s="667">
        <f>X42*X45</f>
        <v>2143806.0176354009</v>
      </c>
      <c r="Y46" s="668">
        <f>X46/W36</f>
        <v>0.61853404556052771</v>
      </c>
      <c r="Z46" s="672"/>
      <c r="AA46" s="665" t="s">
        <v>181</v>
      </c>
      <c r="AB46" s="666" t="s">
        <v>182</v>
      </c>
      <c r="AC46" s="667">
        <f>AC42*AC45</f>
        <v>4123813.1030862504</v>
      </c>
      <c r="AD46" s="668">
        <f>AC46/AB36</f>
        <v>1.0436669920025243</v>
      </c>
      <c r="AE46" s="672"/>
    </row>
    <row r="47" spans="1:31">
      <c r="A47" s="524"/>
      <c r="B47" s="479"/>
      <c r="C47" s="527"/>
      <c r="D47" s="534"/>
      <c r="E47" s="535"/>
      <c r="F47" s="536"/>
      <c r="G47" s="524"/>
      <c r="I47" s="534"/>
      <c r="J47" s="535"/>
      <c r="K47" s="536"/>
      <c r="L47" s="537"/>
      <c r="N47" s="538"/>
      <c r="O47" s="508"/>
      <c r="P47" s="508"/>
      <c r="Q47" s="508"/>
      <c r="S47" s="540"/>
      <c r="T47" s="540"/>
      <c r="U47" s="518"/>
      <c r="V47" s="540"/>
      <c r="W47" s="540"/>
      <c r="X47" s="540"/>
      <c r="Y47" s="540"/>
    </row>
    <row r="48" spans="1:31" ht="18" customHeight="1" thickBot="1">
      <c r="A48" s="527"/>
      <c r="B48" s="479"/>
      <c r="C48" s="527"/>
      <c r="D48" s="527"/>
      <c r="E48" s="527"/>
      <c r="F48" s="527"/>
      <c r="G48" s="527"/>
      <c r="H48" s="527"/>
      <c r="I48" s="527"/>
      <c r="J48" s="527"/>
      <c r="K48" s="527"/>
      <c r="L48" s="520"/>
      <c r="M48" s="503"/>
      <c r="N48" s="538"/>
      <c r="O48" s="508"/>
      <c r="P48" s="508"/>
      <c r="Q48" s="508"/>
      <c r="R48" s="539"/>
      <c r="S48" s="540"/>
      <c r="T48" s="540"/>
      <c r="U48" s="518"/>
      <c r="V48" s="540"/>
      <c r="W48" s="540"/>
      <c r="X48" s="540"/>
      <c r="Y48" s="540"/>
    </row>
    <row r="49" spans="1:25" ht="18" customHeight="1">
      <c r="A49" s="527"/>
      <c r="B49" s="541"/>
      <c r="C49" s="542" t="s">
        <v>264</v>
      </c>
      <c r="D49" s="543"/>
      <c r="E49" s="520"/>
      <c r="F49" s="520"/>
      <c r="G49" s="520"/>
      <c r="H49" s="520"/>
      <c r="I49" s="520"/>
      <c r="J49" s="520"/>
      <c r="K49" s="520"/>
      <c r="L49" s="544"/>
      <c r="M49" s="503"/>
      <c r="N49" s="538"/>
      <c r="O49" s="508"/>
      <c r="P49" s="508"/>
      <c r="Q49" s="508"/>
      <c r="R49" s="539"/>
      <c r="S49" s="540"/>
      <c r="T49" s="540"/>
      <c r="U49" s="518"/>
      <c r="V49" s="540"/>
      <c r="W49" s="540"/>
      <c r="X49" s="540"/>
      <c r="Y49" s="540"/>
    </row>
    <row r="50" spans="1:25" ht="18" customHeight="1">
      <c r="A50" s="479"/>
      <c r="B50" s="545" t="s">
        <v>265</v>
      </c>
      <c r="C50" s="546">
        <f>D46</f>
        <v>3575360.0504848394</v>
      </c>
      <c r="D50" s="547"/>
      <c r="E50" s="480"/>
      <c r="F50" s="480"/>
      <c r="G50" s="480"/>
      <c r="H50" s="480"/>
      <c r="I50" s="480"/>
      <c r="J50" s="480"/>
      <c r="K50" s="480"/>
      <c r="L50" s="520"/>
      <c r="M50" s="503"/>
      <c r="N50" s="538"/>
      <c r="O50" s="508"/>
      <c r="P50" s="508"/>
      <c r="Q50" s="508"/>
      <c r="R50" s="539"/>
      <c r="S50" s="540"/>
      <c r="T50" s="540"/>
      <c r="U50" s="518"/>
      <c r="V50" s="540"/>
      <c r="W50" s="540"/>
      <c r="X50" s="540"/>
      <c r="Y50" s="540"/>
    </row>
    <row r="51" spans="1:25" ht="18" customHeight="1">
      <c r="A51" s="548"/>
      <c r="B51" s="549" t="s">
        <v>266</v>
      </c>
      <c r="C51" s="546">
        <f>I46</f>
        <v>2911198.8732823394</v>
      </c>
      <c r="D51" s="547"/>
      <c r="E51" s="550" t="s">
        <v>267</v>
      </c>
      <c r="F51" s="551"/>
      <c r="G51" s="551"/>
      <c r="H51" s="551"/>
      <c r="I51" s="551"/>
      <c r="J51" s="551"/>
      <c r="K51" s="551"/>
      <c r="L51" s="520"/>
      <c r="M51" s="503"/>
      <c r="N51" s="538"/>
      <c r="O51" s="508"/>
      <c r="P51" s="508"/>
      <c r="Q51" s="508"/>
      <c r="R51" s="476"/>
      <c r="U51" s="552"/>
    </row>
    <row r="52" spans="1:25" ht="18" customHeight="1">
      <c r="A52" s="548"/>
      <c r="B52" s="549" t="s">
        <v>268</v>
      </c>
      <c r="C52" s="546">
        <f>N46</f>
        <v>2015701.0848940678</v>
      </c>
      <c r="D52" s="553"/>
      <c r="E52" s="551"/>
      <c r="F52" s="551"/>
      <c r="G52" s="551"/>
      <c r="H52" s="551"/>
      <c r="I52" s="551"/>
      <c r="J52" s="551"/>
      <c r="K52" s="551"/>
      <c r="L52" s="520"/>
      <c r="M52" s="503"/>
      <c r="N52" s="538"/>
      <c r="O52" s="508"/>
      <c r="P52" s="508"/>
      <c r="Q52" s="508"/>
      <c r="R52" s="476"/>
      <c r="U52" s="552"/>
    </row>
    <row r="53" spans="1:25" ht="18" customHeight="1">
      <c r="A53" s="548"/>
      <c r="B53" s="549" t="s">
        <v>269</v>
      </c>
      <c r="C53" s="546">
        <f>S46</f>
        <v>2723552.8546456392</v>
      </c>
      <c r="D53" s="553"/>
      <c r="E53" s="551"/>
      <c r="F53" s="551"/>
      <c r="G53" s="551"/>
      <c r="H53" s="551"/>
      <c r="I53" s="551"/>
      <c r="J53" s="551"/>
      <c r="K53" s="551"/>
      <c r="L53" s="520"/>
      <c r="M53" s="503"/>
      <c r="N53" s="538"/>
      <c r="O53" s="508"/>
      <c r="P53" s="508"/>
      <c r="Q53" s="508"/>
      <c r="R53" s="476"/>
      <c r="U53" s="552"/>
    </row>
    <row r="54" spans="1:25" ht="18" customHeight="1">
      <c r="A54" s="551"/>
      <c r="B54" s="549" t="s">
        <v>270</v>
      </c>
      <c r="C54" s="546">
        <f>X46</f>
        <v>2143806.0176354009</v>
      </c>
      <c r="D54" s="553"/>
      <c r="E54" s="551"/>
      <c r="F54" s="551"/>
      <c r="G54" s="551"/>
      <c r="H54" s="551"/>
      <c r="I54" s="551"/>
      <c r="J54" s="551"/>
      <c r="K54" s="551"/>
      <c r="L54" s="473"/>
      <c r="M54" s="503"/>
      <c r="N54" s="1062">
        <v>21000000</v>
      </c>
      <c r="O54" s="508"/>
      <c r="P54" s="508"/>
      <c r="Q54" s="508"/>
      <c r="R54" s="476"/>
      <c r="U54" s="552"/>
    </row>
    <row r="55" spans="1:25" ht="18" customHeight="1">
      <c r="A55" s="551"/>
      <c r="B55" s="549" t="s">
        <v>308</v>
      </c>
      <c r="C55" s="546">
        <f>AC46</f>
        <v>4123813.1030862504</v>
      </c>
      <c r="D55" s="553"/>
      <c r="E55" s="551"/>
      <c r="F55" s="551"/>
      <c r="G55" s="551"/>
      <c r="H55" s="551"/>
      <c r="I55" s="551"/>
      <c r="J55" s="551"/>
      <c r="K55" s="551"/>
      <c r="L55" s="473"/>
      <c r="M55" s="503"/>
      <c r="N55" s="1062"/>
      <c r="O55" s="508"/>
      <c r="P55" s="508"/>
      <c r="Q55" s="508"/>
      <c r="R55" s="476"/>
      <c r="U55" s="552"/>
    </row>
    <row r="56" spans="1:25" ht="18" customHeight="1" thickBot="1">
      <c r="A56" s="527"/>
      <c r="B56" s="554"/>
      <c r="C56" s="555"/>
      <c r="D56" s="556"/>
      <c r="E56" s="527"/>
      <c r="F56" s="527"/>
      <c r="G56" s="527"/>
      <c r="H56" s="527"/>
      <c r="I56" s="527"/>
      <c r="J56" s="527"/>
      <c r="K56" s="527"/>
      <c r="L56" s="557"/>
      <c r="M56" s="558"/>
      <c r="N56" s="1062">
        <f>N54-N46</f>
        <v>18984298.915105931</v>
      </c>
      <c r="O56" s="508"/>
      <c r="P56" s="508"/>
      <c r="Q56" s="508"/>
      <c r="R56" s="476"/>
      <c r="U56" s="552"/>
    </row>
    <row r="57" spans="1:25" ht="18" customHeight="1">
      <c r="A57" s="527"/>
      <c r="B57" s="479"/>
      <c r="C57" s="527"/>
      <c r="D57" s="527"/>
      <c r="E57" s="527"/>
      <c r="F57" s="527"/>
      <c r="G57" s="527"/>
      <c r="H57" s="527"/>
      <c r="I57" s="527"/>
      <c r="J57" s="527"/>
      <c r="K57" s="527"/>
      <c r="L57" s="557"/>
      <c r="M57" s="558"/>
      <c r="N57" s="1062">
        <f>N54+N46</f>
        <v>23015701.084894069</v>
      </c>
      <c r="O57" s="508"/>
      <c r="P57" s="508"/>
      <c r="Q57" s="508"/>
      <c r="R57" s="476"/>
      <c r="U57" s="552"/>
    </row>
    <row r="58" spans="1:25" ht="18" customHeight="1">
      <c r="A58" s="527"/>
      <c r="B58" s="479"/>
      <c r="C58" s="527"/>
      <c r="D58" s="527"/>
      <c r="E58" s="527"/>
      <c r="F58" s="527"/>
      <c r="G58" s="527"/>
      <c r="H58" s="527"/>
      <c r="I58" s="527"/>
      <c r="J58" s="527"/>
      <c r="K58" s="527"/>
      <c r="L58" s="557"/>
      <c r="M58" s="559"/>
      <c r="N58" s="1062"/>
      <c r="O58" s="508"/>
      <c r="P58" s="508"/>
      <c r="Q58" s="508"/>
      <c r="R58" s="476"/>
      <c r="U58" s="552"/>
    </row>
    <row r="59" spans="1:25" ht="18" customHeight="1">
      <c r="A59" s="520"/>
      <c r="B59" s="480"/>
      <c r="C59" s="520"/>
      <c r="D59" s="520"/>
      <c r="E59" s="520"/>
      <c r="F59" s="520"/>
      <c r="G59" s="520"/>
      <c r="H59" s="520"/>
      <c r="I59" s="520"/>
      <c r="J59" s="520"/>
      <c r="K59" s="520"/>
      <c r="L59" s="561"/>
      <c r="M59" s="562"/>
      <c r="N59" s="1062"/>
      <c r="O59" s="563"/>
      <c r="P59" s="563"/>
      <c r="Q59" s="563"/>
      <c r="R59" s="476"/>
      <c r="U59" s="552"/>
    </row>
    <row r="60" spans="1:25" ht="18" customHeight="1">
      <c r="A60" s="564"/>
      <c r="B60" s="565"/>
      <c r="C60" s="566"/>
      <c r="D60" s="520"/>
      <c r="E60" s="520"/>
      <c r="F60" s="520"/>
      <c r="G60" s="520"/>
      <c r="H60" s="520"/>
      <c r="I60" s="520"/>
      <c r="J60" s="520"/>
      <c r="K60" s="520"/>
      <c r="L60" s="561"/>
      <c r="M60" s="567"/>
      <c r="N60" s="560"/>
      <c r="O60" s="568"/>
      <c r="P60" s="568"/>
      <c r="Q60" s="568"/>
      <c r="R60" s="476"/>
      <c r="U60" s="552"/>
    </row>
    <row r="61" spans="1:25" ht="18">
      <c r="A61" s="566"/>
      <c r="B61" s="566"/>
      <c r="C61" s="566"/>
      <c r="D61" s="520"/>
      <c r="E61" s="520"/>
      <c r="F61" s="520"/>
      <c r="G61" s="520"/>
      <c r="H61" s="520"/>
      <c r="I61" s="520"/>
      <c r="J61" s="520"/>
      <c r="K61" s="520"/>
      <c r="L61" s="561"/>
      <c r="M61" s="526"/>
      <c r="N61" s="526"/>
      <c r="O61" s="569"/>
      <c r="P61" s="569"/>
      <c r="Q61" s="569"/>
      <c r="R61" s="476"/>
      <c r="U61" s="552"/>
    </row>
    <row r="62" spans="1:25" ht="18">
      <c r="A62" s="570"/>
      <c r="B62" s="570"/>
      <c r="C62" s="571"/>
      <c r="D62" s="520"/>
      <c r="E62" s="520"/>
      <c r="F62" s="520"/>
      <c r="G62" s="520"/>
      <c r="H62" s="520"/>
      <c r="I62" s="520"/>
      <c r="J62" s="520"/>
      <c r="K62" s="520"/>
      <c r="L62" s="561"/>
      <c r="M62" s="567"/>
      <c r="N62" s="530"/>
      <c r="O62" s="568"/>
      <c r="P62" s="568"/>
      <c r="Q62" s="568"/>
      <c r="R62" s="476"/>
      <c r="U62" s="552"/>
    </row>
    <row r="63" spans="1:25" ht="18">
      <c r="A63" s="570"/>
      <c r="B63" s="570"/>
      <c r="C63" s="571"/>
      <c r="D63" s="520"/>
      <c r="E63" s="520"/>
      <c r="F63" s="520"/>
      <c r="G63" s="520"/>
      <c r="H63" s="520"/>
      <c r="I63" s="520"/>
      <c r="J63" s="520"/>
      <c r="K63" s="520"/>
      <c r="L63" s="561"/>
      <c r="M63" s="572"/>
      <c r="N63" s="560"/>
      <c r="O63" s="568"/>
      <c r="P63" s="568"/>
      <c r="Q63" s="568"/>
      <c r="R63" s="476"/>
      <c r="U63" s="552"/>
    </row>
    <row r="64" spans="1:25" ht="18">
      <c r="A64" s="570"/>
      <c r="B64" s="570"/>
      <c r="C64" s="571"/>
      <c r="D64" s="520"/>
      <c r="E64" s="520"/>
      <c r="F64" s="520"/>
      <c r="G64" s="520"/>
      <c r="H64" s="520"/>
      <c r="I64" s="520"/>
      <c r="J64" s="520"/>
      <c r="K64" s="520"/>
      <c r="L64" s="561"/>
      <c r="M64" s="562"/>
      <c r="N64" s="560"/>
      <c r="O64" s="563"/>
      <c r="P64" s="563"/>
      <c r="Q64" s="563"/>
      <c r="R64" s="476"/>
      <c r="U64" s="552"/>
    </row>
    <row r="65" spans="1:23" ht="18">
      <c r="A65" s="570"/>
      <c r="B65" s="570"/>
      <c r="C65" s="571"/>
      <c r="D65" s="520"/>
      <c r="E65" s="520"/>
      <c r="F65" s="520"/>
      <c r="G65" s="520"/>
      <c r="H65" s="520"/>
      <c r="I65" s="520"/>
      <c r="J65" s="520"/>
      <c r="K65" s="520"/>
      <c r="L65" s="561"/>
      <c r="M65" s="567"/>
      <c r="N65" s="560"/>
      <c r="O65" s="573"/>
      <c r="P65" s="573"/>
      <c r="Q65" s="573"/>
      <c r="R65" s="476"/>
      <c r="U65" s="552"/>
    </row>
    <row r="66" spans="1:23" ht="18">
      <c r="A66" s="570"/>
      <c r="B66" s="570"/>
      <c r="C66" s="571"/>
      <c r="D66" s="520"/>
      <c r="E66" s="520"/>
      <c r="F66" s="520"/>
      <c r="G66" s="520"/>
      <c r="H66" s="520"/>
      <c r="I66" s="520"/>
      <c r="J66" s="520"/>
      <c r="K66" s="520"/>
      <c r="L66" s="561"/>
      <c r="M66" s="544"/>
      <c r="N66" s="544"/>
      <c r="O66" s="574"/>
      <c r="P66" s="574"/>
      <c r="Q66" s="574"/>
      <c r="R66" s="476"/>
      <c r="U66" s="552"/>
    </row>
    <row r="67" spans="1:23" ht="18">
      <c r="A67" s="570"/>
      <c r="B67" s="570"/>
      <c r="C67" s="571"/>
      <c r="D67" s="520"/>
      <c r="E67" s="520"/>
      <c r="F67" s="520"/>
      <c r="G67" s="520"/>
      <c r="H67" s="520"/>
      <c r="I67" s="520"/>
      <c r="J67" s="520"/>
      <c r="K67" s="520"/>
      <c r="L67" s="561"/>
      <c r="M67" s="520"/>
      <c r="N67" s="520"/>
      <c r="O67" s="573"/>
      <c r="P67" s="573"/>
      <c r="Q67" s="573"/>
      <c r="R67" s="476"/>
      <c r="U67" s="575"/>
      <c r="V67" s="575"/>
      <c r="W67" s="575"/>
    </row>
    <row r="68" spans="1:23" ht="18">
      <c r="A68" s="570"/>
      <c r="B68" s="570"/>
      <c r="C68" s="571"/>
      <c r="D68" s="520"/>
      <c r="E68" s="520"/>
      <c r="F68" s="520"/>
      <c r="G68" s="520"/>
      <c r="H68" s="520"/>
      <c r="I68" s="520"/>
      <c r="J68" s="520"/>
      <c r="K68" s="520"/>
      <c r="L68" s="561"/>
      <c r="M68" s="520"/>
      <c r="N68" s="520"/>
      <c r="O68" s="573"/>
      <c r="P68" s="573"/>
      <c r="Q68" s="573"/>
      <c r="R68" s="476"/>
      <c r="U68" s="575"/>
      <c r="V68" s="575"/>
      <c r="W68" s="575"/>
    </row>
    <row r="69" spans="1:23" ht="18">
      <c r="A69" s="570"/>
      <c r="B69" s="570"/>
      <c r="C69" s="571"/>
      <c r="D69" s="520"/>
      <c r="E69" s="520"/>
      <c r="F69" s="520"/>
      <c r="G69" s="520"/>
      <c r="H69" s="520"/>
      <c r="I69" s="520"/>
      <c r="J69" s="520"/>
      <c r="K69" s="520"/>
      <c r="L69" s="561"/>
      <c r="M69" s="520"/>
      <c r="N69" s="520"/>
      <c r="O69" s="573"/>
      <c r="P69" s="573"/>
      <c r="Q69" s="573"/>
      <c r="R69" s="476"/>
      <c r="U69" s="575"/>
      <c r="V69" s="575"/>
      <c r="W69" s="575"/>
    </row>
    <row r="70" spans="1:23" ht="18">
      <c r="A70" s="570"/>
      <c r="B70" s="570"/>
      <c r="C70" s="571"/>
      <c r="D70" s="520"/>
      <c r="E70" s="520"/>
      <c r="F70" s="520"/>
      <c r="G70" s="520"/>
      <c r="H70" s="520"/>
      <c r="I70" s="520"/>
      <c r="J70" s="520"/>
      <c r="K70" s="520"/>
      <c r="L70" s="561"/>
      <c r="M70" s="520"/>
      <c r="N70" s="520"/>
      <c r="O70" s="573"/>
      <c r="P70" s="573"/>
      <c r="Q70" s="573"/>
      <c r="R70" s="476"/>
      <c r="U70" s="575"/>
      <c r="V70" s="575"/>
      <c r="W70" s="575"/>
    </row>
    <row r="71" spans="1:23" ht="18">
      <c r="A71" s="570"/>
      <c r="B71" s="570"/>
      <c r="C71" s="571"/>
      <c r="D71" s="520"/>
      <c r="E71" s="520"/>
      <c r="F71" s="520"/>
      <c r="G71" s="520"/>
      <c r="H71" s="520"/>
      <c r="I71" s="520"/>
      <c r="J71" s="520"/>
      <c r="K71" s="520"/>
      <c r="L71" s="561"/>
      <c r="M71" s="520"/>
      <c r="N71" s="520"/>
      <c r="O71" s="573"/>
      <c r="P71" s="573"/>
      <c r="Q71" s="573"/>
      <c r="R71" s="476"/>
      <c r="U71" s="575"/>
      <c r="V71" s="575"/>
      <c r="W71" s="575"/>
    </row>
    <row r="72" spans="1:23" ht="18">
      <c r="A72" s="570"/>
      <c r="B72" s="570"/>
      <c r="C72" s="571"/>
      <c r="D72" s="520"/>
      <c r="E72" s="520"/>
      <c r="F72" s="520"/>
      <c r="G72" s="520"/>
      <c r="H72" s="520"/>
      <c r="I72" s="520"/>
      <c r="J72" s="520"/>
      <c r="K72" s="520"/>
      <c r="L72" s="561"/>
      <c r="M72" s="561"/>
      <c r="N72" s="561"/>
      <c r="O72" s="576"/>
      <c r="P72" s="576"/>
      <c r="Q72" s="576"/>
    </row>
    <row r="73" spans="1:23" ht="18">
      <c r="A73" s="570"/>
      <c r="B73" s="570"/>
      <c r="C73" s="571"/>
      <c r="D73" s="520"/>
      <c r="E73" s="577"/>
      <c r="F73" s="577"/>
      <c r="G73" s="577"/>
      <c r="H73" s="577"/>
      <c r="I73" s="577"/>
      <c r="J73" s="577"/>
      <c r="K73" s="577"/>
      <c r="L73" s="561"/>
      <c r="M73" s="561"/>
      <c r="N73" s="561"/>
      <c r="O73" s="576"/>
      <c r="P73" s="576"/>
      <c r="Q73" s="576"/>
    </row>
    <row r="74" spans="1:23" ht="18">
      <c r="A74" s="570"/>
      <c r="B74" s="570"/>
      <c r="C74" s="571"/>
      <c r="D74" s="520"/>
      <c r="E74" s="520"/>
      <c r="F74" s="520"/>
      <c r="G74" s="520"/>
      <c r="H74" s="520"/>
      <c r="I74" s="520"/>
      <c r="J74" s="520"/>
      <c r="K74" s="520"/>
      <c r="L74" s="561"/>
      <c r="M74" s="561"/>
      <c r="N74" s="561"/>
      <c r="O74" s="576"/>
      <c r="P74" s="576"/>
      <c r="Q74" s="576"/>
    </row>
    <row r="75" spans="1:23" ht="18">
      <c r="A75" s="570"/>
      <c r="B75" s="570"/>
      <c r="C75" s="571"/>
      <c r="D75" s="520"/>
      <c r="E75" s="520"/>
      <c r="F75" s="520"/>
      <c r="G75" s="520"/>
      <c r="H75" s="520"/>
      <c r="I75" s="520"/>
      <c r="J75" s="520"/>
      <c r="K75" s="520"/>
      <c r="L75" s="561"/>
      <c r="M75" s="561"/>
      <c r="N75" s="561"/>
      <c r="O75" s="576"/>
      <c r="P75" s="576"/>
      <c r="Q75" s="576"/>
    </row>
    <row r="76" spans="1:23" ht="18">
      <c r="A76" s="570"/>
      <c r="B76" s="570"/>
      <c r="C76" s="571"/>
      <c r="D76" s="520"/>
      <c r="E76" s="520"/>
      <c r="F76" s="520"/>
      <c r="G76" s="520"/>
      <c r="H76" s="520"/>
      <c r="I76" s="520"/>
      <c r="J76" s="520"/>
      <c r="K76" s="520"/>
      <c r="L76" s="561"/>
      <c r="M76" s="561"/>
      <c r="N76" s="561"/>
      <c r="O76" s="576"/>
      <c r="P76" s="576"/>
      <c r="Q76" s="576"/>
    </row>
    <row r="77" spans="1:23" ht="18">
      <c r="A77" s="570"/>
      <c r="B77" s="570"/>
      <c r="C77" s="571"/>
      <c r="D77" s="520"/>
      <c r="E77" s="520"/>
      <c r="F77" s="520"/>
      <c r="G77" s="520"/>
      <c r="H77" s="520"/>
      <c r="I77" s="520"/>
      <c r="J77" s="520"/>
      <c r="K77" s="520"/>
      <c r="L77" s="561"/>
      <c r="M77" s="561"/>
      <c r="N77" s="561"/>
      <c r="O77" s="576"/>
      <c r="P77" s="576"/>
      <c r="Q77" s="576"/>
    </row>
    <row r="78" spans="1:23" ht="18">
      <c r="A78" s="570"/>
      <c r="B78" s="570"/>
      <c r="C78" s="571"/>
      <c r="D78" s="520"/>
      <c r="E78" s="520"/>
      <c r="F78" s="520"/>
      <c r="G78" s="520"/>
      <c r="H78" s="520"/>
      <c r="I78" s="520"/>
      <c r="J78" s="520"/>
      <c r="K78" s="520"/>
      <c r="L78" s="561"/>
      <c r="M78" s="561"/>
      <c r="N78" s="561"/>
      <c r="O78" s="576"/>
      <c r="P78" s="576"/>
      <c r="Q78" s="576"/>
    </row>
    <row r="79" spans="1:23" ht="18">
      <c r="A79" s="570"/>
      <c r="B79" s="570"/>
      <c r="C79" s="571"/>
      <c r="D79" s="520"/>
      <c r="E79" s="520"/>
      <c r="F79" s="520"/>
      <c r="G79" s="520"/>
      <c r="H79" s="520"/>
      <c r="I79" s="520"/>
      <c r="J79" s="520"/>
      <c r="K79" s="520"/>
      <c r="L79" s="561"/>
      <c r="M79" s="561"/>
      <c r="N79" s="561"/>
      <c r="O79" s="576"/>
      <c r="P79" s="576"/>
      <c r="Q79" s="576"/>
    </row>
    <row r="80" spans="1:23" ht="18">
      <c r="A80" s="570"/>
      <c r="B80" s="570"/>
      <c r="C80" s="571"/>
      <c r="D80" s="520"/>
      <c r="E80" s="520"/>
      <c r="F80" s="520"/>
      <c r="G80" s="520"/>
      <c r="H80" s="520"/>
      <c r="I80" s="520"/>
      <c r="J80" s="520"/>
      <c r="K80" s="520"/>
      <c r="L80" s="561"/>
      <c r="M80" s="561"/>
      <c r="N80" s="561"/>
      <c r="O80" s="576"/>
      <c r="P80" s="576"/>
      <c r="Q80" s="576"/>
    </row>
    <row r="81" spans="1:17" ht="18">
      <c r="A81" s="570"/>
      <c r="B81" s="570"/>
      <c r="C81" s="571"/>
      <c r="D81" s="520"/>
      <c r="E81" s="520"/>
      <c r="F81" s="520"/>
      <c r="G81" s="520"/>
      <c r="H81" s="520"/>
      <c r="I81" s="520"/>
      <c r="J81" s="520"/>
      <c r="K81" s="520"/>
      <c r="L81" s="561"/>
      <c r="M81" s="561"/>
      <c r="N81" s="561"/>
      <c r="O81" s="576"/>
      <c r="P81" s="576"/>
      <c r="Q81" s="576"/>
    </row>
    <row r="82" spans="1:17" ht="18">
      <c r="A82" s="570"/>
      <c r="B82" s="570"/>
      <c r="C82" s="571"/>
      <c r="D82" s="520"/>
      <c r="E82" s="520"/>
      <c r="F82" s="520"/>
      <c r="G82" s="520"/>
      <c r="H82" s="520"/>
      <c r="I82" s="520"/>
      <c r="J82" s="520"/>
      <c r="K82" s="520"/>
      <c r="L82" s="561"/>
      <c r="M82" s="561"/>
      <c r="N82" s="561"/>
      <c r="O82" s="576"/>
      <c r="P82" s="576"/>
      <c r="Q82" s="576"/>
    </row>
    <row r="83" spans="1:17" ht="18">
      <c r="A83" s="570"/>
      <c r="B83" s="570"/>
      <c r="C83" s="571"/>
      <c r="D83" s="520"/>
      <c r="E83" s="520"/>
      <c r="F83" s="520"/>
      <c r="G83" s="520"/>
      <c r="H83" s="520"/>
      <c r="I83" s="520"/>
      <c r="J83" s="520"/>
      <c r="K83" s="520"/>
      <c r="L83" s="561"/>
      <c r="M83" s="561"/>
      <c r="N83" s="561"/>
      <c r="O83" s="576"/>
      <c r="P83" s="576"/>
      <c r="Q83" s="576"/>
    </row>
    <row r="84" spans="1:17" ht="18">
      <c r="A84" s="570"/>
      <c r="B84" s="570"/>
      <c r="C84" s="571"/>
      <c r="D84" s="520"/>
      <c r="E84" s="520"/>
      <c r="F84" s="520"/>
      <c r="G84" s="520"/>
      <c r="H84" s="520"/>
      <c r="I84" s="520"/>
      <c r="J84" s="520"/>
      <c r="K84" s="520"/>
      <c r="L84" s="561"/>
      <c r="M84" s="561"/>
      <c r="N84" s="561"/>
      <c r="O84" s="576"/>
      <c r="P84" s="576"/>
      <c r="Q84" s="576"/>
    </row>
    <row r="85" spans="1:17" ht="18">
      <c r="A85" s="570"/>
      <c r="B85" s="570"/>
      <c r="C85" s="571"/>
      <c r="D85" s="520"/>
      <c r="E85" s="520"/>
      <c r="F85" s="520"/>
      <c r="G85" s="520"/>
      <c r="H85" s="520"/>
      <c r="I85" s="520"/>
      <c r="J85" s="520"/>
      <c r="K85" s="520"/>
      <c r="L85" s="561"/>
      <c r="M85" s="561"/>
      <c r="N85" s="561"/>
      <c r="O85" s="576"/>
      <c r="P85" s="576"/>
      <c r="Q85" s="576"/>
    </row>
    <row r="86" spans="1:17" ht="18">
      <c r="A86" s="570"/>
      <c r="B86" s="570"/>
      <c r="C86" s="571"/>
      <c r="D86" s="520"/>
      <c r="E86" s="520"/>
      <c r="F86" s="520"/>
      <c r="G86" s="520"/>
      <c r="H86" s="520"/>
      <c r="I86" s="520"/>
      <c r="J86" s="520"/>
      <c r="K86" s="520"/>
      <c r="L86" s="561"/>
      <c r="M86" s="561"/>
      <c r="N86" s="561"/>
      <c r="O86" s="576"/>
      <c r="P86" s="576"/>
      <c r="Q86" s="576"/>
    </row>
    <row r="87" spans="1:17" ht="18">
      <c r="A87" s="570"/>
      <c r="B87" s="570"/>
      <c r="C87" s="571"/>
      <c r="D87" s="520"/>
      <c r="E87" s="520"/>
      <c r="F87" s="520"/>
      <c r="G87" s="520"/>
      <c r="H87" s="520"/>
      <c r="I87" s="520"/>
      <c r="J87" s="520"/>
      <c r="K87" s="520"/>
      <c r="L87" s="561"/>
      <c r="M87" s="561"/>
      <c r="N87" s="561"/>
      <c r="O87" s="576"/>
      <c r="P87" s="576"/>
      <c r="Q87" s="576"/>
    </row>
    <row r="88" spans="1:17" ht="18">
      <c r="A88" s="570"/>
      <c r="B88" s="570"/>
      <c r="C88" s="571"/>
      <c r="D88" s="520"/>
      <c r="E88" s="520"/>
      <c r="F88" s="520"/>
      <c r="G88" s="520"/>
      <c r="H88" s="520"/>
      <c r="I88" s="520"/>
      <c r="J88" s="520"/>
      <c r="K88" s="520"/>
      <c r="L88" s="561"/>
      <c r="M88" s="561"/>
      <c r="N88" s="561"/>
      <c r="O88" s="576"/>
      <c r="P88" s="576"/>
      <c r="Q88" s="576"/>
    </row>
    <row r="89" spans="1:17" ht="18">
      <c r="A89" s="570"/>
      <c r="B89" s="570"/>
      <c r="C89" s="571"/>
      <c r="D89" s="520"/>
      <c r="E89" s="520"/>
      <c r="F89" s="520"/>
      <c r="G89" s="520"/>
      <c r="H89" s="520"/>
      <c r="I89" s="520"/>
      <c r="J89" s="520"/>
      <c r="K89" s="520"/>
      <c r="L89" s="561"/>
      <c r="M89" s="561"/>
      <c r="N89" s="561"/>
      <c r="O89" s="576"/>
      <c r="P89" s="576"/>
      <c r="Q89" s="576"/>
    </row>
    <row r="90" spans="1:17" ht="18">
      <c r="A90" s="570"/>
      <c r="B90" s="570"/>
      <c r="C90" s="571"/>
      <c r="D90" s="520"/>
      <c r="E90" s="520"/>
      <c r="F90" s="520"/>
      <c r="G90" s="520"/>
      <c r="H90" s="520"/>
      <c r="I90" s="520"/>
      <c r="J90" s="520"/>
      <c r="K90" s="520"/>
      <c r="L90" s="561"/>
      <c r="M90" s="561"/>
      <c r="N90" s="561"/>
      <c r="O90" s="576"/>
      <c r="P90" s="576"/>
      <c r="Q90" s="576"/>
    </row>
    <row r="91" spans="1:17" ht="18">
      <c r="A91" s="570"/>
      <c r="B91" s="570"/>
      <c r="C91" s="571"/>
      <c r="D91" s="520"/>
      <c r="E91" s="520"/>
      <c r="F91" s="520"/>
      <c r="G91" s="520"/>
      <c r="H91" s="520"/>
      <c r="I91" s="520"/>
      <c r="J91" s="520"/>
      <c r="K91" s="520"/>
      <c r="L91" s="561"/>
      <c r="M91" s="561"/>
      <c r="N91" s="561"/>
      <c r="O91" s="576"/>
      <c r="P91" s="576"/>
      <c r="Q91" s="576"/>
    </row>
    <row r="92" spans="1:17" ht="18">
      <c r="A92" s="570"/>
      <c r="B92" s="570"/>
      <c r="C92" s="571"/>
      <c r="D92" s="520"/>
      <c r="E92" s="520"/>
      <c r="F92" s="520"/>
      <c r="G92" s="520"/>
      <c r="H92" s="520"/>
      <c r="I92" s="520"/>
      <c r="J92" s="520"/>
      <c r="K92" s="520"/>
      <c r="L92" s="561"/>
      <c r="M92" s="561"/>
      <c r="N92" s="561"/>
      <c r="O92" s="576"/>
      <c r="P92" s="576"/>
      <c r="Q92" s="576"/>
    </row>
    <row r="93" spans="1:17" ht="18">
      <c r="A93" s="570"/>
      <c r="B93" s="570"/>
      <c r="C93" s="571"/>
      <c r="D93" s="520"/>
      <c r="E93" s="520"/>
      <c r="F93" s="520"/>
      <c r="G93" s="520"/>
      <c r="H93" s="520"/>
      <c r="I93" s="520"/>
      <c r="J93" s="520"/>
      <c r="K93" s="520"/>
      <c r="L93" s="561"/>
      <c r="M93" s="561"/>
      <c r="N93" s="561"/>
      <c r="O93" s="576"/>
      <c r="P93" s="576"/>
      <c r="Q93" s="576"/>
    </row>
    <row r="94" spans="1:17" ht="18">
      <c r="A94" s="570"/>
      <c r="B94" s="570"/>
      <c r="C94" s="571"/>
      <c r="D94" s="520"/>
      <c r="E94" s="520"/>
      <c r="F94" s="520"/>
      <c r="G94" s="520"/>
      <c r="H94" s="520"/>
      <c r="I94" s="520"/>
      <c r="J94" s="520"/>
      <c r="K94" s="520"/>
      <c r="L94" s="561"/>
      <c r="M94" s="561"/>
      <c r="N94" s="561"/>
      <c r="O94" s="576"/>
      <c r="P94" s="576"/>
      <c r="Q94" s="576"/>
    </row>
    <row r="95" spans="1:17" ht="18">
      <c r="A95" s="570"/>
      <c r="B95" s="578"/>
      <c r="C95" s="520"/>
      <c r="D95" s="520"/>
      <c r="E95" s="520"/>
      <c r="F95" s="520"/>
      <c r="G95" s="520"/>
      <c r="H95" s="520"/>
      <c r="I95" s="520"/>
      <c r="J95" s="520"/>
      <c r="K95" s="520"/>
      <c r="L95" s="561"/>
      <c r="M95" s="561"/>
      <c r="N95" s="561"/>
      <c r="O95" s="576"/>
      <c r="P95" s="576"/>
      <c r="Q95" s="576"/>
    </row>
    <row r="96" spans="1:17">
      <c r="A96" s="480"/>
      <c r="B96" s="520"/>
      <c r="C96" s="520"/>
      <c r="D96" s="520"/>
      <c r="E96" s="520"/>
      <c r="F96" s="520"/>
      <c r="G96" s="520"/>
      <c r="H96" s="520"/>
      <c r="I96" s="520"/>
      <c r="J96" s="520"/>
      <c r="K96" s="520"/>
      <c r="L96" s="561"/>
      <c r="M96" s="561"/>
      <c r="N96" s="561"/>
      <c r="O96" s="576"/>
      <c r="P96" s="576"/>
      <c r="Q96" s="576"/>
    </row>
    <row r="97" spans="1:17">
      <c r="A97" s="480"/>
      <c r="B97" s="520"/>
      <c r="C97" s="579"/>
      <c r="D97" s="573"/>
      <c r="E97" s="573"/>
      <c r="F97" s="573"/>
      <c r="G97" s="573"/>
      <c r="H97" s="573"/>
      <c r="I97" s="573"/>
      <c r="J97" s="573"/>
      <c r="K97" s="573"/>
      <c r="L97" s="576"/>
      <c r="M97" s="576"/>
      <c r="N97" s="576"/>
      <c r="O97" s="576"/>
      <c r="P97" s="576"/>
      <c r="Q97" s="576"/>
    </row>
    <row r="98" spans="1:17">
      <c r="A98" s="480"/>
      <c r="B98" s="480"/>
      <c r="C98" s="579"/>
      <c r="D98" s="573"/>
      <c r="E98" s="573"/>
      <c r="F98" s="573"/>
      <c r="G98" s="573"/>
      <c r="H98" s="573"/>
      <c r="I98" s="573"/>
      <c r="J98" s="573"/>
      <c r="K98" s="573"/>
      <c r="L98" s="576"/>
      <c r="M98" s="576"/>
      <c r="N98" s="576"/>
      <c r="O98" s="576"/>
      <c r="P98" s="576"/>
      <c r="Q98" s="576"/>
    </row>
    <row r="99" spans="1:17">
      <c r="A99" s="480"/>
      <c r="B99" s="520"/>
      <c r="C99" s="580"/>
      <c r="D99" s="573"/>
      <c r="E99" s="573"/>
      <c r="F99" s="573"/>
      <c r="G99" s="573"/>
      <c r="H99" s="573"/>
      <c r="I99" s="573"/>
      <c r="J99" s="573"/>
      <c r="K99" s="573"/>
      <c r="L99" s="576"/>
      <c r="M99" s="576"/>
      <c r="N99" s="576"/>
      <c r="O99" s="576"/>
      <c r="P99" s="576"/>
      <c r="Q99" s="576"/>
    </row>
    <row r="100" spans="1:17">
      <c r="A100" s="480"/>
      <c r="B100" s="520"/>
      <c r="C100" s="579"/>
      <c r="D100" s="573"/>
      <c r="E100" s="573"/>
      <c r="F100" s="573"/>
      <c r="G100" s="573"/>
      <c r="H100" s="573"/>
      <c r="I100" s="573"/>
      <c r="J100" s="573"/>
      <c r="K100" s="573"/>
      <c r="L100" s="576"/>
      <c r="M100" s="576"/>
      <c r="N100" s="576"/>
      <c r="O100" s="576"/>
      <c r="P100" s="576"/>
      <c r="Q100" s="576"/>
    </row>
    <row r="101" spans="1:17">
      <c r="A101" s="520"/>
      <c r="B101" s="480"/>
      <c r="C101" s="520"/>
      <c r="D101" s="581"/>
      <c r="E101" s="573"/>
      <c r="F101" s="573"/>
      <c r="G101" s="573"/>
      <c r="H101" s="573"/>
      <c r="I101" s="573"/>
      <c r="J101" s="573"/>
      <c r="K101" s="573"/>
      <c r="L101" s="576"/>
      <c r="M101" s="576"/>
      <c r="N101" s="576"/>
      <c r="O101" s="576"/>
      <c r="P101" s="576"/>
      <c r="Q101" s="576"/>
    </row>
    <row r="102" spans="1:17">
      <c r="A102" s="520"/>
      <c r="B102" s="480"/>
      <c r="C102" s="520"/>
      <c r="D102" s="581"/>
      <c r="E102" s="573"/>
      <c r="F102" s="573"/>
      <c r="G102" s="573"/>
      <c r="H102" s="573"/>
      <c r="I102" s="573"/>
      <c r="J102" s="573"/>
      <c r="K102" s="573"/>
      <c r="L102" s="576"/>
      <c r="M102" s="576"/>
      <c r="N102" s="576"/>
      <c r="O102" s="576"/>
      <c r="P102" s="576"/>
      <c r="Q102" s="576"/>
    </row>
    <row r="103" spans="1:17">
      <c r="A103" s="520"/>
      <c r="B103" s="480"/>
      <c r="C103" s="480"/>
      <c r="D103" s="497"/>
      <c r="E103" s="573"/>
      <c r="F103" s="573"/>
      <c r="G103" s="573"/>
      <c r="H103" s="573"/>
      <c r="I103" s="573"/>
      <c r="J103" s="573"/>
      <c r="K103" s="573"/>
      <c r="L103" s="576"/>
      <c r="M103" s="576"/>
      <c r="N103" s="576"/>
      <c r="O103" s="576"/>
      <c r="P103" s="576"/>
      <c r="Q103" s="576"/>
    </row>
    <row r="104" spans="1:17" ht="18">
      <c r="A104" s="564"/>
      <c r="B104" s="490"/>
      <c r="C104" s="480"/>
      <c r="D104" s="573"/>
      <c r="E104" s="573"/>
      <c r="F104" s="573"/>
      <c r="G104" s="573"/>
      <c r="H104" s="573"/>
      <c r="I104" s="573"/>
      <c r="J104" s="573"/>
      <c r="K104" s="573"/>
      <c r="L104" s="576"/>
      <c r="M104" s="576"/>
      <c r="N104" s="576"/>
      <c r="O104" s="576"/>
      <c r="P104" s="576"/>
      <c r="Q104" s="576"/>
    </row>
    <row r="105" spans="1:17">
      <c r="A105" s="480"/>
      <c r="B105" s="480"/>
      <c r="C105" s="480"/>
      <c r="D105" s="573"/>
      <c r="E105" s="573"/>
      <c r="F105" s="573"/>
      <c r="G105" s="573"/>
      <c r="H105" s="573"/>
      <c r="I105" s="573"/>
      <c r="J105" s="573"/>
      <c r="K105" s="573"/>
      <c r="L105" s="576"/>
      <c r="M105" s="576"/>
      <c r="N105" s="576"/>
      <c r="O105" s="576"/>
      <c r="P105" s="576"/>
      <c r="Q105" s="576"/>
    </row>
    <row r="106" spans="1:17" ht="18">
      <c r="A106" s="570"/>
      <c r="B106" s="570"/>
      <c r="C106" s="571"/>
      <c r="D106" s="573"/>
      <c r="E106" s="573"/>
      <c r="F106" s="573"/>
      <c r="G106" s="573"/>
      <c r="H106" s="573"/>
      <c r="I106" s="573"/>
      <c r="J106" s="573"/>
      <c r="K106" s="573"/>
      <c r="L106" s="576"/>
      <c r="M106" s="576"/>
      <c r="N106" s="576"/>
      <c r="O106" s="576"/>
      <c r="P106" s="576"/>
      <c r="Q106" s="576"/>
    </row>
    <row r="107" spans="1:17" ht="18">
      <c r="A107" s="570"/>
      <c r="B107" s="570"/>
      <c r="C107" s="571"/>
      <c r="D107" s="573"/>
      <c r="E107" s="573"/>
      <c r="F107" s="573"/>
      <c r="G107" s="573"/>
      <c r="H107" s="573"/>
      <c r="I107" s="573"/>
      <c r="J107" s="573"/>
      <c r="K107" s="573"/>
      <c r="L107" s="576"/>
      <c r="M107" s="576"/>
      <c r="N107" s="576"/>
      <c r="O107" s="576"/>
      <c r="P107" s="576"/>
      <c r="Q107" s="576"/>
    </row>
    <row r="108" spans="1:17" ht="18">
      <c r="A108" s="570"/>
      <c r="B108" s="570"/>
      <c r="C108" s="571"/>
      <c r="D108" s="573"/>
      <c r="E108" s="573"/>
      <c r="F108" s="573"/>
      <c r="G108" s="573"/>
      <c r="H108" s="573"/>
      <c r="I108" s="573"/>
      <c r="J108" s="573"/>
      <c r="K108" s="573"/>
      <c r="L108" s="576"/>
      <c r="M108" s="576"/>
      <c r="N108" s="576"/>
      <c r="O108" s="576"/>
      <c r="P108" s="576"/>
      <c r="Q108" s="576"/>
    </row>
    <row r="109" spans="1:17" ht="18">
      <c r="A109" s="570"/>
      <c r="B109" s="570"/>
      <c r="C109" s="571"/>
      <c r="D109" s="573"/>
      <c r="E109" s="573"/>
      <c r="F109" s="573"/>
      <c r="G109" s="573"/>
      <c r="H109" s="573"/>
      <c r="I109" s="573"/>
      <c r="J109" s="573"/>
      <c r="K109" s="573"/>
      <c r="L109" s="576"/>
      <c r="M109" s="576"/>
      <c r="N109" s="576"/>
      <c r="O109" s="576"/>
      <c r="P109" s="576"/>
      <c r="Q109" s="576"/>
    </row>
    <row r="110" spans="1:17" ht="18">
      <c r="A110" s="570"/>
      <c r="B110" s="570"/>
      <c r="C110" s="571"/>
      <c r="D110" s="573"/>
      <c r="E110" s="573"/>
      <c r="F110" s="573"/>
      <c r="G110" s="573"/>
      <c r="H110" s="573"/>
      <c r="I110" s="573"/>
      <c r="J110" s="573"/>
      <c r="K110" s="573"/>
      <c r="L110" s="576"/>
      <c r="M110" s="576"/>
      <c r="N110" s="576"/>
      <c r="O110" s="576"/>
      <c r="P110" s="576"/>
      <c r="Q110" s="576"/>
    </row>
    <row r="111" spans="1:17" ht="23.25" customHeight="1">
      <c r="A111" s="570"/>
      <c r="B111" s="570"/>
      <c r="C111" s="571"/>
      <c r="D111" s="573"/>
      <c r="E111" s="573"/>
      <c r="F111" s="573"/>
      <c r="G111" s="573"/>
      <c r="H111" s="573"/>
      <c r="I111" s="573"/>
      <c r="J111" s="573"/>
      <c r="K111" s="573"/>
      <c r="L111" s="576"/>
      <c r="M111" s="576"/>
      <c r="N111" s="576"/>
      <c r="O111" s="576"/>
      <c r="P111" s="576"/>
      <c r="Q111" s="576"/>
    </row>
    <row r="112" spans="1:17" ht="18">
      <c r="A112" s="570"/>
      <c r="B112" s="570"/>
      <c r="C112" s="571"/>
      <c r="D112" s="573"/>
      <c r="E112" s="573"/>
      <c r="F112" s="573"/>
      <c r="G112" s="573"/>
      <c r="H112" s="573"/>
      <c r="I112" s="573"/>
      <c r="J112" s="573"/>
      <c r="K112" s="573"/>
      <c r="L112" s="576"/>
      <c r="M112" s="576"/>
      <c r="N112" s="576"/>
      <c r="O112" s="576"/>
      <c r="P112" s="576"/>
      <c r="Q112" s="576"/>
    </row>
    <row r="113" spans="1:25" ht="18">
      <c r="A113" s="570"/>
      <c r="B113" s="570"/>
      <c r="C113" s="571"/>
      <c r="D113" s="573"/>
      <c r="E113" s="573"/>
      <c r="F113" s="573"/>
      <c r="G113" s="573"/>
      <c r="H113" s="573"/>
      <c r="I113" s="573"/>
      <c r="J113" s="573"/>
      <c r="K113" s="573"/>
      <c r="L113" s="576"/>
      <c r="M113" s="576"/>
      <c r="N113" s="576"/>
      <c r="O113" s="576"/>
      <c r="P113" s="576"/>
      <c r="Q113" s="576"/>
    </row>
    <row r="114" spans="1:25" ht="18">
      <c r="A114" s="570"/>
      <c r="B114" s="570"/>
      <c r="C114" s="571"/>
      <c r="D114" s="573"/>
      <c r="E114" s="573"/>
      <c r="F114" s="573"/>
      <c r="G114" s="573"/>
      <c r="H114" s="573"/>
      <c r="I114" s="573"/>
      <c r="J114" s="573"/>
      <c r="K114" s="573"/>
      <c r="L114" s="576"/>
      <c r="M114" s="576"/>
      <c r="N114" s="576"/>
      <c r="O114" s="576"/>
      <c r="P114" s="576"/>
      <c r="Q114" s="576"/>
    </row>
    <row r="115" spans="1:25" ht="18">
      <c r="A115" s="570"/>
      <c r="B115" s="570"/>
      <c r="C115" s="571"/>
      <c r="D115" s="573"/>
      <c r="E115" s="573"/>
      <c r="F115" s="573"/>
      <c r="G115" s="573"/>
      <c r="H115" s="573"/>
      <c r="I115" s="573"/>
      <c r="J115" s="573"/>
      <c r="K115" s="573"/>
      <c r="L115" s="576"/>
      <c r="M115" s="576"/>
      <c r="N115" s="576"/>
      <c r="O115" s="576"/>
      <c r="P115" s="576"/>
      <c r="Q115" s="576"/>
    </row>
    <row r="116" spans="1:25" ht="18">
      <c r="A116" s="570"/>
      <c r="B116" s="570"/>
      <c r="C116" s="571"/>
      <c r="D116" s="573"/>
      <c r="E116" s="573"/>
      <c r="F116" s="573"/>
      <c r="G116" s="573"/>
      <c r="H116" s="573"/>
      <c r="I116" s="573"/>
      <c r="J116" s="573"/>
      <c r="K116" s="573"/>
      <c r="L116" s="576"/>
      <c r="M116" s="576"/>
      <c r="N116" s="576"/>
      <c r="O116" s="576"/>
      <c r="P116" s="576"/>
      <c r="Q116" s="576"/>
    </row>
    <row r="117" spans="1:25" ht="18">
      <c r="A117" s="570"/>
      <c r="B117" s="570"/>
      <c r="C117" s="571"/>
      <c r="D117" s="573"/>
      <c r="E117" s="573"/>
      <c r="F117" s="573"/>
      <c r="G117" s="573"/>
      <c r="H117" s="573"/>
      <c r="I117" s="573"/>
      <c r="J117" s="573"/>
      <c r="K117" s="573"/>
      <c r="L117" s="576"/>
      <c r="M117" s="576"/>
      <c r="N117" s="576"/>
      <c r="O117" s="576"/>
      <c r="P117" s="576"/>
      <c r="Q117" s="576"/>
    </row>
    <row r="118" spans="1:25" ht="18">
      <c r="A118" s="570"/>
      <c r="B118" s="570"/>
      <c r="C118" s="571"/>
      <c r="D118" s="573"/>
      <c r="E118" s="573"/>
      <c r="F118" s="573"/>
      <c r="G118" s="573"/>
      <c r="H118" s="573"/>
      <c r="I118" s="573"/>
      <c r="J118" s="573"/>
      <c r="K118" s="573"/>
      <c r="L118" s="576"/>
      <c r="M118" s="576"/>
      <c r="N118" s="576"/>
      <c r="O118" s="576"/>
      <c r="P118" s="576"/>
      <c r="Q118" s="576"/>
    </row>
    <row r="119" spans="1:25" ht="27.75" customHeight="1">
      <c r="A119" s="570"/>
      <c r="B119" s="570"/>
      <c r="C119" s="571"/>
      <c r="D119" s="573"/>
      <c r="E119" s="573"/>
      <c r="F119" s="573"/>
      <c r="G119" s="573"/>
      <c r="H119" s="573"/>
      <c r="I119" s="573"/>
      <c r="J119" s="573"/>
      <c r="K119" s="573"/>
      <c r="L119" s="576"/>
      <c r="M119" s="576"/>
      <c r="N119" s="576"/>
      <c r="O119" s="576"/>
      <c r="P119" s="576"/>
      <c r="Q119" s="576"/>
    </row>
    <row r="120" spans="1:25" ht="18">
      <c r="A120" s="570"/>
      <c r="B120" s="570"/>
      <c r="C120" s="571"/>
      <c r="D120" s="573"/>
      <c r="E120" s="573"/>
      <c r="F120" s="573"/>
      <c r="G120" s="573"/>
      <c r="H120" s="573"/>
      <c r="I120" s="573"/>
      <c r="J120" s="573"/>
      <c r="K120" s="573"/>
      <c r="L120" s="576"/>
      <c r="M120" s="576"/>
      <c r="N120" s="576"/>
      <c r="O120" s="576"/>
      <c r="P120" s="576"/>
      <c r="Q120" s="576"/>
    </row>
    <row r="121" spans="1:25" ht="18">
      <c r="A121" s="570"/>
      <c r="B121" s="570"/>
      <c r="C121" s="571"/>
      <c r="D121" s="573"/>
      <c r="E121" s="573"/>
      <c r="F121" s="573"/>
      <c r="G121" s="573"/>
      <c r="H121" s="573"/>
      <c r="I121" s="573"/>
      <c r="J121" s="573"/>
      <c r="K121" s="573"/>
      <c r="L121" s="576"/>
      <c r="M121" s="576"/>
      <c r="N121" s="576"/>
      <c r="O121" s="576"/>
      <c r="P121" s="576"/>
      <c r="Q121" s="576"/>
    </row>
    <row r="122" spans="1:25" ht="18">
      <c r="A122" s="570"/>
      <c r="B122" s="570"/>
      <c r="C122" s="571"/>
      <c r="D122" s="573"/>
      <c r="E122" s="573"/>
      <c r="F122" s="573"/>
      <c r="G122" s="573"/>
      <c r="H122" s="573"/>
      <c r="I122" s="573"/>
      <c r="J122" s="573"/>
      <c r="K122" s="573"/>
      <c r="L122" s="576"/>
      <c r="M122" s="576"/>
      <c r="N122" s="576"/>
      <c r="O122" s="576"/>
      <c r="P122" s="576"/>
      <c r="Q122" s="576"/>
    </row>
    <row r="123" spans="1:25" ht="18">
      <c r="A123" s="570"/>
      <c r="B123" s="570"/>
      <c r="C123" s="571"/>
      <c r="D123" s="573"/>
      <c r="E123" s="573"/>
      <c r="F123" s="573"/>
      <c r="G123" s="573"/>
      <c r="H123" s="573"/>
      <c r="I123" s="573"/>
      <c r="J123" s="573"/>
      <c r="K123" s="573"/>
      <c r="L123" s="576"/>
      <c r="M123" s="576"/>
      <c r="N123" s="576"/>
      <c r="O123" s="576"/>
      <c r="P123" s="576"/>
      <c r="Q123" s="576"/>
    </row>
    <row r="124" spans="1:25" ht="18">
      <c r="A124" s="570"/>
      <c r="B124" s="570"/>
      <c r="C124" s="571"/>
      <c r="D124" s="573"/>
      <c r="E124" s="573"/>
      <c r="F124" s="573"/>
      <c r="G124" s="573"/>
      <c r="H124" s="573"/>
      <c r="I124" s="573"/>
      <c r="J124" s="573"/>
      <c r="K124" s="573"/>
      <c r="L124" s="576"/>
      <c r="M124" s="576"/>
      <c r="N124" s="576"/>
      <c r="O124" s="576"/>
      <c r="P124" s="576"/>
      <c r="Q124" s="576"/>
    </row>
    <row r="125" spans="1:25" ht="18">
      <c r="A125" s="570"/>
      <c r="B125" s="570"/>
      <c r="C125" s="571"/>
      <c r="D125" s="573"/>
      <c r="E125" s="573"/>
      <c r="F125" s="573"/>
      <c r="G125" s="573"/>
      <c r="H125" s="573"/>
      <c r="I125" s="573"/>
      <c r="J125" s="573"/>
      <c r="K125" s="573"/>
      <c r="L125" s="576"/>
      <c r="M125" s="576"/>
      <c r="N125" s="576"/>
      <c r="O125" s="576"/>
      <c r="P125" s="576"/>
      <c r="Q125" s="576"/>
    </row>
    <row r="126" spans="1:25" ht="18">
      <c r="A126" s="570"/>
      <c r="B126" s="570"/>
      <c r="C126" s="571"/>
      <c r="D126" s="573"/>
      <c r="E126" s="573"/>
      <c r="F126" s="573"/>
      <c r="G126" s="573"/>
      <c r="H126" s="573"/>
      <c r="I126" s="573"/>
      <c r="J126" s="573"/>
      <c r="K126" s="573"/>
      <c r="L126" s="576"/>
      <c r="M126" s="576"/>
      <c r="N126" s="576"/>
      <c r="O126" s="576"/>
      <c r="P126" s="576"/>
      <c r="Q126" s="576"/>
    </row>
    <row r="127" spans="1:25" s="476" customFormat="1" ht="18">
      <c r="A127" s="570"/>
      <c r="B127" s="570"/>
      <c r="C127" s="571"/>
      <c r="D127" s="573"/>
      <c r="E127" s="573"/>
      <c r="F127" s="573"/>
      <c r="G127" s="573"/>
      <c r="H127" s="573"/>
      <c r="I127" s="573"/>
      <c r="J127" s="573"/>
      <c r="K127" s="573"/>
      <c r="L127" s="576"/>
      <c r="M127" s="576"/>
      <c r="N127" s="576"/>
      <c r="O127" s="576"/>
      <c r="P127" s="576"/>
      <c r="Q127" s="576"/>
      <c r="R127" s="477"/>
      <c r="S127" s="477"/>
      <c r="T127" s="477"/>
      <c r="U127" s="477"/>
      <c r="V127" s="477"/>
      <c r="W127" s="477"/>
      <c r="X127" s="477"/>
      <c r="Y127" s="477"/>
    </row>
    <row r="128" spans="1:25" s="476" customFormat="1" ht="18">
      <c r="A128" s="570"/>
      <c r="B128" s="570"/>
      <c r="C128" s="571"/>
      <c r="D128" s="573"/>
      <c r="E128" s="573"/>
      <c r="F128" s="573"/>
      <c r="G128" s="573"/>
      <c r="H128" s="573"/>
      <c r="I128" s="573"/>
      <c r="J128" s="573"/>
      <c r="K128" s="573"/>
      <c r="L128" s="576"/>
      <c r="M128" s="576"/>
      <c r="N128" s="576"/>
      <c r="O128" s="576"/>
      <c r="P128" s="576"/>
      <c r="Q128" s="576"/>
      <c r="R128" s="477"/>
      <c r="S128" s="477"/>
      <c r="T128" s="477"/>
      <c r="U128" s="477"/>
      <c r="V128" s="477"/>
      <c r="W128" s="477"/>
      <c r="X128" s="477"/>
      <c r="Y128" s="477"/>
    </row>
    <row r="129" spans="1:25" s="476" customFormat="1" ht="18">
      <c r="A129" s="570"/>
      <c r="B129" s="570"/>
      <c r="C129" s="571"/>
      <c r="D129" s="573"/>
      <c r="E129" s="573"/>
      <c r="F129" s="573"/>
      <c r="G129" s="573"/>
      <c r="H129" s="573"/>
      <c r="I129" s="573"/>
      <c r="J129" s="573"/>
      <c r="K129" s="573"/>
      <c r="L129" s="576"/>
      <c r="M129" s="576"/>
      <c r="N129" s="576"/>
      <c r="O129" s="576"/>
      <c r="P129" s="576"/>
      <c r="Q129" s="576"/>
      <c r="R129" s="477"/>
      <c r="S129" s="477"/>
      <c r="T129" s="477"/>
      <c r="U129" s="477"/>
      <c r="V129" s="477"/>
      <c r="W129" s="477"/>
      <c r="X129" s="477"/>
      <c r="Y129" s="477"/>
    </row>
    <row r="130" spans="1:25" s="476" customFormat="1" ht="18">
      <c r="A130" s="570"/>
      <c r="B130" s="570"/>
      <c r="C130" s="571"/>
      <c r="D130" s="573"/>
      <c r="E130" s="573"/>
      <c r="F130" s="573"/>
      <c r="G130" s="573"/>
      <c r="H130" s="573"/>
      <c r="I130" s="573"/>
      <c r="J130" s="573"/>
      <c r="K130" s="573"/>
      <c r="L130" s="576"/>
      <c r="M130" s="576"/>
      <c r="N130" s="576"/>
      <c r="O130" s="576"/>
      <c r="P130" s="576"/>
      <c r="Q130" s="576"/>
      <c r="R130" s="477"/>
      <c r="S130" s="477"/>
      <c r="T130" s="477"/>
      <c r="U130" s="477"/>
      <c r="V130" s="477"/>
      <c r="W130" s="477"/>
      <c r="X130" s="477"/>
      <c r="Y130" s="477"/>
    </row>
    <row r="131" spans="1:25" s="476" customFormat="1" ht="18">
      <c r="A131" s="570"/>
      <c r="B131" s="570"/>
      <c r="C131" s="571"/>
      <c r="D131" s="573"/>
      <c r="E131" s="573"/>
      <c r="F131" s="573"/>
      <c r="G131" s="573"/>
      <c r="H131" s="573"/>
      <c r="I131" s="573"/>
      <c r="J131" s="573"/>
      <c r="K131" s="573"/>
      <c r="L131" s="576"/>
      <c r="M131" s="576"/>
      <c r="N131" s="576"/>
      <c r="O131" s="576"/>
      <c r="P131" s="576"/>
      <c r="Q131" s="576"/>
      <c r="R131" s="477"/>
      <c r="S131" s="477"/>
      <c r="T131" s="477"/>
      <c r="U131" s="477"/>
      <c r="V131" s="477"/>
      <c r="W131" s="477"/>
      <c r="X131" s="477"/>
      <c r="Y131" s="477"/>
    </row>
    <row r="132" spans="1:25" s="476" customFormat="1" ht="18">
      <c r="A132" s="570"/>
      <c r="B132" s="570"/>
      <c r="C132" s="571"/>
      <c r="D132" s="573"/>
      <c r="E132" s="573"/>
      <c r="F132" s="573"/>
      <c r="G132" s="573"/>
      <c r="H132" s="573"/>
      <c r="I132" s="573"/>
      <c r="J132" s="573"/>
      <c r="K132" s="573"/>
      <c r="L132" s="576"/>
      <c r="M132" s="576"/>
      <c r="N132" s="576"/>
      <c r="O132" s="576"/>
      <c r="P132" s="576"/>
      <c r="Q132" s="576"/>
      <c r="R132" s="477"/>
      <c r="S132" s="477"/>
      <c r="T132" s="477"/>
      <c r="U132" s="477"/>
      <c r="V132" s="477"/>
      <c r="W132" s="477"/>
      <c r="X132" s="477"/>
      <c r="Y132" s="477"/>
    </row>
    <row r="133" spans="1:25" s="476" customFormat="1" ht="18">
      <c r="A133" s="570"/>
      <c r="B133" s="570"/>
      <c r="C133" s="571"/>
      <c r="D133" s="573"/>
      <c r="E133" s="573"/>
      <c r="F133" s="573"/>
      <c r="G133" s="573"/>
      <c r="H133" s="573"/>
      <c r="I133" s="573"/>
      <c r="J133" s="573"/>
      <c r="K133" s="573"/>
      <c r="L133" s="576"/>
      <c r="M133" s="576"/>
      <c r="N133" s="576"/>
      <c r="O133" s="576"/>
      <c r="P133" s="576"/>
      <c r="Q133" s="576"/>
      <c r="R133" s="477"/>
      <c r="S133" s="477"/>
      <c r="T133" s="477"/>
      <c r="U133" s="477"/>
      <c r="V133" s="477"/>
      <c r="W133" s="477"/>
      <c r="X133" s="477"/>
      <c r="Y133" s="477"/>
    </row>
    <row r="134" spans="1:25" s="476" customFormat="1" ht="18">
      <c r="A134" s="570"/>
      <c r="B134" s="570"/>
      <c r="C134" s="571"/>
      <c r="D134" s="573"/>
      <c r="E134" s="573"/>
      <c r="F134" s="573"/>
      <c r="G134" s="573"/>
      <c r="H134" s="573"/>
      <c r="I134" s="573"/>
      <c r="J134" s="573"/>
      <c r="K134" s="573"/>
      <c r="L134" s="576"/>
      <c r="M134" s="576"/>
      <c r="N134" s="576"/>
      <c r="O134" s="576"/>
      <c r="P134" s="576"/>
      <c r="Q134" s="576"/>
      <c r="R134" s="477"/>
      <c r="S134" s="477"/>
      <c r="T134" s="477"/>
      <c r="U134" s="477"/>
      <c r="V134" s="477"/>
      <c r="W134" s="477"/>
      <c r="X134" s="477"/>
      <c r="Y134" s="477"/>
    </row>
    <row r="135" spans="1:25" s="476" customFormat="1" ht="18">
      <c r="A135" s="570"/>
      <c r="B135" s="570"/>
      <c r="C135" s="571"/>
      <c r="D135" s="573"/>
      <c r="E135" s="573"/>
      <c r="F135" s="573"/>
      <c r="G135" s="573"/>
      <c r="H135" s="573"/>
      <c r="I135" s="573"/>
      <c r="J135" s="573"/>
      <c r="K135" s="573"/>
      <c r="L135" s="576"/>
      <c r="M135" s="576"/>
      <c r="N135" s="576"/>
      <c r="O135" s="576"/>
      <c r="P135" s="576"/>
      <c r="Q135" s="576"/>
      <c r="R135" s="477"/>
      <c r="S135" s="477"/>
      <c r="T135" s="477"/>
      <c r="U135" s="477"/>
      <c r="V135" s="477"/>
      <c r="W135" s="477"/>
      <c r="X135" s="477"/>
      <c r="Y135" s="477"/>
    </row>
    <row r="136" spans="1:25" s="476" customFormat="1" ht="18">
      <c r="A136" s="570"/>
      <c r="B136" s="570"/>
      <c r="C136" s="571"/>
      <c r="D136" s="573"/>
      <c r="E136" s="573"/>
      <c r="F136" s="573"/>
      <c r="G136" s="573"/>
      <c r="H136" s="573"/>
      <c r="I136" s="573"/>
      <c r="J136" s="573"/>
      <c r="K136" s="573"/>
      <c r="L136" s="576"/>
      <c r="M136" s="576"/>
      <c r="N136" s="576"/>
      <c r="O136" s="576"/>
      <c r="P136" s="576"/>
      <c r="Q136" s="576"/>
      <c r="R136" s="477"/>
      <c r="S136" s="477"/>
      <c r="T136" s="477"/>
      <c r="U136" s="477"/>
      <c r="V136" s="477"/>
      <c r="W136" s="477"/>
      <c r="X136" s="477"/>
      <c r="Y136" s="477"/>
    </row>
    <row r="137" spans="1:25" s="476" customFormat="1" ht="18">
      <c r="A137" s="570"/>
      <c r="B137" s="570"/>
      <c r="C137" s="571"/>
      <c r="D137" s="573"/>
      <c r="E137" s="573"/>
      <c r="F137" s="573"/>
      <c r="G137" s="573"/>
      <c r="H137" s="573"/>
      <c r="I137" s="573"/>
      <c r="J137" s="573"/>
      <c r="K137" s="573"/>
      <c r="L137" s="576"/>
      <c r="M137" s="576"/>
      <c r="N137" s="576"/>
      <c r="O137" s="576"/>
      <c r="P137" s="576"/>
      <c r="Q137" s="576"/>
      <c r="R137" s="477"/>
      <c r="S137" s="477"/>
      <c r="T137" s="477"/>
      <c r="U137" s="477"/>
      <c r="V137" s="477"/>
      <c r="W137" s="477"/>
      <c r="X137" s="477"/>
      <c r="Y137" s="477"/>
    </row>
    <row r="138" spans="1:25" s="476" customFormat="1" ht="18">
      <c r="A138" s="570"/>
      <c r="B138" s="570"/>
      <c r="C138" s="571"/>
      <c r="D138" s="573"/>
      <c r="E138" s="573"/>
      <c r="F138" s="573"/>
      <c r="G138" s="573"/>
      <c r="H138" s="573"/>
      <c r="I138" s="573"/>
      <c r="J138" s="573"/>
      <c r="K138" s="573"/>
      <c r="L138" s="576"/>
      <c r="M138" s="576"/>
      <c r="N138" s="576"/>
      <c r="O138" s="576"/>
      <c r="P138" s="576"/>
      <c r="Q138" s="576"/>
      <c r="R138" s="477"/>
      <c r="S138" s="477"/>
      <c r="T138" s="477"/>
      <c r="U138" s="477"/>
      <c r="V138" s="477"/>
      <c r="W138" s="477"/>
      <c r="X138" s="477"/>
      <c r="Y138" s="477"/>
    </row>
    <row r="139" spans="1:25" s="476" customFormat="1" ht="18">
      <c r="A139" s="570"/>
      <c r="B139" s="578"/>
      <c r="C139" s="520"/>
      <c r="D139" s="573"/>
      <c r="E139" s="573"/>
      <c r="F139" s="573"/>
      <c r="G139" s="573"/>
      <c r="H139" s="573"/>
      <c r="I139" s="573"/>
      <c r="J139" s="573"/>
      <c r="K139" s="573"/>
      <c r="L139" s="576"/>
      <c r="M139" s="576"/>
      <c r="N139" s="576"/>
      <c r="O139" s="576"/>
      <c r="P139" s="576"/>
      <c r="Q139" s="576"/>
      <c r="R139" s="477"/>
      <c r="S139" s="477"/>
      <c r="T139" s="477"/>
      <c r="U139" s="477"/>
      <c r="V139" s="477"/>
      <c r="W139" s="477"/>
      <c r="X139" s="477"/>
      <c r="Y139" s="477"/>
    </row>
    <row r="140" spans="1:25" s="476" customFormat="1">
      <c r="A140" s="480"/>
      <c r="B140" s="520"/>
      <c r="C140" s="520"/>
      <c r="D140" s="573"/>
      <c r="E140" s="573"/>
      <c r="F140" s="573"/>
      <c r="G140" s="573"/>
      <c r="H140" s="573"/>
      <c r="I140" s="573"/>
      <c r="J140" s="573"/>
      <c r="K140" s="573"/>
      <c r="L140" s="576"/>
      <c r="M140" s="576"/>
      <c r="N140" s="576"/>
      <c r="O140" s="576"/>
      <c r="P140" s="576"/>
      <c r="Q140" s="576"/>
      <c r="R140" s="477"/>
      <c r="S140" s="477"/>
      <c r="T140" s="477"/>
      <c r="U140" s="477"/>
      <c r="V140" s="477"/>
      <c r="W140" s="477"/>
      <c r="X140" s="477"/>
      <c r="Y140" s="477"/>
    </row>
    <row r="141" spans="1:25" s="476" customFormat="1">
      <c r="A141" s="480"/>
      <c r="B141" s="520"/>
      <c r="C141" s="579"/>
      <c r="D141" s="573"/>
      <c r="E141" s="573"/>
      <c r="F141" s="573"/>
      <c r="G141" s="573"/>
      <c r="H141" s="573"/>
      <c r="I141" s="573"/>
      <c r="J141" s="573"/>
      <c r="K141" s="573"/>
      <c r="L141" s="576"/>
      <c r="M141" s="576"/>
      <c r="N141" s="576"/>
      <c r="O141" s="576"/>
      <c r="P141" s="576"/>
      <c r="Q141" s="576"/>
      <c r="R141" s="477"/>
      <c r="S141" s="477"/>
      <c r="T141" s="477"/>
      <c r="U141" s="477"/>
      <c r="V141" s="477"/>
      <c r="W141" s="477"/>
      <c r="X141" s="477"/>
      <c r="Y141" s="477"/>
    </row>
    <row r="142" spans="1:25" s="476" customFormat="1">
      <c r="A142" s="480"/>
      <c r="B142" s="480"/>
      <c r="C142" s="579"/>
      <c r="D142" s="573"/>
      <c r="E142" s="573"/>
      <c r="F142" s="573"/>
      <c r="G142" s="573"/>
      <c r="H142" s="573"/>
      <c r="I142" s="573"/>
      <c r="J142" s="573"/>
      <c r="K142" s="573"/>
      <c r="L142" s="576"/>
      <c r="M142" s="576"/>
      <c r="N142" s="576"/>
      <c r="O142" s="576"/>
      <c r="P142" s="576"/>
      <c r="Q142" s="576"/>
      <c r="R142" s="477"/>
      <c r="S142" s="477"/>
      <c r="T142" s="477"/>
      <c r="U142" s="477"/>
      <c r="V142" s="477"/>
      <c r="W142" s="477"/>
      <c r="X142" s="477"/>
      <c r="Y142" s="477"/>
    </row>
    <row r="143" spans="1:25">
      <c r="A143" s="480"/>
      <c r="B143" s="520"/>
      <c r="C143" s="580"/>
      <c r="D143" s="573"/>
      <c r="E143" s="573"/>
      <c r="F143" s="573"/>
      <c r="G143" s="573"/>
      <c r="H143" s="573"/>
      <c r="I143" s="573"/>
      <c r="J143" s="573"/>
      <c r="K143" s="573"/>
      <c r="L143" s="576"/>
      <c r="M143" s="576"/>
      <c r="N143" s="576"/>
      <c r="O143" s="576"/>
      <c r="P143" s="576"/>
      <c r="Q143" s="576"/>
    </row>
    <row r="144" spans="1:25">
      <c r="A144" s="480"/>
      <c r="B144" s="520"/>
      <c r="C144" s="579"/>
      <c r="D144" s="573"/>
      <c r="E144" s="573"/>
      <c r="F144" s="573"/>
      <c r="G144" s="573"/>
      <c r="H144" s="573"/>
      <c r="I144" s="573"/>
      <c r="J144" s="573"/>
      <c r="K144" s="573"/>
      <c r="L144" s="576"/>
      <c r="M144" s="576"/>
      <c r="N144" s="576"/>
      <c r="O144" s="576"/>
      <c r="P144" s="576"/>
      <c r="Q144" s="576"/>
    </row>
    <row r="145" spans="1:25">
      <c r="A145" s="573"/>
      <c r="B145" s="582"/>
      <c r="C145" s="573"/>
      <c r="D145" s="573"/>
      <c r="E145" s="573"/>
      <c r="F145" s="573"/>
      <c r="G145" s="573"/>
      <c r="H145" s="573"/>
      <c r="I145" s="573"/>
      <c r="J145" s="573"/>
      <c r="K145" s="573"/>
      <c r="L145" s="576"/>
      <c r="M145" s="576"/>
      <c r="N145" s="576"/>
      <c r="O145" s="576"/>
      <c r="P145" s="576"/>
      <c r="Q145" s="576"/>
    </row>
    <row r="146" spans="1:25">
      <c r="A146" s="573"/>
      <c r="B146" s="582"/>
      <c r="C146" s="498"/>
      <c r="D146" s="583"/>
      <c r="E146" s="573"/>
      <c r="F146" s="573"/>
      <c r="G146" s="573"/>
      <c r="H146" s="573"/>
      <c r="I146" s="573"/>
      <c r="J146" s="573"/>
      <c r="K146" s="573"/>
      <c r="L146" s="576"/>
      <c r="M146" s="576"/>
      <c r="N146" s="576"/>
      <c r="O146" s="576"/>
      <c r="P146" s="576"/>
      <c r="Q146" s="576"/>
    </row>
    <row r="147" spans="1:25">
      <c r="A147" s="573"/>
      <c r="B147" s="582"/>
      <c r="C147" s="573"/>
      <c r="D147" s="583"/>
      <c r="E147" s="573"/>
      <c r="F147" s="573"/>
      <c r="G147" s="573"/>
      <c r="H147" s="573"/>
      <c r="I147" s="573"/>
      <c r="J147" s="573"/>
      <c r="K147" s="573"/>
      <c r="L147" s="576"/>
      <c r="M147" s="576"/>
      <c r="N147" s="576"/>
      <c r="O147" s="576"/>
      <c r="P147" s="576"/>
      <c r="Q147" s="576"/>
    </row>
    <row r="148" spans="1:25">
      <c r="A148" s="573"/>
      <c r="B148" s="582"/>
      <c r="C148" s="573"/>
      <c r="D148" s="573"/>
      <c r="E148" s="573"/>
      <c r="F148" s="573"/>
      <c r="G148" s="573"/>
      <c r="H148" s="573"/>
      <c r="I148" s="573"/>
      <c r="J148" s="573"/>
      <c r="K148" s="573"/>
      <c r="L148" s="576"/>
      <c r="M148" s="576"/>
      <c r="N148" s="576"/>
      <c r="O148" s="576"/>
      <c r="P148" s="576"/>
      <c r="Q148" s="576"/>
    </row>
    <row r="149" spans="1:25">
      <c r="A149" s="573"/>
      <c r="B149" s="582"/>
      <c r="C149" s="573"/>
      <c r="D149" s="573"/>
      <c r="E149" s="573"/>
      <c r="F149" s="573"/>
      <c r="G149" s="573"/>
      <c r="H149" s="573"/>
      <c r="I149" s="573"/>
      <c r="J149" s="573"/>
      <c r="K149" s="573"/>
      <c r="L149" s="576"/>
      <c r="M149" s="576"/>
      <c r="N149" s="576"/>
      <c r="O149" s="576"/>
      <c r="P149" s="576"/>
      <c r="Q149" s="576"/>
    </row>
    <row r="150" spans="1:25" ht="21" customHeight="1">
      <c r="A150" s="573"/>
      <c r="B150" s="582"/>
      <c r="C150" s="573"/>
      <c r="D150" s="573"/>
      <c r="E150" s="573"/>
      <c r="F150" s="573"/>
      <c r="G150" s="573"/>
      <c r="H150" s="573"/>
      <c r="I150" s="573"/>
      <c r="J150" s="573"/>
      <c r="K150" s="573"/>
      <c r="L150" s="576"/>
      <c r="M150" s="576"/>
      <c r="N150" s="576"/>
      <c r="O150" s="576"/>
      <c r="P150" s="576"/>
      <c r="Q150" s="576"/>
    </row>
    <row r="151" spans="1:25">
      <c r="A151" s="573"/>
      <c r="B151" s="582"/>
      <c r="C151" s="573"/>
      <c r="D151" s="573"/>
      <c r="E151" s="573"/>
      <c r="F151" s="573"/>
      <c r="G151" s="573"/>
      <c r="H151" s="573"/>
      <c r="I151" s="573"/>
      <c r="J151" s="573"/>
      <c r="K151" s="573"/>
      <c r="L151" s="576"/>
      <c r="M151" s="576"/>
      <c r="N151" s="576"/>
      <c r="O151" s="576"/>
      <c r="P151" s="576"/>
      <c r="Q151" s="576"/>
    </row>
    <row r="152" spans="1:25">
      <c r="A152" s="573"/>
      <c r="B152" s="582"/>
      <c r="C152" s="573"/>
      <c r="D152" s="573"/>
      <c r="E152" s="573"/>
      <c r="F152" s="573"/>
      <c r="G152" s="573"/>
      <c r="H152" s="573"/>
      <c r="I152" s="573"/>
      <c r="J152" s="573"/>
      <c r="K152" s="573"/>
      <c r="L152" s="576"/>
      <c r="M152" s="576"/>
      <c r="N152" s="576"/>
      <c r="O152" s="576"/>
      <c r="P152" s="576"/>
      <c r="Q152" s="576"/>
    </row>
    <row r="153" spans="1:25">
      <c r="A153" s="573"/>
      <c r="B153" s="582"/>
      <c r="C153" s="573"/>
      <c r="D153" s="573"/>
      <c r="E153" s="573"/>
      <c r="F153" s="573"/>
      <c r="G153" s="573"/>
      <c r="H153" s="573"/>
      <c r="I153" s="573"/>
      <c r="J153" s="573"/>
      <c r="K153" s="573"/>
      <c r="L153" s="576"/>
      <c r="M153" s="576"/>
      <c r="N153" s="576"/>
      <c r="O153" s="576"/>
      <c r="P153" s="576"/>
      <c r="Q153" s="576"/>
    </row>
    <row r="154" spans="1:25">
      <c r="A154" s="573"/>
      <c r="B154" s="582"/>
      <c r="C154" s="573"/>
      <c r="D154" s="573"/>
      <c r="E154" s="573"/>
      <c r="F154" s="573"/>
      <c r="G154" s="573"/>
      <c r="H154" s="573"/>
      <c r="I154" s="573"/>
      <c r="J154" s="573"/>
      <c r="K154" s="573"/>
      <c r="L154" s="576"/>
      <c r="M154" s="576"/>
      <c r="N154" s="576"/>
      <c r="O154" s="576"/>
      <c r="P154" s="576"/>
      <c r="Q154" s="576"/>
    </row>
    <row r="155" spans="1:25" ht="19.5" customHeight="1">
      <c r="A155" s="573"/>
      <c r="B155" s="582"/>
      <c r="C155" s="573"/>
      <c r="D155" s="573"/>
      <c r="E155" s="573"/>
      <c r="F155" s="573"/>
      <c r="G155" s="573"/>
      <c r="H155" s="573"/>
      <c r="I155" s="573"/>
      <c r="J155" s="573"/>
      <c r="K155" s="573"/>
      <c r="L155" s="576"/>
      <c r="M155" s="576"/>
      <c r="N155" s="576"/>
      <c r="O155" s="576"/>
      <c r="P155" s="576"/>
      <c r="Q155" s="576"/>
    </row>
    <row r="156" spans="1:25">
      <c r="A156" s="573"/>
      <c r="B156" s="582"/>
      <c r="C156" s="573"/>
      <c r="D156" s="573"/>
      <c r="E156" s="573"/>
      <c r="F156" s="573"/>
      <c r="G156" s="573"/>
      <c r="H156" s="573"/>
      <c r="I156" s="573"/>
      <c r="J156" s="573"/>
      <c r="K156" s="573"/>
      <c r="L156" s="576"/>
      <c r="M156" s="576"/>
      <c r="N156" s="576"/>
      <c r="O156" s="576"/>
      <c r="P156" s="576"/>
      <c r="Q156" s="576"/>
    </row>
    <row r="157" spans="1:25">
      <c r="A157" s="573"/>
      <c r="B157" s="582"/>
      <c r="C157" s="573"/>
      <c r="D157" s="573"/>
      <c r="E157" s="573"/>
      <c r="F157" s="573"/>
      <c r="G157" s="573"/>
      <c r="H157" s="573"/>
      <c r="I157" s="573"/>
      <c r="J157" s="573"/>
      <c r="K157" s="573"/>
      <c r="L157" s="576"/>
      <c r="M157" s="576"/>
      <c r="N157" s="576"/>
      <c r="O157" s="576"/>
      <c r="P157" s="576"/>
      <c r="Q157" s="576"/>
    </row>
    <row r="158" spans="1:25">
      <c r="A158" s="573"/>
      <c r="B158" s="582"/>
      <c r="C158" s="573"/>
      <c r="D158" s="573"/>
      <c r="E158" s="573"/>
      <c r="F158" s="573"/>
      <c r="G158" s="573"/>
      <c r="H158" s="573"/>
      <c r="I158" s="573"/>
      <c r="J158" s="573"/>
      <c r="K158" s="573"/>
      <c r="L158" s="576"/>
      <c r="M158" s="576"/>
      <c r="N158" s="576"/>
      <c r="O158" s="576"/>
      <c r="P158" s="576"/>
      <c r="Q158" s="576"/>
    </row>
    <row r="159" spans="1:25" s="476" customFormat="1">
      <c r="A159" s="573"/>
      <c r="B159" s="582"/>
      <c r="C159" s="573"/>
      <c r="D159" s="573"/>
      <c r="E159" s="573"/>
      <c r="F159" s="573"/>
      <c r="G159" s="573"/>
      <c r="H159" s="573"/>
      <c r="I159" s="573"/>
      <c r="J159" s="573"/>
      <c r="K159" s="573"/>
      <c r="L159" s="576"/>
      <c r="M159" s="576"/>
      <c r="N159" s="576"/>
      <c r="O159" s="576"/>
      <c r="P159" s="576"/>
      <c r="Q159" s="576"/>
      <c r="R159" s="477"/>
      <c r="S159" s="477"/>
      <c r="T159" s="477"/>
      <c r="U159" s="477"/>
      <c r="V159" s="477"/>
      <c r="W159" s="477"/>
      <c r="X159" s="477"/>
      <c r="Y159" s="477"/>
    </row>
    <row r="160" spans="1:25" s="476" customFormat="1">
      <c r="A160" s="573"/>
      <c r="B160" s="582"/>
      <c r="C160" s="573"/>
      <c r="D160" s="573"/>
      <c r="E160" s="573"/>
      <c r="F160" s="573"/>
      <c r="G160" s="573"/>
      <c r="H160" s="573"/>
      <c r="I160" s="573"/>
      <c r="J160" s="573"/>
      <c r="K160" s="573"/>
      <c r="L160" s="576"/>
      <c r="M160" s="576"/>
      <c r="N160" s="576"/>
      <c r="O160" s="576"/>
      <c r="P160" s="576"/>
      <c r="Q160" s="576"/>
      <c r="R160" s="477"/>
      <c r="S160" s="477"/>
      <c r="T160" s="477"/>
      <c r="U160" s="477"/>
      <c r="V160" s="477"/>
      <c r="W160" s="477"/>
      <c r="X160" s="477"/>
      <c r="Y160" s="477"/>
    </row>
  </sheetData>
  <printOptions horizontalCentered="1"/>
  <pageMargins left="1" right="1" top="1" bottom="1" header="0.5" footer="0.4"/>
  <pageSetup scale="27"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transitionEntry="1" codeName="Sheet32">
    <tabColor rgb="FFFFC000"/>
    <pageSetUpPr fitToPage="1"/>
  </sheetPr>
  <dimension ref="A1:AG160"/>
  <sheetViews>
    <sheetView topLeftCell="L1" zoomScale="75" zoomScaleNormal="75" zoomScaleSheetLayoutView="100" workbookViewId="0">
      <pane ySplit="7" topLeftCell="A11" activePane="bottomLeft" state="frozen"/>
      <selection pane="bottomLeft" activeCell="J4" sqref="J4"/>
    </sheetView>
  </sheetViews>
  <sheetFormatPr baseColWidth="10" defaultColWidth="9.7109375" defaultRowHeight="16"/>
  <cols>
    <col min="1" max="1" width="6.85546875" style="476" customWidth="1"/>
    <col min="2" max="2" width="9.5703125" style="584" customWidth="1"/>
    <col min="3" max="3" width="10.5703125" style="476" customWidth="1"/>
    <col min="4" max="4" width="10.140625" style="476" customWidth="1"/>
    <col min="5" max="5" width="8.7109375" style="476" customWidth="1"/>
    <col min="6" max="6" width="1.85546875" style="476" customWidth="1"/>
    <col min="7" max="7" width="6.7109375" style="476" customWidth="1"/>
    <col min="8" max="8" width="10.140625" style="476" customWidth="1"/>
    <col min="9" max="9" width="9.28515625" style="476" customWidth="1"/>
    <col min="10" max="10" width="11.85546875" style="476" customWidth="1"/>
    <col min="11" max="11" width="1.85546875" style="476" customWidth="1"/>
    <col min="12" max="12" width="8" style="477" customWidth="1"/>
    <col min="13" max="13" width="9.28515625" style="477" customWidth="1"/>
    <col min="14" max="14" width="10.5703125" style="507" customWidth="1"/>
    <col min="15" max="15" width="11" style="507" customWidth="1"/>
    <col min="16" max="16" width="1.85546875" style="507" customWidth="1"/>
    <col min="17" max="17" width="7.28515625" style="507" customWidth="1"/>
    <col min="18" max="18" width="9.5703125" style="477" customWidth="1"/>
    <col min="19" max="20" width="9.7109375" style="477"/>
    <col min="21" max="21" width="2" style="477" customWidth="1"/>
    <col min="22" max="22" width="7.28515625" style="477" customWidth="1"/>
    <col min="23" max="23" width="9.28515625" style="477" customWidth="1"/>
    <col min="24" max="25" width="9.7109375" style="477"/>
    <col min="26" max="26" width="1.28515625" style="477" customWidth="1"/>
    <col min="27" max="30" width="9.7109375" style="477"/>
    <col min="31" max="31" width="1.28515625" style="477" customWidth="1"/>
    <col min="32" max="16384" width="9.7109375" style="477"/>
  </cols>
  <sheetData>
    <row r="1" spans="1:33" ht="18">
      <c r="A1" s="586" t="str">
        <f ca="1">CELL("filename",A1)</f>
        <v>/Users/janohlberger/Work/UW/Thresholds/Data/Rich/[2018_PWS_Wild_Pink_forecast_DRAFT.xlsm]Mean_Harvest_Performance</v>
      </c>
      <c r="B1" s="472"/>
      <c r="C1" s="473"/>
      <c r="D1" s="473"/>
      <c r="E1" s="473"/>
      <c r="F1" s="473"/>
      <c r="G1" s="473"/>
      <c r="H1" s="473"/>
      <c r="I1" s="473"/>
      <c r="J1" s="473"/>
      <c r="K1" s="473"/>
      <c r="L1" s="473"/>
      <c r="M1" s="473"/>
      <c r="N1" s="474"/>
      <c r="O1" s="475"/>
      <c r="P1" s="475"/>
      <c r="Q1" s="475"/>
      <c r="R1" s="476"/>
    </row>
    <row r="2" spans="1:33" ht="20">
      <c r="A2" s="478" t="s">
        <v>304</v>
      </c>
      <c r="B2" s="472"/>
      <c r="C2" s="473"/>
      <c r="D2" s="473"/>
      <c r="E2" s="473"/>
      <c r="F2" s="473"/>
      <c r="G2" s="473"/>
      <c r="H2" s="473"/>
      <c r="I2" s="473"/>
      <c r="J2" s="473"/>
      <c r="K2" s="473"/>
      <c r="L2" s="472"/>
      <c r="M2" s="472"/>
      <c r="N2" s="480"/>
      <c r="O2" s="481"/>
      <c r="P2" s="481"/>
      <c r="Q2" s="481"/>
    </row>
    <row r="3" spans="1:33" ht="25">
      <c r="A3" s="482" t="s">
        <v>301</v>
      </c>
      <c r="B3" s="472"/>
      <c r="C3" s="473"/>
      <c r="D3" s="473"/>
      <c r="E3" s="473"/>
      <c r="F3" s="473"/>
      <c r="G3" s="473"/>
      <c r="H3" s="473"/>
      <c r="I3" s="472" t="s">
        <v>302</v>
      </c>
      <c r="J3" s="635">
        <v>2018</v>
      </c>
      <c r="K3" s="473"/>
      <c r="N3" s="477"/>
      <c r="O3" s="481"/>
      <c r="P3" s="481"/>
      <c r="Q3" s="481"/>
      <c r="R3" s="476"/>
    </row>
    <row r="4" spans="1:33" ht="20">
      <c r="A4" s="482" t="s">
        <v>256</v>
      </c>
      <c r="B4" s="483"/>
      <c r="C4" s="484"/>
      <c r="D4" s="484"/>
      <c r="E4" s="484"/>
      <c r="F4" s="484"/>
      <c r="G4" s="482" t="s">
        <v>257</v>
      </c>
      <c r="H4" s="482"/>
      <c r="I4" s="484"/>
      <c r="J4" s="484"/>
      <c r="K4" s="484"/>
      <c r="L4" s="482" t="s">
        <v>258</v>
      </c>
      <c r="M4" s="483"/>
      <c r="N4" s="484"/>
      <c r="O4" s="484"/>
      <c r="P4" s="485"/>
      <c r="Q4" s="482" t="s">
        <v>259</v>
      </c>
      <c r="R4" s="483"/>
      <c r="S4" s="484"/>
      <c r="T4" s="484"/>
      <c r="U4" s="486"/>
      <c r="V4" s="482" t="s">
        <v>260</v>
      </c>
      <c r="W4" s="483"/>
      <c r="X4" s="484"/>
      <c r="Y4" s="484"/>
      <c r="AA4" s="482" t="s">
        <v>261</v>
      </c>
      <c r="AB4" s="483"/>
      <c r="AC4" s="484"/>
      <c r="AD4" s="484"/>
    </row>
    <row r="5" spans="1:33">
      <c r="A5" s="487"/>
      <c r="B5" s="488" t="s">
        <v>361</v>
      </c>
      <c r="C5" s="1042"/>
      <c r="D5" s="489"/>
      <c r="E5" s="489"/>
      <c r="F5" s="490"/>
      <c r="G5" s="487"/>
      <c r="H5" s="488" t="s">
        <v>361</v>
      </c>
      <c r="I5" s="489"/>
      <c r="J5" s="489"/>
      <c r="K5" s="490"/>
      <c r="L5" s="487"/>
      <c r="M5" s="488" t="s">
        <v>361</v>
      </c>
      <c r="N5" s="489"/>
      <c r="O5" s="489"/>
      <c r="P5" s="491"/>
      <c r="Q5" s="487"/>
      <c r="R5" s="488" t="s">
        <v>361</v>
      </c>
      <c r="S5" s="489"/>
      <c r="T5" s="489"/>
      <c r="V5" s="487"/>
      <c r="W5" s="488" t="s">
        <v>361</v>
      </c>
      <c r="X5" s="489"/>
      <c r="Y5" s="489"/>
      <c r="AA5" s="487"/>
      <c r="AB5" s="488" t="s">
        <v>361</v>
      </c>
      <c r="AC5" s="489"/>
      <c r="AD5" s="489"/>
    </row>
    <row r="6" spans="1:33">
      <c r="A6" s="492"/>
      <c r="B6" s="1038"/>
      <c r="C6" s="1049" t="s">
        <v>31</v>
      </c>
      <c r="D6" s="1040" t="s">
        <v>5</v>
      </c>
      <c r="E6" s="496" t="s">
        <v>6</v>
      </c>
      <c r="F6" s="497"/>
      <c r="G6" s="492"/>
      <c r="H6" s="493"/>
      <c r="I6" s="495" t="s">
        <v>5</v>
      </c>
      <c r="J6" s="496" t="s">
        <v>6</v>
      </c>
      <c r="K6" s="497"/>
      <c r="L6" s="492"/>
      <c r="M6" s="493"/>
      <c r="N6" s="495" t="s">
        <v>5</v>
      </c>
      <c r="O6" s="496" t="s">
        <v>6</v>
      </c>
      <c r="P6" s="498"/>
      <c r="Q6" s="492"/>
      <c r="R6" s="493"/>
      <c r="S6" s="495" t="s">
        <v>5</v>
      </c>
      <c r="T6" s="496" t="s">
        <v>6</v>
      </c>
      <c r="V6" s="492"/>
      <c r="W6" s="493"/>
      <c r="X6" s="495" t="s">
        <v>5</v>
      </c>
      <c r="Y6" s="496" t="s">
        <v>6</v>
      </c>
      <c r="AA6" s="492"/>
      <c r="AB6" s="493"/>
      <c r="AC6" s="495" t="s">
        <v>5</v>
      </c>
      <c r="AD6" s="496" t="s">
        <v>6</v>
      </c>
      <c r="AF6" s="1008" t="s">
        <v>357</v>
      </c>
    </row>
    <row r="7" spans="1:33">
      <c r="A7" s="494" t="s">
        <v>7</v>
      </c>
      <c r="B7" s="499" t="s">
        <v>46</v>
      </c>
      <c r="C7" s="1050" t="s">
        <v>363</v>
      </c>
      <c r="D7" s="1041" t="s">
        <v>8</v>
      </c>
      <c r="E7" s="499" t="s">
        <v>8</v>
      </c>
      <c r="F7" s="497"/>
      <c r="G7" s="494" t="s">
        <v>7</v>
      </c>
      <c r="H7" s="492" t="s">
        <v>46</v>
      </c>
      <c r="I7" s="494" t="s">
        <v>8</v>
      </c>
      <c r="J7" s="499" t="s">
        <v>8</v>
      </c>
      <c r="K7" s="497"/>
      <c r="L7" s="494" t="s">
        <v>7</v>
      </c>
      <c r="M7" s="492" t="s">
        <v>46</v>
      </c>
      <c r="N7" s="494" t="s">
        <v>8</v>
      </c>
      <c r="O7" s="499" t="s">
        <v>8</v>
      </c>
      <c r="P7" s="498"/>
      <c r="Q7" s="494" t="s">
        <v>7</v>
      </c>
      <c r="R7" s="492" t="s">
        <v>46</v>
      </c>
      <c r="S7" s="494" t="s">
        <v>8</v>
      </c>
      <c r="T7" s="499" t="s">
        <v>8</v>
      </c>
      <c r="V7" s="494" t="s">
        <v>7</v>
      </c>
      <c r="W7" s="492" t="s">
        <v>46</v>
      </c>
      <c r="X7" s="494" t="s">
        <v>8</v>
      </c>
      <c r="Y7" s="499" t="s">
        <v>8</v>
      </c>
      <c r="AA7" s="494" t="s">
        <v>7</v>
      </c>
      <c r="AB7" s="492" t="s">
        <v>46</v>
      </c>
      <c r="AC7" s="494" t="s">
        <v>8</v>
      </c>
      <c r="AD7" s="499" t="s">
        <v>8</v>
      </c>
      <c r="AF7" s="1008" t="s">
        <v>358</v>
      </c>
    </row>
    <row r="8" spans="1:33" ht="23">
      <c r="A8" s="636">
        <f>IF(ISEVEN($J$3), 1962, 1961)</f>
        <v>1962</v>
      </c>
      <c r="B8" s="678"/>
      <c r="C8" s="1032">
        <f>VLOOKUP($A8,Database!$A$74:$J$131,3,FALSE)</f>
        <v>6742316</v>
      </c>
      <c r="D8" s="502">
        <f>(B8-$C8)^2</f>
        <v>45458825043856</v>
      </c>
      <c r="E8" s="503">
        <f>(B8-$C8)/$C8</f>
        <v>-1</v>
      </c>
      <c r="F8" s="497"/>
      <c r="G8" s="643">
        <f>A8</f>
        <v>1962</v>
      </c>
      <c r="H8" s="817" t="s">
        <v>138</v>
      </c>
      <c r="I8" s="817" t="s">
        <v>138</v>
      </c>
      <c r="J8" s="817" t="s">
        <v>138</v>
      </c>
      <c r="K8" s="497"/>
      <c r="L8" s="638">
        <f t="shared" ref="L8:L36" si="0">G8</f>
        <v>1962</v>
      </c>
      <c r="M8" s="817" t="s">
        <v>138</v>
      </c>
      <c r="N8" s="817" t="s">
        <v>138</v>
      </c>
      <c r="O8" s="817" t="s">
        <v>138</v>
      </c>
      <c r="P8" s="498"/>
      <c r="Q8" s="638">
        <f t="shared" ref="Q8:Q36" si="1">L8</f>
        <v>1962</v>
      </c>
      <c r="R8" s="817" t="s">
        <v>138</v>
      </c>
      <c r="S8" s="817" t="s">
        <v>138</v>
      </c>
      <c r="T8" s="817" t="s">
        <v>138</v>
      </c>
      <c r="V8" s="638">
        <f t="shared" ref="V8:V36" si="2">Q8</f>
        <v>1962</v>
      </c>
      <c r="W8" s="817" t="s">
        <v>138</v>
      </c>
      <c r="X8" s="817" t="s">
        <v>138</v>
      </c>
      <c r="Y8" s="817" t="s">
        <v>138</v>
      </c>
      <c r="AA8" s="638">
        <f t="shared" ref="AA8:AA36" si="3">V8</f>
        <v>1962</v>
      </c>
      <c r="AB8" s="817" t="s">
        <v>138</v>
      </c>
      <c r="AC8" s="817" t="s">
        <v>138</v>
      </c>
      <c r="AD8" s="817" t="s">
        <v>138</v>
      </c>
    </row>
    <row r="9" spans="1:33">
      <c r="A9" s="637">
        <f>A8+2</f>
        <v>1964</v>
      </c>
      <c r="B9" s="639"/>
      <c r="C9" s="1032">
        <f>VLOOKUP($A9,Database!$A$74:$J$131,3,FALSE)</f>
        <v>4206896</v>
      </c>
      <c r="D9" s="502">
        <f t="shared" ref="D9:D34" si="4">(B9-$C9)^2</f>
        <v>17697973954816</v>
      </c>
      <c r="E9" s="503">
        <f>(B9-$C9)/C9</f>
        <v>-1</v>
      </c>
      <c r="F9" s="497"/>
      <c r="G9" s="643">
        <f t="shared" ref="G9:G36" si="5">A9</f>
        <v>1964</v>
      </c>
      <c r="H9" s="1002"/>
      <c r="I9" s="502">
        <f t="shared" ref="I9:I34" si="6">(H9-$C9)^2</f>
        <v>17697973954816</v>
      </c>
      <c r="J9" s="503">
        <f>(H9-$C9)/$C9</f>
        <v>-1</v>
      </c>
      <c r="K9" s="497"/>
      <c r="L9" s="638">
        <f t="shared" si="0"/>
        <v>1964</v>
      </c>
      <c r="M9" s="817" t="s">
        <v>138</v>
      </c>
      <c r="N9" s="817" t="s">
        <v>138</v>
      </c>
      <c r="O9" s="817" t="s">
        <v>138</v>
      </c>
      <c r="P9" s="498"/>
      <c r="Q9" s="638">
        <f t="shared" si="1"/>
        <v>1964</v>
      </c>
      <c r="R9" s="817" t="s">
        <v>138</v>
      </c>
      <c r="S9" s="817" t="s">
        <v>138</v>
      </c>
      <c r="T9" s="817" t="s">
        <v>138</v>
      </c>
      <c r="V9" s="638">
        <f t="shared" si="2"/>
        <v>1964</v>
      </c>
      <c r="W9" s="817" t="s">
        <v>138</v>
      </c>
      <c r="X9" s="817" t="s">
        <v>138</v>
      </c>
      <c r="Y9" s="817" t="s">
        <v>138</v>
      </c>
      <c r="AA9" s="638">
        <f t="shared" si="3"/>
        <v>1964</v>
      </c>
      <c r="AB9" s="817" t="s">
        <v>138</v>
      </c>
      <c r="AC9" s="817" t="s">
        <v>138</v>
      </c>
      <c r="AD9" s="817" t="s">
        <v>138</v>
      </c>
    </row>
    <row r="10" spans="1:33">
      <c r="A10" s="637">
        <f t="shared" ref="A10:A36" si="7">A9+2</f>
        <v>1966</v>
      </c>
      <c r="B10" s="639"/>
      <c r="C10" s="1032">
        <f>VLOOKUP($A10,Database!$A$74:$J$131,3,FALSE)</f>
        <v>2699418</v>
      </c>
      <c r="D10" s="502">
        <f t="shared" si="4"/>
        <v>7286857538724</v>
      </c>
      <c r="E10" s="503">
        <f t="shared" ref="E10:E34" si="8">(B10-$C10)/C10</f>
        <v>-1</v>
      </c>
      <c r="F10" s="497"/>
      <c r="G10" s="643">
        <f t="shared" si="5"/>
        <v>1966</v>
      </c>
      <c r="H10" s="1002"/>
      <c r="I10" s="502">
        <f t="shared" si="6"/>
        <v>7286857538724</v>
      </c>
      <c r="J10" s="503">
        <f t="shared" ref="J10:J34" si="9">(H10-$C10)/$C10</f>
        <v>-1</v>
      </c>
      <c r="K10" s="497"/>
      <c r="L10" s="638">
        <f t="shared" si="0"/>
        <v>1966</v>
      </c>
      <c r="M10" s="1002"/>
      <c r="N10" s="502">
        <f>(M10-$C10)^2</f>
        <v>7286857538724</v>
      </c>
      <c r="O10" s="503">
        <f t="shared" ref="O10:O34" si="10">(M10-$C10)/$C10</f>
        <v>-1</v>
      </c>
      <c r="P10" s="498"/>
      <c r="Q10" s="638">
        <f t="shared" si="1"/>
        <v>1966</v>
      </c>
      <c r="R10" s="817" t="s">
        <v>138</v>
      </c>
      <c r="S10" s="817" t="s">
        <v>138</v>
      </c>
      <c r="T10" s="817" t="s">
        <v>138</v>
      </c>
      <c r="V10" s="638">
        <f t="shared" si="2"/>
        <v>1966</v>
      </c>
      <c r="W10" s="817" t="s">
        <v>138</v>
      </c>
      <c r="X10" s="817" t="s">
        <v>138</v>
      </c>
      <c r="Y10" s="817" t="s">
        <v>138</v>
      </c>
      <c r="AA10" s="638">
        <f t="shared" si="3"/>
        <v>1966</v>
      </c>
      <c r="AB10" s="817" t="s">
        <v>138</v>
      </c>
      <c r="AC10" s="817" t="s">
        <v>138</v>
      </c>
      <c r="AD10" s="817" t="s">
        <v>138</v>
      </c>
    </row>
    <row r="11" spans="1:33">
      <c r="A11" s="637">
        <f t="shared" si="7"/>
        <v>1968</v>
      </c>
      <c r="B11" s="639"/>
      <c r="C11" s="1032">
        <f>VLOOKUP($A11,Database!$A$74:$J$131,3,FALSE)</f>
        <v>2452168</v>
      </c>
      <c r="D11" s="502">
        <f t="shared" si="4"/>
        <v>6013127900224</v>
      </c>
      <c r="E11" s="503">
        <f t="shared" si="8"/>
        <v>-1</v>
      </c>
      <c r="F11" s="497"/>
      <c r="G11" s="643">
        <f t="shared" si="5"/>
        <v>1968</v>
      </c>
      <c r="H11" s="1002"/>
      <c r="I11" s="502">
        <f t="shared" si="6"/>
        <v>6013127900224</v>
      </c>
      <c r="J11" s="503">
        <f t="shared" si="9"/>
        <v>-1</v>
      </c>
      <c r="K11" s="497"/>
      <c r="L11" s="638">
        <f t="shared" si="0"/>
        <v>1968</v>
      </c>
      <c r="M11" s="1002"/>
      <c r="N11" s="502">
        <f>(M11-$C11)^2</f>
        <v>6013127900224</v>
      </c>
      <c r="O11" s="503">
        <f t="shared" si="10"/>
        <v>-1</v>
      </c>
      <c r="P11" s="498"/>
      <c r="Q11" s="638">
        <f t="shared" si="1"/>
        <v>1968</v>
      </c>
      <c r="R11" s="1002"/>
      <c r="S11" s="502">
        <f>(R11-$C11)^2</f>
        <v>6013127900224</v>
      </c>
      <c r="T11" s="503">
        <f t="shared" ref="T11:T34" si="11">(R11-$C11)/$C11</f>
        <v>-1</v>
      </c>
      <c r="V11" s="638">
        <f t="shared" si="2"/>
        <v>1968</v>
      </c>
      <c r="W11" s="817" t="s">
        <v>138</v>
      </c>
      <c r="X11" s="817" t="s">
        <v>138</v>
      </c>
      <c r="Y11" s="817" t="s">
        <v>138</v>
      </c>
      <c r="AA11" s="638">
        <f t="shared" si="3"/>
        <v>1968</v>
      </c>
      <c r="AB11" s="817" t="s">
        <v>138</v>
      </c>
      <c r="AC11" s="817" t="s">
        <v>138</v>
      </c>
      <c r="AD11" s="817" t="s">
        <v>138</v>
      </c>
    </row>
    <row r="12" spans="1:33">
      <c r="A12" s="637">
        <f t="shared" si="7"/>
        <v>1970</v>
      </c>
      <c r="B12" s="639"/>
      <c r="C12" s="1032">
        <f>VLOOKUP($A12,Database!$A$74:$J$131,3,FALSE)</f>
        <v>2809996</v>
      </c>
      <c r="D12" s="502">
        <f t="shared" si="4"/>
        <v>7896077520016</v>
      </c>
      <c r="E12" s="503">
        <f t="shared" si="8"/>
        <v>-1</v>
      </c>
      <c r="F12" s="497"/>
      <c r="G12" s="643">
        <f t="shared" si="5"/>
        <v>1970</v>
      </c>
      <c r="H12" s="1002"/>
      <c r="I12" s="502">
        <f t="shared" si="6"/>
        <v>7896077520016</v>
      </c>
      <c r="J12" s="503">
        <f t="shared" si="9"/>
        <v>-1</v>
      </c>
      <c r="K12" s="497"/>
      <c r="L12" s="638">
        <f t="shared" si="0"/>
        <v>1970</v>
      </c>
      <c r="M12" s="1002"/>
      <c r="N12" s="502">
        <f t="shared" ref="N12:N34" si="12">(M12-$C12)^2</f>
        <v>7896077520016</v>
      </c>
      <c r="O12" s="503">
        <f t="shared" si="10"/>
        <v>-1</v>
      </c>
      <c r="P12" s="498"/>
      <c r="Q12" s="638">
        <f t="shared" si="1"/>
        <v>1970</v>
      </c>
      <c r="R12" s="1002"/>
      <c r="S12" s="502">
        <f t="shared" ref="S12:S34" si="13">(R12-$C12)^2</f>
        <v>7896077520016</v>
      </c>
      <c r="T12" s="503">
        <f t="shared" si="11"/>
        <v>-1</v>
      </c>
      <c r="V12" s="638">
        <f t="shared" si="2"/>
        <v>1970</v>
      </c>
      <c r="W12" s="1002"/>
      <c r="X12" s="502">
        <f t="shared" ref="X12:X34" si="14">(W12-$C12)^2</f>
        <v>7896077520016</v>
      </c>
      <c r="Y12" s="503">
        <f t="shared" ref="Y12:Y34" si="15">(W12-$C12)/$C12</f>
        <v>-1</v>
      </c>
      <c r="AA12" s="638">
        <f t="shared" si="3"/>
        <v>1970</v>
      </c>
      <c r="AB12" s="817" t="s">
        <v>138</v>
      </c>
      <c r="AC12" s="817" t="s">
        <v>138</v>
      </c>
      <c r="AD12" s="817" t="s">
        <v>138</v>
      </c>
      <c r="AF12" s="1046"/>
      <c r="AG12" s="1048" t="s">
        <v>362</v>
      </c>
    </row>
    <row r="13" spans="1:33">
      <c r="A13" s="637">
        <f t="shared" si="7"/>
        <v>1972</v>
      </c>
      <c r="B13" s="639"/>
      <c r="C13" s="1032">
        <f>VLOOKUP($A13,Database!$A$74:$J$131,3,FALSE)</f>
        <v>54783</v>
      </c>
      <c r="D13" s="502">
        <f t="shared" si="4"/>
        <v>3001177089</v>
      </c>
      <c r="E13" s="503">
        <f t="shared" si="8"/>
        <v>-1</v>
      </c>
      <c r="F13" s="497"/>
      <c r="G13" s="643">
        <f t="shared" si="5"/>
        <v>1972</v>
      </c>
      <c r="H13" s="1002"/>
      <c r="I13" s="502">
        <f t="shared" si="6"/>
        <v>3001177089</v>
      </c>
      <c r="J13" s="503">
        <f t="shared" si="9"/>
        <v>-1</v>
      </c>
      <c r="K13" s="497"/>
      <c r="L13" s="638">
        <f t="shared" si="0"/>
        <v>1972</v>
      </c>
      <c r="M13" s="1002"/>
      <c r="N13" s="502">
        <f t="shared" si="12"/>
        <v>3001177089</v>
      </c>
      <c r="O13" s="503">
        <f t="shared" si="10"/>
        <v>-1</v>
      </c>
      <c r="P13" s="498"/>
      <c r="Q13" s="638">
        <f t="shared" si="1"/>
        <v>1972</v>
      </c>
      <c r="R13" s="1002"/>
      <c r="S13" s="502">
        <f t="shared" si="13"/>
        <v>3001177089</v>
      </c>
      <c r="T13" s="503">
        <f t="shared" si="11"/>
        <v>-1</v>
      </c>
      <c r="V13" s="638">
        <f t="shared" si="2"/>
        <v>1972</v>
      </c>
      <c r="W13" s="1002"/>
      <c r="X13" s="502">
        <f t="shared" si="14"/>
        <v>3001177089</v>
      </c>
      <c r="Y13" s="503">
        <f t="shared" si="15"/>
        <v>-1</v>
      </c>
      <c r="AA13" s="638">
        <f t="shared" si="3"/>
        <v>1972</v>
      </c>
      <c r="AB13" s="817" t="s">
        <v>138</v>
      </c>
      <c r="AC13" s="817" t="s">
        <v>138</v>
      </c>
      <c r="AD13" s="817" t="s">
        <v>138</v>
      </c>
      <c r="AF13" s="1046"/>
      <c r="AG13" s="1048" t="s">
        <v>362</v>
      </c>
    </row>
    <row r="14" spans="1:33">
      <c r="A14" s="637">
        <f t="shared" si="7"/>
        <v>1974</v>
      </c>
      <c r="B14" s="639"/>
      <c r="C14" s="1032">
        <f>VLOOKUP($A14,Database!$A$74:$J$131,3,FALSE)</f>
        <v>54783</v>
      </c>
      <c r="D14" s="502">
        <f t="shared" si="4"/>
        <v>3001177089</v>
      </c>
      <c r="E14" s="503">
        <f t="shared" si="8"/>
        <v>-1</v>
      </c>
      <c r="F14" s="497"/>
      <c r="G14" s="634">
        <f t="shared" si="5"/>
        <v>1974</v>
      </c>
      <c r="H14" s="1003"/>
      <c r="I14" s="502">
        <f t="shared" si="6"/>
        <v>3001177089</v>
      </c>
      <c r="J14" s="503">
        <f t="shared" si="9"/>
        <v>-1</v>
      </c>
      <c r="K14" s="497"/>
      <c r="L14" s="638">
        <f t="shared" si="0"/>
        <v>1974</v>
      </c>
      <c r="M14" s="1002"/>
      <c r="N14" s="502">
        <f t="shared" si="12"/>
        <v>3001177089</v>
      </c>
      <c r="O14" s="503">
        <f t="shared" si="10"/>
        <v>-1</v>
      </c>
      <c r="P14" s="498"/>
      <c r="Q14" s="638">
        <f t="shared" si="1"/>
        <v>1974</v>
      </c>
      <c r="R14" s="1002"/>
      <c r="S14" s="502">
        <f t="shared" si="13"/>
        <v>3001177089</v>
      </c>
      <c r="T14" s="503">
        <f t="shared" si="11"/>
        <v>-1</v>
      </c>
      <c r="V14" s="638">
        <f t="shared" si="2"/>
        <v>1974</v>
      </c>
      <c r="W14" s="1002"/>
      <c r="X14" s="502">
        <f t="shared" si="14"/>
        <v>3001177089</v>
      </c>
      <c r="Y14" s="503">
        <f t="shared" si="15"/>
        <v>-1</v>
      </c>
      <c r="AA14" s="638">
        <f t="shared" si="3"/>
        <v>1974</v>
      </c>
      <c r="AB14" s="817" t="s">
        <v>138</v>
      </c>
      <c r="AC14" s="817" t="s">
        <v>138</v>
      </c>
      <c r="AD14" s="817" t="s">
        <v>138</v>
      </c>
      <c r="AF14" s="1046"/>
      <c r="AG14" s="1048" t="s">
        <v>362</v>
      </c>
    </row>
    <row r="15" spans="1:33">
      <c r="A15" s="637">
        <f t="shared" si="7"/>
        <v>1976</v>
      </c>
      <c r="B15" s="639"/>
      <c r="C15" s="1032">
        <f>VLOOKUP($A15,Database!$A$74:$J$131,3,FALSE)</f>
        <v>448773</v>
      </c>
      <c r="D15" s="502">
        <f t="shared" si="4"/>
        <v>201397205529</v>
      </c>
      <c r="E15" s="503">
        <f t="shared" si="8"/>
        <v>-1</v>
      </c>
      <c r="F15" s="497"/>
      <c r="G15" s="634">
        <f t="shared" si="5"/>
        <v>1976</v>
      </c>
      <c r="H15" s="1003"/>
      <c r="I15" s="502">
        <f t="shared" si="6"/>
        <v>201397205529</v>
      </c>
      <c r="J15" s="503">
        <f t="shared" si="9"/>
        <v>-1</v>
      </c>
      <c r="K15" s="497"/>
      <c r="L15" s="638">
        <f t="shared" si="0"/>
        <v>1976</v>
      </c>
      <c r="M15" s="1002"/>
      <c r="N15" s="502">
        <f t="shared" si="12"/>
        <v>201397205529</v>
      </c>
      <c r="O15" s="503">
        <f t="shared" si="10"/>
        <v>-1</v>
      </c>
      <c r="P15" s="498"/>
      <c r="Q15" s="638">
        <f t="shared" si="1"/>
        <v>1976</v>
      </c>
      <c r="R15" s="1002"/>
      <c r="S15" s="502">
        <f t="shared" si="13"/>
        <v>201397205529</v>
      </c>
      <c r="T15" s="503">
        <f t="shared" si="11"/>
        <v>-1</v>
      </c>
      <c r="V15" s="638">
        <f t="shared" si="2"/>
        <v>1976</v>
      </c>
      <c r="W15" s="1002"/>
      <c r="X15" s="502">
        <f t="shared" si="14"/>
        <v>201397205529</v>
      </c>
      <c r="Y15" s="503">
        <f t="shared" si="15"/>
        <v>-1</v>
      </c>
      <c r="AA15" s="638">
        <f t="shared" si="3"/>
        <v>1976</v>
      </c>
      <c r="AB15" s="817" t="s">
        <v>138</v>
      </c>
      <c r="AC15" s="817" t="s">
        <v>138</v>
      </c>
      <c r="AD15" s="817" t="s">
        <v>138</v>
      </c>
      <c r="AF15" s="1046"/>
      <c r="AG15" s="1048" t="s">
        <v>362</v>
      </c>
    </row>
    <row r="16" spans="1:33">
      <c r="A16" s="637">
        <f t="shared" si="7"/>
        <v>1978</v>
      </c>
      <c r="B16" s="639"/>
      <c r="C16" s="1032">
        <f>VLOOKUP($A16,Database!$A$74:$J$131,3,FALSE)</f>
        <v>3169697</v>
      </c>
      <c r="D16" s="502">
        <f t="shared" si="4"/>
        <v>10046979071809</v>
      </c>
      <c r="E16" s="503">
        <f t="shared" si="8"/>
        <v>-1</v>
      </c>
      <c r="F16" s="497"/>
      <c r="G16" s="634">
        <f t="shared" si="5"/>
        <v>1978</v>
      </c>
      <c r="H16" s="1003"/>
      <c r="I16" s="502">
        <f t="shared" si="6"/>
        <v>10046979071809</v>
      </c>
      <c r="J16" s="503">
        <f t="shared" si="9"/>
        <v>-1</v>
      </c>
      <c r="K16" s="497"/>
      <c r="L16" s="638">
        <f t="shared" si="0"/>
        <v>1978</v>
      </c>
      <c r="M16" s="1002"/>
      <c r="N16" s="502">
        <f t="shared" si="12"/>
        <v>10046979071809</v>
      </c>
      <c r="O16" s="503">
        <f t="shared" si="10"/>
        <v>-1</v>
      </c>
      <c r="P16" s="498"/>
      <c r="Q16" s="638">
        <f t="shared" si="1"/>
        <v>1978</v>
      </c>
      <c r="R16" s="1002"/>
      <c r="S16" s="502">
        <f t="shared" si="13"/>
        <v>10046979071809</v>
      </c>
      <c r="T16" s="503">
        <f t="shared" si="11"/>
        <v>-1</v>
      </c>
      <c r="V16" s="638">
        <f t="shared" si="2"/>
        <v>1978</v>
      </c>
      <c r="W16" s="1002"/>
      <c r="X16" s="502">
        <f t="shared" si="14"/>
        <v>10046979071809</v>
      </c>
      <c r="Y16" s="503">
        <f t="shared" si="15"/>
        <v>-1</v>
      </c>
      <c r="AA16" s="638">
        <f t="shared" si="3"/>
        <v>1978</v>
      </c>
      <c r="AB16" s="817" t="s">
        <v>138</v>
      </c>
      <c r="AC16" s="817" t="s">
        <v>138</v>
      </c>
      <c r="AD16" s="817" t="s">
        <v>138</v>
      </c>
      <c r="AF16" s="1046"/>
      <c r="AG16" s="1048" t="s">
        <v>362</v>
      </c>
    </row>
    <row r="17" spans="1:33">
      <c r="A17" s="637">
        <f t="shared" si="7"/>
        <v>1980</v>
      </c>
      <c r="B17" s="639"/>
      <c r="C17" s="1032">
        <f>VLOOKUP($A17,Database!$A$74:$J$131,3,FALSE)</f>
        <v>12918874</v>
      </c>
      <c r="D17" s="502">
        <f t="shared" si="4"/>
        <v>166897305427876</v>
      </c>
      <c r="E17" s="503">
        <f t="shared" si="8"/>
        <v>-1</v>
      </c>
      <c r="F17" s="497"/>
      <c r="G17" s="634">
        <f t="shared" si="5"/>
        <v>1980</v>
      </c>
      <c r="H17" s="1003"/>
      <c r="I17" s="502">
        <f t="shared" si="6"/>
        <v>166897305427876</v>
      </c>
      <c r="J17" s="503">
        <f t="shared" si="9"/>
        <v>-1</v>
      </c>
      <c r="K17" s="497"/>
      <c r="L17" s="638">
        <f t="shared" si="0"/>
        <v>1980</v>
      </c>
      <c r="M17" s="1002"/>
      <c r="N17" s="502">
        <f t="shared" si="12"/>
        <v>166897305427876</v>
      </c>
      <c r="O17" s="503">
        <f t="shared" si="10"/>
        <v>-1</v>
      </c>
      <c r="P17" s="498"/>
      <c r="Q17" s="638">
        <f t="shared" si="1"/>
        <v>1980</v>
      </c>
      <c r="R17" s="1002"/>
      <c r="S17" s="502">
        <f t="shared" si="13"/>
        <v>166897305427876</v>
      </c>
      <c r="T17" s="503">
        <f t="shared" si="11"/>
        <v>-1</v>
      </c>
      <c r="V17" s="638">
        <f t="shared" si="2"/>
        <v>1980</v>
      </c>
      <c r="W17" s="1002"/>
      <c r="X17" s="502">
        <f t="shared" si="14"/>
        <v>166897305427876</v>
      </c>
      <c r="Y17" s="503">
        <f t="shared" si="15"/>
        <v>-1</v>
      </c>
      <c r="AA17" s="638">
        <f t="shared" si="3"/>
        <v>1980</v>
      </c>
      <c r="AB17" s="644"/>
      <c r="AC17" s="502">
        <f t="shared" ref="AC17:AC34" si="16">(AB17-$C17)^2</f>
        <v>166897305427876</v>
      </c>
      <c r="AD17" s="503">
        <f t="shared" ref="AD17:AD34" si="17">(AB17-$C17)/$C17</f>
        <v>-1</v>
      </c>
      <c r="AF17" s="1046"/>
      <c r="AG17" s="1048" t="s">
        <v>362</v>
      </c>
    </row>
    <row r="18" spans="1:33">
      <c r="A18" s="637">
        <f t="shared" si="7"/>
        <v>1982</v>
      </c>
      <c r="B18" s="639"/>
      <c r="C18" s="1032">
        <f>VLOOKUP($A18,Database!$A$74:$J$131,3,FALSE)</f>
        <v>14945199</v>
      </c>
      <c r="D18" s="502">
        <f t="shared" si="4"/>
        <v>223358973149601</v>
      </c>
      <c r="E18" s="503">
        <f t="shared" si="8"/>
        <v>-1</v>
      </c>
      <c r="F18" s="497"/>
      <c r="G18" s="634">
        <f t="shared" si="5"/>
        <v>1982</v>
      </c>
      <c r="H18" s="1003"/>
      <c r="I18" s="502">
        <f t="shared" si="6"/>
        <v>223358973149601</v>
      </c>
      <c r="J18" s="503">
        <f t="shared" si="9"/>
        <v>-1</v>
      </c>
      <c r="K18" s="497"/>
      <c r="L18" s="638">
        <f t="shared" si="0"/>
        <v>1982</v>
      </c>
      <c r="M18" s="1002"/>
      <c r="N18" s="502">
        <f t="shared" si="12"/>
        <v>223358973149601</v>
      </c>
      <c r="O18" s="503">
        <f t="shared" si="10"/>
        <v>-1</v>
      </c>
      <c r="P18" s="498"/>
      <c r="Q18" s="638">
        <f t="shared" si="1"/>
        <v>1982</v>
      </c>
      <c r="R18" s="1002"/>
      <c r="S18" s="502">
        <f t="shared" si="13"/>
        <v>223358973149601</v>
      </c>
      <c r="T18" s="503">
        <f t="shared" si="11"/>
        <v>-1</v>
      </c>
      <c r="V18" s="638">
        <f t="shared" si="2"/>
        <v>1982</v>
      </c>
      <c r="W18" s="1002"/>
      <c r="X18" s="502">
        <f t="shared" si="14"/>
        <v>223358973149601</v>
      </c>
      <c r="Y18" s="503">
        <f t="shared" si="15"/>
        <v>-1</v>
      </c>
      <c r="AA18" s="638">
        <f t="shared" si="3"/>
        <v>1982</v>
      </c>
      <c r="AB18" s="644"/>
      <c r="AC18" s="502">
        <f t="shared" si="16"/>
        <v>223358973149601</v>
      </c>
      <c r="AD18" s="503">
        <f t="shared" si="17"/>
        <v>-1</v>
      </c>
      <c r="AF18" s="1046"/>
      <c r="AG18" s="1048" t="s">
        <v>362</v>
      </c>
    </row>
    <row r="19" spans="1:33">
      <c r="A19" s="637">
        <f t="shared" si="7"/>
        <v>1984</v>
      </c>
      <c r="B19" s="639"/>
      <c r="C19" s="1032">
        <f>VLOOKUP($A19,Database!$A$74:$J$131,3,FALSE)</f>
        <v>17631675</v>
      </c>
      <c r="D19" s="502">
        <f t="shared" si="4"/>
        <v>310875963305625</v>
      </c>
      <c r="E19" s="503">
        <f t="shared" si="8"/>
        <v>-1</v>
      </c>
      <c r="F19" s="504"/>
      <c r="G19" s="634">
        <f t="shared" si="5"/>
        <v>1984</v>
      </c>
      <c r="H19" s="1003"/>
      <c r="I19" s="502">
        <f t="shared" si="6"/>
        <v>310875963305625</v>
      </c>
      <c r="J19" s="503">
        <f t="shared" si="9"/>
        <v>-1</v>
      </c>
      <c r="K19" s="504"/>
      <c r="L19" s="638">
        <f t="shared" si="0"/>
        <v>1984</v>
      </c>
      <c r="M19" s="1002"/>
      <c r="N19" s="502">
        <f t="shared" si="12"/>
        <v>310875963305625</v>
      </c>
      <c r="O19" s="503">
        <f t="shared" si="10"/>
        <v>-1</v>
      </c>
      <c r="P19" s="498"/>
      <c r="Q19" s="638">
        <f t="shared" si="1"/>
        <v>1984</v>
      </c>
      <c r="R19" s="1002"/>
      <c r="S19" s="502">
        <f t="shared" si="13"/>
        <v>310875963305625</v>
      </c>
      <c r="T19" s="503">
        <f t="shared" si="11"/>
        <v>-1</v>
      </c>
      <c r="V19" s="638">
        <f t="shared" si="2"/>
        <v>1984</v>
      </c>
      <c r="W19" s="1002"/>
      <c r="X19" s="502">
        <f t="shared" si="14"/>
        <v>310875963305625</v>
      </c>
      <c r="Y19" s="503">
        <f t="shared" si="15"/>
        <v>-1</v>
      </c>
      <c r="AA19" s="638">
        <f t="shared" si="3"/>
        <v>1984</v>
      </c>
      <c r="AB19" s="644"/>
      <c r="AC19" s="502">
        <f t="shared" si="16"/>
        <v>310875963305625</v>
      </c>
      <c r="AD19" s="503">
        <f t="shared" si="17"/>
        <v>-1</v>
      </c>
      <c r="AF19" s="1046"/>
      <c r="AG19" s="1048" t="s">
        <v>362</v>
      </c>
    </row>
    <row r="20" spans="1:33">
      <c r="A20" s="637">
        <f t="shared" si="7"/>
        <v>1986</v>
      </c>
      <c r="B20" s="639"/>
      <c r="C20" s="1032">
        <f>VLOOKUP($A20,Database!$A$74:$J$131,3,FALSE)</f>
        <v>4578023</v>
      </c>
      <c r="D20" s="502">
        <f t="shared" si="4"/>
        <v>20958294588529</v>
      </c>
      <c r="E20" s="503">
        <f t="shared" si="8"/>
        <v>-1</v>
      </c>
      <c r="F20" s="504"/>
      <c r="G20" s="634">
        <f t="shared" si="5"/>
        <v>1986</v>
      </c>
      <c r="H20" s="1003"/>
      <c r="I20" s="502">
        <f t="shared" si="6"/>
        <v>20958294588529</v>
      </c>
      <c r="J20" s="503">
        <f t="shared" si="9"/>
        <v>-1</v>
      </c>
      <c r="K20" s="504"/>
      <c r="L20" s="638">
        <f t="shared" si="0"/>
        <v>1986</v>
      </c>
      <c r="M20" s="1002"/>
      <c r="N20" s="502">
        <f t="shared" si="12"/>
        <v>20958294588529</v>
      </c>
      <c r="O20" s="503">
        <f t="shared" si="10"/>
        <v>-1</v>
      </c>
      <c r="P20" s="498"/>
      <c r="Q20" s="638">
        <f t="shared" si="1"/>
        <v>1986</v>
      </c>
      <c r="R20" s="1002"/>
      <c r="S20" s="502">
        <f t="shared" si="13"/>
        <v>20958294588529</v>
      </c>
      <c r="T20" s="503">
        <f t="shared" si="11"/>
        <v>-1</v>
      </c>
      <c r="V20" s="638">
        <f t="shared" si="2"/>
        <v>1986</v>
      </c>
      <c r="W20" s="1002"/>
      <c r="X20" s="502">
        <f t="shared" si="14"/>
        <v>20958294588529</v>
      </c>
      <c r="Y20" s="503">
        <f t="shared" si="15"/>
        <v>-1</v>
      </c>
      <c r="AA20" s="638">
        <f t="shared" si="3"/>
        <v>1986</v>
      </c>
      <c r="AB20" s="644"/>
      <c r="AC20" s="502">
        <f t="shared" si="16"/>
        <v>20958294588529</v>
      </c>
      <c r="AD20" s="503">
        <f t="shared" si="17"/>
        <v>-1</v>
      </c>
      <c r="AF20" s="1046"/>
      <c r="AG20" s="1048" t="s">
        <v>362</v>
      </c>
    </row>
    <row r="21" spans="1:33">
      <c r="A21" s="637">
        <f t="shared" si="7"/>
        <v>1988</v>
      </c>
      <c r="B21" s="639"/>
      <c r="C21" s="1032">
        <f>VLOOKUP($A21,Database!$A$74:$J$131,3,FALSE)</f>
        <v>795772</v>
      </c>
      <c r="D21" s="502">
        <f t="shared" si="4"/>
        <v>633253075984</v>
      </c>
      <c r="E21" s="503">
        <f t="shared" si="8"/>
        <v>-1</v>
      </c>
      <c r="F21" s="504"/>
      <c r="G21" s="634">
        <f t="shared" si="5"/>
        <v>1988</v>
      </c>
      <c r="H21" s="1003"/>
      <c r="I21" s="502">
        <f t="shared" si="6"/>
        <v>633253075984</v>
      </c>
      <c r="J21" s="503">
        <f t="shared" si="9"/>
        <v>-1</v>
      </c>
      <c r="K21" s="504"/>
      <c r="L21" s="638">
        <f t="shared" si="0"/>
        <v>1988</v>
      </c>
      <c r="M21" s="1002"/>
      <c r="N21" s="502">
        <f t="shared" si="12"/>
        <v>633253075984</v>
      </c>
      <c r="O21" s="503">
        <f t="shared" si="10"/>
        <v>-1</v>
      </c>
      <c r="P21" s="498"/>
      <c r="Q21" s="638">
        <f t="shared" si="1"/>
        <v>1988</v>
      </c>
      <c r="R21" s="1002"/>
      <c r="S21" s="502">
        <f t="shared" si="13"/>
        <v>633253075984</v>
      </c>
      <c r="T21" s="503">
        <f t="shared" si="11"/>
        <v>-1</v>
      </c>
      <c r="V21" s="638">
        <f t="shared" si="2"/>
        <v>1988</v>
      </c>
      <c r="W21" s="1002"/>
      <c r="X21" s="502">
        <f t="shared" si="14"/>
        <v>633253075984</v>
      </c>
      <c r="Y21" s="503">
        <f t="shared" si="15"/>
        <v>-1</v>
      </c>
      <c r="AA21" s="638">
        <f t="shared" si="3"/>
        <v>1988</v>
      </c>
      <c r="AB21" s="644"/>
      <c r="AC21" s="502">
        <f t="shared" si="16"/>
        <v>633253075984</v>
      </c>
      <c r="AD21" s="503">
        <f t="shared" si="17"/>
        <v>-1</v>
      </c>
      <c r="AF21" s="1046"/>
      <c r="AG21" s="1048" t="s">
        <v>362</v>
      </c>
    </row>
    <row r="22" spans="1:33">
      <c r="A22" s="637">
        <f t="shared" si="7"/>
        <v>1990</v>
      </c>
      <c r="B22" s="639"/>
      <c r="C22" s="1032">
        <f>VLOOKUP($A22,Database!$A$74:$J$131,3,FALSE)</f>
        <v>11687757</v>
      </c>
      <c r="D22" s="502">
        <f t="shared" si="4"/>
        <v>136603663691049</v>
      </c>
      <c r="E22" s="503">
        <f t="shared" si="8"/>
        <v>-1</v>
      </c>
      <c r="F22" s="504"/>
      <c r="G22" s="634">
        <f t="shared" si="5"/>
        <v>1990</v>
      </c>
      <c r="H22" s="1003"/>
      <c r="I22" s="502">
        <f t="shared" si="6"/>
        <v>136603663691049</v>
      </c>
      <c r="J22" s="503">
        <f t="shared" si="9"/>
        <v>-1</v>
      </c>
      <c r="K22" s="504"/>
      <c r="L22" s="638">
        <f t="shared" si="0"/>
        <v>1990</v>
      </c>
      <c r="M22" s="1002"/>
      <c r="N22" s="502">
        <f t="shared" si="12"/>
        <v>136603663691049</v>
      </c>
      <c r="O22" s="503">
        <f t="shared" si="10"/>
        <v>-1</v>
      </c>
      <c r="P22" s="498"/>
      <c r="Q22" s="638">
        <f t="shared" si="1"/>
        <v>1990</v>
      </c>
      <c r="R22" s="1002"/>
      <c r="S22" s="502">
        <f t="shared" si="13"/>
        <v>136603663691049</v>
      </c>
      <c r="T22" s="503">
        <f t="shared" si="11"/>
        <v>-1</v>
      </c>
      <c r="V22" s="638">
        <f t="shared" si="2"/>
        <v>1990</v>
      </c>
      <c r="W22" s="1002"/>
      <c r="X22" s="502">
        <f t="shared" si="14"/>
        <v>136603663691049</v>
      </c>
      <c r="Y22" s="503">
        <f t="shared" si="15"/>
        <v>-1</v>
      </c>
      <c r="AA22" s="638">
        <f t="shared" si="3"/>
        <v>1990</v>
      </c>
      <c r="AB22" s="644"/>
      <c r="AC22" s="502">
        <f t="shared" si="16"/>
        <v>136603663691049</v>
      </c>
      <c r="AD22" s="503">
        <f t="shared" si="17"/>
        <v>-1</v>
      </c>
      <c r="AF22" s="1047"/>
      <c r="AG22" s="1048" t="s">
        <v>362</v>
      </c>
    </row>
    <row r="23" spans="1:33">
      <c r="A23" s="637">
        <f t="shared" si="7"/>
        <v>1992</v>
      </c>
      <c r="B23" s="639"/>
      <c r="C23" s="1032">
        <f>VLOOKUP($A23,Database!$A$74:$J$131,3,FALSE)</f>
        <v>862846</v>
      </c>
      <c r="D23" s="502">
        <f t="shared" si="4"/>
        <v>744503219716</v>
      </c>
      <c r="E23" s="503">
        <f t="shared" si="8"/>
        <v>-1</v>
      </c>
      <c r="F23" s="504"/>
      <c r="G23" s="634">
        <f t="shared" si="5"/>
        <v>1992</v>
      </c>
      <c r="H23" s="1003"/>
      <c r="I23" s="502">
        <f t="shared" si="6"/>
        <v>744503219716</v>
      </c>
      <c r="J23" s="503">
        <f t="shared" si="9"/>
        <v>-1</v>
      </c>
      <c r="K23" s="504"/>
      <c r="L23" s="638">
        <f t="shared" si="0"/>
        <v>1992</v>
      </c>
      <c r="M23" s="1002"/>
      <c r="N23" s="502">
        <f t="shared" si="12"/>
        <v>744503219716</v>
      </c>
      <c r="O23" s="503">
        <f t="shared" si="10"/>
        <v>-1</v>
      </c>
      <c r="P23" s="498"/>
      <c r="Q23" s="638">
        <f t="shared" si="1"/>
        <v>1992</v>
      </c>
      <c r="R23" s="1002"/>
      <c r="S23" s="502">
        <f t="shared" si="13"/>
        <v>744503219716</v>
      </c>
      <c r="T23" s="503">
        <f t="shared" si="11"/>
        <v>-1</v>
      </c>
      <c r="V23" s="638">
        <f t="shared" si="2"/>
        <v>1992</v>
      </c>
      <c r="W23" s="1002"/>
      <c r="X23" s="502">
        <f t="shared" si="14"/>
        <v>744503219716</v>
      </c>
      <c r="Y23" s="503">
        <f t="shared" si="15"/>
        <v>-1</v>
      </c>
      <c r="AA23" s="638">
        <f t="shared" si="3"/>
        <v>1992</v>
      </c>
      <c r="AB23" s="644"/>
      <c r="AC23" s="502">
        <f t="shared" si="16"/>
        <v>744503219716</v>
      </c>
      <c r="AD23" s="503">
        <f t="shared" si="17"/>
        <v>-1</v>
      </c>
      <c r="AF23" s="1046"/>
      <c r="AG23" s="1048" t="s">
        <v>362</v>
      </c>
    </row>
    <row r="24" spans="1:33">
      <c r="A24" s="637">
        <f t="shared" si="7"/>
        <v>1994</v>
      </c>
      <c r="B24" s="639"/>
      <c r="C24" s="1032">
        <f>VLOOKUP($A24,Database!$A$74:$J$131,3,FALSE)</f>
        <v>3257358</v>
      </c>
      <c r="D24" s="502">
        <f t="shared" si="4"/>
        <v>10610381140164</v>
      </c>
      <c r="E24" s="503">
        <f t="shared" si="8"/>
        <v>-1</v>
      </c>
      <c r="F24" s="504"/>
      <c r="G24" s="634">
        <f t="shared" si="5"/>
        <v>1994</v>
      </c>
      <c r="H24" s="1003"/>
      <c r="I24" s="502">
        <f t="shared" si="6"/>
        <v>10610381140164</v>
      </c>
      <c r="J24" s="503">
        <f t="shared" si="9"/>
        <v>-1</v>
      </c>
      <c r="K24" s="504"/>
      <c r="L24" s="638">
        <f t="shared" si="0"/>
        <v>1994</v>
      </c>
      <c r="M24" s="1002"/>
      <c r="N24" s="502">
        <f t="shared" si="12"/>
        <v>10610381140164</v>
      </c>
      <c r="O24" s="503">
        <f t="shared" si="10"/>
        <v>-1</v>
      </c>
      <c r="P24" s="498"/>
      <c r="Q24" s="638">
        <f t="shared" si="1"/>
        <v>1994</v>
      </c>
      <c r="R24" s="1002"/>
      <c r="S24" s="502">
        <f t="shared" si="13"/>
        <v>10610381140164</v>
      </c>
      <c r="T24" s="503">
        <f t="shared" si="11"/>
        <v>-1</v>
      </c>
      <c r="V24" s="638">
        <f t="shared" si="2"/>
        <v>1994</v>
      </c>
      <c r="W24" s="1002"/>
      <c r="X24" s="502">
        <f t="shared" si="14"/>
        <v>10610381140164</v>
      </c>
      <c r="Y24" s="503">
        <f t="shared" si="15"/>
        <v>-1</v>
      </c>
      <c r="AA24" s="638">
        <f t="shared" si="3"/>
        <v>1994</v>
      </c>
      <c r="AB24" s="644"/>
      <c r="AC24" s="502">
        <f t="shared" si="16"/>
        <v>10610381140164</v>
      </c>
      <c r="AD24" s="503">
        <f t="shared" si="17"/>
        <v>-1</v>
      </c>
      <c r="AF24" s="1046"/>
      <c r="AG24" s="1048" t="s">
        <v>362</v>
      </c>
    </row>
    <row r="25" spans="1:33" s="655" customFormat="1">
      <c r="A25" s="648">
        <f t="shared" si="7"/>
        <v>1996</v>
      </c>
      <c r="B25" s="649">
        <f>VLOOKUP($A25,MeanRuns_EvenOrOdd!$A$8:$H$37,3, FALSE)-AF25</f>
        <v>3240439</v>
      </c>
      <c r="C25" s="1033">
        <f>VLOOKUP($A25,Database!$A$74:$J$131,3,FALSE)</f>
        <v>3016749</v>
      </c>
      <c r="D25" s="652">
        <f t="shared" si="4"/>
        <v>50037216100</v>
      </c>
      <c r="E25" s="650">
        <f t="shared" si="8"/>
        <v>7.4149357470575106E-2</v>
      </c>
      <c r="F25" s="650"/>
      <c r="G25" s="651">
        <f t="shared" si="5"/>
        <v>1996</v>
      </c>
      <c r="H25" s="649">
        <f>VLOOKUP($A25,MeanRuns_EvenOrOdd!$A$8:$H$37,4, FALSE)</f>
        <v>3036011</v>
      </c>
      <c r="I25" s="652">
        <f t="shared" si="6"/>
        <v>371024644</v>
      </c>
      <c r="J25" s="509">
        <f t="shared" si="9"/>
        <v>6.3850191050034326E-3</v>
      </c>
      <c r="K25" s="650"/>
      <c r="L25" s="651">
        <f t="shared" si="0"/>
        <v>1996</v>
      </c>
      <c r="M25" s="653">
        <f>VLOOKUP($A25,MeanRuns_EvenOrOdd!$A$8:$H$37,5, FALSE)</f>
        <v>5873942.25</v>
      </c>
      <c r="N25" s="652">
        <f t="shared" si="12"/>
        <v>8163553267845.5625</v>
      </c>
      <c r="O25" s="509">
        <f t="shared" si="10"/>
        <v>0.94711003467640165</v>
      </c>
      <c r="P25" s="654"/>
      <c r="Q25" s="651">
        <f t="shared" si="1"/>
        <v>1996</v>
      </c>
      <c r="R25" s="653">
        <f>VLOOKUP($A25,MeanRuns_EvenOrOdd!$A$8:$H$37,6, FALSE)</f>
        <v>5190655</v>
      </c>
      <c r="S25" s="652">
        <f t="shared" si="13"/>
        <v>4725867296836</v>
      </c>
      <c r="T25" s="509">
        <f t="shared" si="11"/>
        <v>0.72061215566823755</v>
      </c>
      <c r="V25" s="651">
        <f t="shared" si="2"/>
        <v>1996</v>
      </c>
      <c r="W25" s="653">
        <f>VLOOKUP($A25,MeanRuns_EvenOrOdd!$A$8:$H$37,7, FALSE)</f>
        <v>5265315.4000000004</v>
      </c>
      <c r="X25" s="652">
        <f t="shared" si="14"/>
        <v>5056050855208.9619</v>
      </c>
      <c r="Y25" s="509">
        <f t="shared" si="15"/>
        <v>0.74536078407583806</v>
      </c>
      <c r="AA25" s="651">
        <f t="shared" si="3"/>
        <v>1996</v>
      </c>
      <c r="AB25" s="653">
        <f>VLOOKUP($A25,MeanRuns_EvenOrOdd!$A$8:$H$37,8, FALSE)</f>
        <v>8342245.7000000002</v>
      </c>
      <c r="AC25" s="652">
        <f t="shared" si="16"/>
        <v>28360915101710.891</v>
      </c>
      <c r="AD25" s="509">
        <f t="shared" si="17"/>
        <v>1.7653098418197868</v>
      </c>
      <c r="AF25" s="1017">
        <v>1426200</v>
      </c>
      <c r="AG25" s="1018" t="s">
        <v>305</v>
      </c>
    </row>
    <row r="26" spans="1:33">
      <c r="A26" s="637">
        <f t="shared" si="7"/>
        <v>1998</v>
      </c>
      <c r="B26" s="639">
        <f>VLOOKUP($A26,MeanRuns_EvenOrOdd!$A$8:$H$37,3, FALSE)-AF26</f>
        <v>3073885</v>
      </c>
      <c r="C26" s="1032">
        <f>VLOOKUP($A26,Database!$A$74:$J$131,3,FALSE)</f>
        <v>3692143</v>
      </c>
      <c r="D26" s="502">
        <f t="shared" si="4"/>
        <v>382242954564</v>
      </c>
      <c r="E26" s="503">
        <f t="shared" si="8"/>
        <v>-0.16745234407226373</v>
      </c>
      <c r="F26" s="504"/>
      <c r="G26" s="634">
        <f t="shared" si="5"/>
        <v>1998</v>
      </c>
      <c r="H26" s="639">
        <f>VLOOKUP($A26,MeanRuns_EvenOrOdd!$A$8:$H$37,4, FALSE)</f>
        <v>4583362</v>
      </c>
      <c r="I26" s="502">
        <f t="shared" si="6"/>
        <v>794271305961</v>
      </c>
      <c r="J26" s="503">
        <f t="shared" si="9"/>
        <v>0.24138257916879166</v>
      </c>
      <c r="K26" s="504"/>
      <c r="L26" s="638">
        <f t="shared" si="0"/>
        <v>1998</v>
      </c>
      <c r="M26" s="644">
        <f>VLOOKUP($A26,MeanRuns_EvenOrOdd!$A$8:$H$37,5, FALSE)</f>
        <v>3961595.625</v>
      </c>
      <c r="N26" s="502">
        <f t="shared" si="12"/>
        <v>72604717119.390625</v>
      </c>
      <c r="O26" s="503">
        <f t="shared" si="10"/>
        <v>7.2980007816598649E-2</v>
      </c>
      <c r="P26" s="498"/>
      <c r="Q26" s="638">
        <f t="shared" si="1"/>
        <v>1998</v>
      </c>
      <c r="R26" s="644">
        <f>VLOOKUP($A26,MeanRuns_EvenOrOdd!$A$8:$H$37,6, FALSE)</f>
        <v>5873942.25</v>
      </c>
      <c r="S26" s="502">
        <f t="shared" si="13"/>
        <v>4760247967300.5625</v>
      </c>
      <c r="T26" s="503">
        <f t="shared" si="11"/>
        <v>0.59093032149621505</v>
      </c>
      <c r="V26" s="638">
        <f t="shared" si="2"/>
        <v>1998</v>
      </c>
      <c r="W26" s="644">
        <f>VLOOKUP($A26,MeanRuns_EvenOrOdd!$A$8:$H$37,7, FALSE)</f>
        <v>5052541</v>
      </c>
      <c r="X26" s="502">
        <f t="shared" si="14"/>
        <v>1850682718404</v>
      </c>
      <c r="Y26" s="503">
        <f t="shared" si="15"/>
        <v>0.36845755974240435</v>
      </c>
      <c r="AA26" s="638">
        <f t="shared" si="3"/>
        <v>1998</v>
      </c>
      <c r="AB26" s="644">
        <f>VLOOKUP($A26,MeanRuns_EvenOrOdd!$A$8:$H$37,8, FALSE)</f>
        <v>8676149.0999999996</v>
      </c>
      <c r="AC26" s="502">
        <f t="shared" si="16"/>
        <v>24840316804837.207</v>
      </c>
      <c r="AD26" s="503">
        <f t="shared" si="17"/>
        <v>1.3498951963669878</v>
      </c>
      <c r="AF26" s="1011">
        <v>1426200</v>
      </c>
      <c r="AG26" s="1010" t="s">
        <v>305</v>
      </c>
    </row>
    <row r="27" spans="1:33">
      <c r="A27" s="637">
        <f t="shared" si="7"/>
        <v>2000</v>
      </c>
      <c r="B27" s="639">
        <f>VLOOKUP($A27,MeanRuns_EvenOrOdd!$A$8:$H$37,3, FALSE)-AF27</f>
        <v>3848075.5</v>
      </c>
      <c r="C27" s="1032">
        <f>VLOOKUP($A27,Database!$A$74:$J$131,3,FALSE)</f>
        <v>5660513</v>
      </c>
      <c r="D27" s="502">
        <f t="shared" si="4"/>
        <v>3284929691406.25</v>
      </c>
      <c r="E27" s="503">
        <f t="shared" si="8"/>
        <v>-0.32018961885610014</v>
      </c>
      <c r="F27" s="504"/>
      <c r="G27" s="634">
        <f t="shared" si="5"/>
        <v>2000</v>
      </c>
      <c r="H27" s="639">
        <f>VLOOKUP($A27,MeanRuns_EvenOrOdd!$A$8:$H$37,4, FALSE)</f>
        <v>4887180.25</v>
      </c>
      <c r="I27" s="502">
        <f t="shared" si="6"/>
        <v>598043542222.5625</v>
      </c>
      <c r="J27" s="503">
        <f t="shared" si="9"/>
        <v>-0.13661884532373655</v>
      </c>
      <c r="K27" s="504"/>
      <c r="L27" s="638">
        <f t="shared" si="0"/>
        <v>2000</v>
      </c>
      <c r="M27" s="644">
        <f>VLOOKUP($A27,MeanRuns_EvenOrOdd!$A$8:$H$37,5, FALSE)</f>
        <v>5457735.125</v>
      </c>
      <c r="N27" s="502">
        <f t="shared" si="12"/>
        <v>41118866589.515625</v>
      </c>
      <c r="O27" s="503">
        <f t="shared" si="10"/>
        <v>-3.5823232805931193E-2</v>
      </c>
      <c r="P27" s="498"/>
      <c r="Q27" s="638">
        <f t="shared" si="1"/>
        <v>2000</v>
      </c>
      <c r="R27" s="644">
        <f>VLOOKUP($A27,MeanRuns_EvenOrOdd!$A$8:$H$37,6, FALSE)</f>
        <v>3961595.625</v>
      </c>
      <c r="S27" s="502">
        <f t="shared" si="13"/>
        <v>2886320247076.8906</v>
      </c>
      <c r="T27" s="503">
        <f t="shared" si="11"/>
        <v>-0.30013487735122241</v>
      </c>
      <c r="V27" s="638">
        <f t="shared" si="2"/>
        <v>2000</v>
      </c>
      <c r="W27" s="644">
        <f>VLOOKUP($A27,MeanRuns_EvenOrOdd!$A$8:$H$37,7, FALSE)</f>
        <v>5754008.9000000004</v>
      </c>
      <c r="X27" s="502">
        <f t="shared" si="14"/>
        <v>8741483316.81007</v>
      </c>
      <c r="Y27" s="503">
        <f t="shared" si="15"/>
        <v>1.6517213192514597E-2</v>
      </c>
      <c r="AA27" s="638">
        <f t="shared" si="3"/>
        <v>2000</v>
      </c>
      <c r="AB27" s="644">
        <f>VLOOKUP($A27,MeanRuns_EvenOrOdd!$A$8:$H$37,8, FALSE)</f>
        <v>8811068.3499999996</v>
      </c>
      <c r="AC27" s="502">
        <f t="shared" si="16"/>
        <v>9925999013413.6211</v>
      </c>
      <c r="AD27" s="503">
        <f t="shared" si="17"/>
        <v>0.5565847742068607</v>
      </c>
      <c r="AF27" s="1011">
        <v>1426200</v>
      </c>
      <c r="AG27" s="1010" t="s">
        <v>305</v>
      </c>
    </row>
    <row r="28" spans="1:33">
      <c r="A28" s="637">
        <f t="shared" si="7"/>
        <v>2002</v>
      </c>
      <c r="B28" s="639">
        <f>VLOOKUP($A28,MeanRuns_EvenOrOdd!$A$8:$H$37,3, FALSE)-AF28</f>
        <v>6039219</v>
      </c>
      <c r="C28" s="1032">
        <f>VLOOKUP($A28,Database!$A$74:$J$131,3,FALSE)</f>
        <v>236842.54556606748</v>
      </c>
      <c r="D28" s="502">
        <f t="shared" si="4"/>
        <v>33667572518969.297</v>
      </c>
      <c r="E28" s="503">
        <f t="shared" si="8"/>
        <v>24.498877262807301</v>
      </c>
      <c r="F28" s="504"/>
      <c r="G28" s="634">
        <f t="shared" si="5"/>
        <v>2002</v>
      </c>
      <c r="H28" s="639">
        <f>VLOOKUP($A28,MeanRuns_EvenOrOdd!$A$8:$H$37,4, FALSE)</f>
        <v>6332108.25</v>
      </c>
      <c r="I28" s="502">
        <f t="shared" si="6"/>
        <v>37152264007648.484</v>
      </c>
      <c r="J28" s="503">
        <f t="shared" si="9"/>
        <v>25.735518463821155</v>
      </c>
      <c r="K28" s="504"/>
      <c r="L28" s="638">
        <f t="shared" si="0"/>
        <v>2002</v>
      </c>
      <c r="M28" s="644">
        <f>VLOOKUP($A28,MeanRuns_EvenOrOdd!$A$8:$H$37,5, FALSE)</f>
        <v>4607236.7025506478</v>
      </c>
      <c r="N28" s="502">
        <f t="shared" si="12"/>
        <v>19100345087404.965</v>
      </c>
      <c r="O28" s="503">
        <f t="shared" si="10"/>
        <v>18.452741024798076</v>
      </c>
      <c r="P28" s="498"/>
      <c r="Q28" s="638">
        <f t="shared" si="1"/>
        <v>2002</v>
      </c>
      <c r="R28" s="644">
        <f>VLOOKUP($A28,MeanRuns_EvenOrOdd!$A$8:$H$37,6, FALSE)</f>
        <v>5457735.125</v>
      </c>
      <c r="S28" s="502">
        <f t="shared" si="13"/>
        <v>27257719325988.305</v>
      </c>
      <c r="T28" s="503">
        <f t="shared" si="11"/>
        <v>22.043727688180752</v>
      </c>
      <c r="V28" s="638">
        <f t="shared" si="2"/>
        <v>2002</v>
      </c>
      <c r="W28" s="644">
        <f>VLOOKUP($A28,MeanRuns_EvenOrOdd!$A$8:$H$37,7, FALSE)</f>
        <v>4647264.7</v>
      </c>
      <c r="X28" s="502">
        <f t="shared" si="14"/>
        <v>19451823580321.656</v>
      </c>
      <c r="Y28" s="503">
        <f t="shared" si="15"/>
        <v>18.62174781094658</v>
      </c>
      <c r="AA28" s="638">
        <f t="shared" si="3"/>
        <v>2002</v>
      </c>
      <c r="AB28" s="644">
        <f>VLOOKUP($A28,MeanRuns_EvenOrOdd!$A$8:$H$37,8, FALSE)</f>
        <v>8148670.8499999996</v>
      </c>
      <c r="AC28" s="502">
        <f t="shared" si="16"/>
        <v>62597027118841.914</v>
      </c>
      <c r="AD28" s="503">
        <f t="shared" si="17"/>
        <v>33.405435182788644</v>
      </c>
      <c r="AF28" s="1011">
        <v>1350722</v>
      </c>
      <c r="AG28" s="1010" t="s">
        <v>306</v>
      </c>
    </row>
    <row r="29" spans="1:33">
      <c r="A29" s="637">
        <f t="shared" si="7"/>
        <v>2004</v>
      </c>
      <c r="B29" s="639">
        <f>VLOOKUP($A29,MeanRuns_EvenOrOdd!$A$8:$H$37,3, FALSE)-AF29</f>
        <v>-62309.689797407715</v>
      </c>
      <c r="C29" s="1032">
        <f>VLOOKUP($A29,Database!$A$74:$J$131,3,FALSE)</f>
        <v>2870874.2919837157</v>
      </c>
      <c r="D29" s="502">
        <f t="shared" si="4"/>
        <v>8603568270977.3643</v>
      </c>
      <c r="E29" s="503">
        <f t="shared" si="8"/>
        <v>-1.0217040815654637</v>
      </c>
      <c r="F29" s="504"/>
      <c r="G29" s="634">
        <f t="shared" si="5"/>
        <v>2004</v>
      </c>
      <c r="H29" s="639">
        <f>VLOOKUP($A29,MeanRuns_EvenOrOdd!$A$8:$H$37,4, FALSE)</f>
        <v>4327293.1551012965</v>
      </c>
      <c r="I29" s="502">
        <f t="shared" si="6"/>
        <v>2121155904844.7065</v>
      </c>
      <c r="J29" s="503">
        <f t="shared" si="9"/>
        <v>0.5073084764401945</v>
      </c>
      <c r="K29" s="504"/>
      <c r="L29" s="638">
        <f t="shared" si="0"/>
        <v>2004</v>
      </c>
      <c r="M29" s="644">
        <f>VLOOKUP($A29,MeanRuns_EvenOrOdd!$A$8:$H$37,5, FALSE)</f>
        <v>4717073.216637508</v>
      </c>
      <c r="N29" s="502">
        <f t="shared" si="12"/>
        <v>3408450469392.8188</v>
      </c>
      <c r="O29" s="503">
        <f t="shared" si="10"/>
        <v>0.64307898461764634</v>
      </c>
      <c r="P29" s="498"/>
      <c r="Q29" s="638">
        <f t="shared" si="1"/>
        <v>2004</v>
      </c>
      <c r="R29" s="644">
        <f>VLOOKUP($A29,MeanRuns_EvenOrOdd!$A$8:$H$37,6, FALSE)</f>
        <v>4607236.7025506478</v>
      </c>
      <c r="S29" s="502">
        <f t="shared" si="13"/>
        <v>3014954420829.8071</v>
      </c>
      <c r="T29" s="503">
        <f t="shared" si="11"/>
        <v>0.60482007708081875</v>
      </c>
      <c r="V29" s="638">
        <f t="shared" si="2"/>
        <v>2004</v>
      </c>
      <c r="W29" s="644">
        <f>VLOOKUP($A29,MeanRuns_EvenOrOdd!$A$8:$H$37,7, FALSE)</f>
        <v>4619117.1620405186</v>
      </c>
      <c r="X29" s="502">
        <f t="shared" si="14"/>
        <v>3056353132704.4473</v>
      </c>
      <c r="Y29" s="503">
        <f t="shared" si="15"/>
        <v>0.6089583493566354</v>
      </c>
      <c r="AA29" s="638">
        <f t="shared" si="3"/>
        <v>2004</v>
      </c>
      <c r="AB29" s="644">
        <f>VLOOKUP($A29,MeanRuns_EvenOrOdd!$A$8:$H$37,8, FALSE)</f>
        <v>6595703.6810202589</v>
      </c>
      <c r="AC29" s="502">
        <f t="shared" si="16"/>
        <v>13874353977430.348</v>
      </c>
      <c r="AD29" s="503">
        <f t="shared" si="17"/>
        <v>1.2974547159509244</v>
      </c>
      <c r="AF29" s="1011">
        <v>1326955</v>
      </c>
      <c r="AG29" s="1010" t="s">
        <v>307</v>
      </c>
    </row>
    <row r="30" spans="1:33">
      <c r="A30" s="637">
        <f t="shared" si="7"/>
        <v>2006</v>
      </c>
      <c r="B30" s="639">
        <f>VLOOKUP($A30,MeanRuns_EvenOrOdd!$A$8:$H$37,3, FALSE)-AF30</f>
        <v>3588709.0563474381</v>
      </c>
      <c r="C30" s="1032">
        <f>VLOOKUP($A30,Database!$A$74:$J$131,3,FALSE)</f>
        <v>1983120.7161293393</v>
      </c>
      <c r="D30" s="502">
        <f t="shared" si="4"/>
        <v>2577913918244.3096</v>
      </c>
      <c r="E30" s="503">
        <f t="shared" si="8"/>
        <v>0.80962713321450785</v>
      </c>
      <c r="F30" s="504"/>
      <c r="G30" s="634">
        <f t="shared" si="5"/>
        <v>2006</v>
      </c>
      <c r="H30" s="639">
        <f>VLOOKUP($A30,MeanRuns_EvenOrOdd!$A$8:$H$37,4, FALSE)</f>
        <v>3102038.1832750151</v>
      </c>
      <c r="I30" s="502">
        <f t="shared" si="6"/>
        <v>1251976298283.6946</v>
      </c>
      <c r="J30" s="503">
        <f t="shared" si="9"/>
        <v>0.56422055301282015</v>
      </c>
      <c r="K30" s="504"/>
      <c r="L30" s="638">
        <f t="shared" si="0"/>
        <v>2006</v>
      </c>
      <c r="M30" s="644">
        <f>VLOOKUP($A30,MeanRuns_EvenOrOdd!$A$8:$H$37,5, FALSE)</f>
        <v>4227180.0354734249</v>
      </c>
      <c r="N30" s="502">
        <f t="shared" si="12"/>
        <v>5035802228735.041</v>
      </c>
      <c r="O30" s="503">
        <f t="shared" si="10"/>
        <v>1.131579787903203</v>
      </c>
      <c r="P30" s="498"/>
      <c r="Q30" s="638">
        <f t="shared" si="1"/>
        <v>2006</v>
      </c>
      <c r="R30" s="644">
        <f>VLOOKUP($A30,MeanRuns_EvenOrOdd!$A$8:$H$37,6, FALSE)</f>
        <v>4717073.216637508</v>
      </c>
      <c r="S30" s="502">
        <f t="shared" si="13"/>
        <v>7474496275034.8682</v>
      </c>
      <c r="T30" s="503">
        <f t="shared" si="11"/>
        <v>1.3786112354492999</v>
      </c>
      <c r="V30" s="638">
        <f t="shared" si="2"/>
        <v>2006</v>
      </c>
      <c r="W30" s="644">
        <f>VLOOKUP($A30,MeanRuns_EvenOrOdd!$A$8:$H$37,7, FALSE)</f>
        <v>4673675.5733100055</v>
      </c>
      <c r="X30" s="502">
        <f t="shared" si="14"/>
        <v>7239085439498.4746</v>
      </c>
      <c r="Y30" s="503">
        <f t="shared" si="15"/>
        <v>1.3567277247913072</v>
      </c>
      <c r="AA30" s="638">
        <f t="shared" si="3"/>
        <v>2006</v>
      </c>
      <c r="AB30" s="644">
        <f>VLOOKUP($A30,MeanRuns_EvenOrOdd!$A$8:$H$37,8, FALSE)</f>
        <v>4969495.4866550025</v>
      </c>
      <c r="AC30" s="502">
        <f t="shared" si="16"/>
        <v>8918434270032.207</v>
      </c>
      <c r="AD30" s="503">
        <f t="shared" si="17"/>
        <v>1.5058966134721632</v>
      </c>
      <c r="AF30" s="1011">
        <v>1350722</v>
      </c>
      <c r="AG30" s="1010" t="s">
        <v>306</v>
      </c>
    </row>
    <row r="31" spans="1:33">
      <c r="A31" s="637">
        <f t="shared" si="7"/>
        <v>2008</v>
      </c>
      <c r="B31" s="639">
        <f>VLOOKUP($A31,MeanRuns_EvenOrOdd!$A$8:$H$37,3, FALSE)-AF31</f>
        <v>1987747.7753436686</v>
      </c>
      <c r="C31" s="1032">
        <f>VLOOKUP($A31,Database!$A$74:$J$131,3,FALSE)</f>
        <v>1371156.4260196264</v>
      </c>
      <c r="D31" s="502">
        <f t="shared" si="4"/>
        <v>380184892061.24304</v>
      </c>
      <c r="E31" s="503">
        <f t="shared" si="8"/>
        <v>0.44968709450165711</v>
      </c>
      <c r="F31" s="504"/>
      <c r="G31" s="634">
        <f t="shared" si="5"/>
        <v>2008</v>
      </c>
      <c r="H31" s="639">
        <f>VLOOKUP($A31,MeanRuns_EvenOrOdd!$A$8:$H$37,4, FALSE)</f>
        <v>4127066.9158455534</v>
      </c>
      <c r="I31" s="502">
        <f t="shared" si="6"/>
        <v>7595042627932.5791</v>
      </c>
      <c r="J31" s="503">
        <f t="shared" si="9"/>
        <v>2.0099169121251519</v>
      </c>
      <c r="K31" s="504"/>
      <c r="L31" s="638">
        <f t="shared" si="0"/>
        <v>2008</v>
      </c>
      <c r="M31" s="644">
        <f>VLOOKUP($A31,MeanRuns_EvenOrOdd!$A$8:$H$37,5, FALSE)</f>
        <v>2952367.7048731972</v>
      </c>
      <c r="N31" s="502">
        <f t="shared" si="12"/>
        <v>2500229108373.7446</v>
      </c>
      <c r="O31" s="503">
        <f t="shared" si="10"/>
        <v>1.1531953968546969</v>
      </c>
      <c r="P31" s="498"/>
      <c r="Q31" s="638">
        <f t="shared" si="1"/>
        <v>2008</v>
      </c>
      <c r="R31" s="644">
        <f>VLOOKUP($A31,MeanRuns_EvenOrOdd!$A$8:$H$37,6, FALSE)</f>
        <v>4227180.0354734249</v>
      </c>
      <c r="S31" s="502">
        <f t="shared" si="13"/>
        <v>8156870857757.502</v>
      </c>
      <c r="T31" s="503">
        <f t="shared" si="11"/>
        <v>2.0829305506335554</v>
      </c>
      <c r="V31" s="638">
        <f t="shared" si="2"/>
        <v>2008</v>
      </c>
      <c r="W31" s="644">
        <f>VLOOKUP($A31,MeanRuns_EvenOrOdd!$A$8:$H$37,7, FALSE)</f>
        <v>4436599.1283787396</v>
      </c>
      <c r="X31" s="502">
        <f t="shared" si="14"/>
        <v>9396938961446.7402</v>
      </c>
      <c r="Y31" s="503">
        <f t="shared" si="15"/>
        <v>2.2356622805305184</v>
      </c>
      <c r="AA31" s="638">
        <f t="shared" si="3"/>
        <v>2008</v>
      </c>
      <c r="AB31" s="644">
        <f>VLOOKUP($A31,MeanRuns_EvenOrOdd!$A$8:$H$37,8, FALSE)</f>
        <v>4744570.0641893698</v>
      </c>
      <c r="AC31" s="502">
        <f t="shared" si="16"/>
        <v>11379919574189.623</v>
      </c>
      <c r="AD31" s="503">
        <f t="shared" si="17"/>
        <v>2.4602689920380074</v>
      </c>
      <c r="AF31" s="1011">
        <v>1326955</v>
      </c>
      <c r="AG31" s="1010" t="s">
        <v>307</v>
      </c>
    </row>
    <row r="32" spans="1:33">
      <c r="A32" s="637">
        <f t="shared" si="7"/>
        <v>2010</v>
      </c>
      <c r="B32" s="639">
        <f>VLOOKUP($A32,MeanRuns_EvenOrOdd!$A$8:$H$37,3, FALSE)-AF32</f>
        <v>939969.67759908875</v>
      </c>
      <c r="C32" s="1032">
        <f>VLOOKUP($A32,Database!$A$74:$J$131,3,FALSE)</f>
        <v>2325412.6096819355</v>
      </c>
      <c r="D32" s="502">
        <f t="shared" si="4"/>
        <v>1919452118058.3154</v>
      </c>
      <c r="E32" s="503">
        <f t="shared" si="8"/>
        <v>-0.59578370148785953</v>
      </c>
      <c r="F32" s="504"/>
      <c r="G32" s="634">
        <f t="shared" si="5"/>
        <v>2010</v>
      </c>
      <c r="H32" s="639">
        <f>VLOOKUP($A32,MeanRuns_EvenOrOdd!$A$8:$H$37,4, FALSE)</f>
        <v>2802697.2264713785</v>
      </c>
      <c r="I32" s="502">
        <f t="shared" si="6"/>
        <v>227800605423.8454</v>
      </c>
      <c r="J32" s="503">
        <f t="shared" si="9"/>
        <v>0.20524728162316314</v>
      </c>
      <c r="K32" s="504"/>
      <c r="L32" s="638">
        <f t="shared" si="0"/>
        <v>2010</v>
      </c>
      <c r="M32" s="644">
        <f>VLOOKUP($A32,MeanRuns_EvenOrOdd!$A$8:$H$37,5, FALSE)</f>
        <v>3736054.0591268586</v>
      </c>
      <c r="N32" s="502">
        <f t="shared" si="12"/>
        <v>1989909298892.0735</v>
      </c>
      <c r="O32" s="503">
        <f t="shared" si="10"/>
        <v>0.60661985041780064</v>
      </c>
      <c r="P32" s="498"/>
      <c r="Q32" s="638">
        <f t="shared" si="1"/>
        <v>2010</v>
      </c>
      <c r="R32" s="644">
        <f>VLOOKUP($A32,MeanRuns_EvenOrOdd!$A$8:$H$37,6, FALSE)</f>
        <v>2952367.7048731972</v>
      </c>
      <c r="S32" s="502">
        <f t="shared" si="13"/>
        <v>393072691386.28406</v>
      </c>
      <c r="T32" s="503">
        <f t="shared" si="11"/>
        <v>0.26961025866158661</v>
      </c>
      <c r="V32" s="638">
        <f t="shared" si="2"/>
        <v>2010</v>
      </c>
      <c r="W32" s="644">
        <f>VLOOKUP($A32,MeanRuns_EvenOrOdd!$A$8:$H$37,7, FALSE)</f>
        <v>3839882.3638985576</v>
      </c>
      <c r="X32" s="502">
        <f t="shared" si="14"/>
        <v>2293618636436.9556</v>
      </c>
      <c r="Y32" s="503">
        <f t="shared" si="15"/>
        <v>0.65126926202733881</v>
      </c>
      <c r="AA32" s="638">
        <f t="shared" si="3"/>
        <v>2010</v>
      </c>
      <c r="AB32" s="644">
        <f>VLOOKUP($A32,MeanRuns_EvenOrOdd!$A$8:$H$37,8, FALSE)</f>
        <v>4796945.6319492785</v>
      </c>
      <c r="AC32" s="502">
        <f t="shared" si="16"/>
        <v>6108475480157.9463</v>
      </c>
      <c r="AD32" s="503">
        <f t="shared" si="17"/>
        <v>1.062836337937203</v>
      </c>
      <c r="AF32" s="1011">
        <v>1350722</v>
      </c>
      <c r="AG32" s="1010" t="s">
        <v>306</v>
      </c>
    </row>
    <row r="33" spans="1:33">
      <c r="A33" s="637">
        <f t="shared" si="7"/>
        <v>2012</v>
      </c>
      <c r="B33" s="639">
        <f>VLOOKUP($A33,MeanRuns_EvenOrOdd!$A$8:$H$37,3, FALSE)-AF33</f>
        <v>3243390.7272172375</v>
      </c>
      <c r="C33" s="1032">
        <f>VLOOKUP($A33,Database!$A$74:$J$131,3,FALSE)</f>
        <v>3288580.30084719</v>
      </c>
      <c r="D33" s="502">
        <f t="shared" si="4"/>
        <v>2042097564.8568985</v>
      </c>
      <c r="E33" s="503">
        <f t="shared" si="8"/>
        <v>-1.3741362380085704E-2</v>
      </c>
      <c r="F33" s="504"/>
      <c r="G33" s="634">
        <f t="shared" si="5"/>
        <v>2012</v>
      </c>
      <c r="H33" s="639">
        <f>VLOOKUP($A33,MeanRuns_EvenOrOdd!$A$8:$H$37,4, FALSE)</f>
        <v>3345041.2024081629</v>
      </c>
      <c r="I33" s="502">
        <f t="shared" si="6"/>
        <v>3187833405.0778732</v>
      </c>
      <c r="J33" s="503">
        <f t="shared" si="9"/>
        <v>1.7168776917634548E-2</v>
      </c>
      <c r="K33" s="504"/>
      <c r="L33" s="638">
        <f t="shared" si="0"/>
        <v>2012</v>
      </c>
      <c r="M33" s="644">
        <f>VLOOKUP($A33,MeanRuns_EvenOrOdd!$A$8:$H$37,5, FALSE)</f>
        <v>3608263.1812933721</v>
      </c>
      <c r="N33" s="502">
        <f t="shared" si="12"/>
        <v>102197144050.36795</v>
      </c>
      <c r="O33" s="503">
        <f t="shared" si="10"/>
        <v>9.7209996776976004E-2</v>
      </c>
      <c r="P33" s="498"/>
      <c r="Q33" s="638">
        <f t="shared" si="1"/>
        <v>2012</v>
      </c>
      <c r="R33" s="644">
        <f>VLOOKUP($A33,MeanRuns_EvenOrOdd!$A$8:$H$37,6, FALSE)</f>
        <v>3736054.0591268586</v>
      </c>
      <c r="S33" s="502">
        <f t="shared" si="13"/>
        <v>200232764348.9313</v>
      </c>
      <c r="T33" s="503">
        <f t="shared" si="11"/>
        <v>0.1360689772922353</v>
      </c>
      <c r="V33" s="638">
        <f t="shared" si="2"/>
        <v>2012</v>
      </c>
      <c r="W33" s="644">
        <f>VLOOKUP($A33,MeanRuns_EvenOrOdd!$A$8:$H$37,7, FALSE)</f>
        <v>3241772.3093420053</v>
      </c>
      <c r="X33" s="502">
        <f t="shared" si="14"/>
        <v>2190988068.7494407</v>
      </c>
      <c r="Y33" s="503">
        <f t="shared" si="15"/>
        <v>-1.423349507175671E-2</v>
      </c>
      <c r="AA33" s="638">
        <f t="shared" si="3"/>
        <v>2012</v>
      </c>
      <c r="AB33" s="644">
        <f>VLOOKUP($A33,MeanRuns_EvenOrOdd!$A$8:$H$37,8, FALSE)</f>
        <v>3944518.5046710023</v>
      </c>
      <c r="AC33" s="502">
        <f t="shared" si="16"/>
        <v>430254927235.60913</v>
      </c>
      <c r="AD33" s="503">
        <f t="shared" si="17"/>
        <v>0.19945938484604811</v>
      </c>
      <c r="AF33" s="1011">
        <v>1156000</v>
      </c>
      <c r="AG33" s="1010" t="s">
        <v>305</v>
      </c>
    </row>
    <row r="34" spans="1:33">
      <c r="A34" s="637">
        <f t="shared" si="7"/>
        <v>2014</v>
      </c>
      <c r="B34" s="639">
        <f>VLOOKUP($A34,MeanRuns_EvenOrOdd!$A$8:$H$37,3, FALSE)-AF34</f>
        <v>3272267.5450134957</v>
      </c>
      <c r="C34" s="1032">
        <f>VLOOKUP($A34,Database!$A$74:$J$131,3,FALSE)</f>
        <v>1884365</v>
      </c>
      <c r="D34" s="502">
        <f t="shared" si="4"/>
        <v>1926273474454.9385</v>
      </c>
      <c r="E34" s="503">
        <f t="shared" si="8"/>
        <v>0.73653593916969151</v>
      </c>
      <c r="F34" s="504"/>
      <c r="G34" s="634">
        <f t="shared" si="5"/>
        <v>2014</v>
      </c>
      <c r="H34" s="639">
        <f>VLOOKUP($A34,MeanRuns_EvenOrOdd!$A$8:$H$37,4, FALSE)</f>
        <v>4413829.1361153666</v>
      </c>
      <c r="I34" s="502">
        <f t="shared" si="6"/>
        <v>6398188815893.8574</v>
      </c>
      <c r="J34" s="503">
        <f t="shared" si="9"/>
        <v>1.3423429835065748</v>
      </c>
      <c r="K34" s="504"/>
      <c r="L34" s="638">
        <f t="shared" si="0"/>
        <v>2014</v>
      </c>
      <c r="M34" s="644">
        <f>VLOOKUP($A34,MeanRuns_EvenOrOdd!$A$8:$H$37,5, FALSE)</f>
        <v>3455186.7374574551</v>
      </c>
      <c r="N34" s="502">
        <f t="shared" si="12"/>
        <v>2467480930868.8579</v>
      </c>
      <c r="O34" s="503">
        <f t="shared" si="10"/>
        <v>0.83360799922385265</v>
      </c>
      <c r="P34" s="498"/>
      <c r="Q34" s="638">
        <f t="shared" si="1"/>
        <v>2014</v>
      </c>
      <c r="R34" s="644">
        <f>VLOOKUP($A34,MeanRuns_EvenOrOdd!$A$8:$H$37,6, FALSE)</f>
        <v>3608263.1812933721</v>
      </c>
      <c r="S34" s="502">
        <f t="shared" si="13"/>
        <v>2971824939466.5957</v>
      </c>
      <c r="T34" s="503">
        <f t="shared" si="11"/>
        <v>0.914843027382366</v>
      </c>
      <c r="V34" s="638">
        <f t="shared" si="2"/>
        <v>2014</v>
      </c>
      <c r="W34" s="644">
        <f>VLOOKUP($A34,MeanRuns_EvenOrOdd!$A$8:$H$37,7, FALSE)</f>
        <v>3874496.7563041858</v>
      </c>
      <c r="X34" s="502">
        <f t="shared" si="14"/>
        <v>3960624407450.3833</v>
      </c>
      <c r="Y34" s="503">
        <f t="shared" si="15"/>
        <v>1.0561285930826489</v>
      </c>
      <c r="AA34" s="638">
        <f t="shared" si="3"/>
        <v>2014</v>
      </c>
      <c r="AB34" s="644">
        <f>VLOOKUP($A34,MeanRuns_EvenOrOdd!$A$8:$H$37,8, FALSE)</f>
        <v>4246806.9591723513</v>
      </c>
      <c r="AC34" s="502">
        <f t="shared" si="16"/>
        <v>5581132010458.0977</v>
      </c>
      <c r="AD34" s="503">
        <f t="shared" si="17"/>
        <v>1.2537071953535284</v>
      </c>
      <c r="AF34" s="1011">
        <v>1156000</v>
      </c>
      <c r="AG34" s="1010" t="s">
        <v>305</v>
      </c>
    </row>
    <row r="35" spans="1:33">
      <c r="A35" s="637">
        <f t="shared" si="7"/>
        <v>2016</v>
      </c>
      <c r="B35" s="639">
        <f>VLOOKUP($A35,MeanRuns_EvenOrOdd!$A$8:$H$37,3, FALSE)-AF35</f>
        <v>2702397</v>
      </c>
      <c r="C35" s="1032">
        <f>VLOOKUP($A35,Database!$A$74:$J$131,3,FALSE)</f>
        <v>2164930.6988393101</v>
      </c>
      <c r="D35" s="502">
        <f t="shared" ref="D35" si="18">(B35-$C35)^2</f>
        <v>288870024883.35339</v>
      </c>
      <c r="E35" s="503">
        <f t="shared" ref="E35" si="19">(B35-$C35)/C35</f>
        <v>0.24826027985507484</v>
      </c>
      <c r="F35" s="504"/>
      <c r="G35" s="634">
        <f t="shared" ref="G35" si="20">A35</f>
        <v>2016</v>
      </c>
      <c r="H35" s="639">
        <f>VLOOKUP($A35,MeanRuns_EvenOrOdd!$A$8:$H$37,4, FALSE)</f>
        <v>3565332.2725067479</v>
      </c>
      <c r="I35" s="502">
        <f t="shared" ref="I35" si="21">(H35-$C35)^2</f>
        <v>1961124567530.2361</v>
      </c>
      <c r="J35" s="503">
        <f t="shared" ref="J35" si="22">(H35-$C35)/$C35</f>
        <v>0.64685746034191238</v>
      </c>
      <c r="K35" s="504"/>
      <c r="L35" s="638">
        <f t="shared" ref="L35" si="23">G35</f>
        <v>2016</v>
      </c>
      <c r="M35" s="644">
        <f>VLOOKUP($A35,MeanRuns_EvenOrOdd!$A$8:$H$37,5, FALSE)</f>
        <v>3759760.4224315612</v>
      </c>
      <c r="N35" s="502">
        <f t="shared" ref="N35" si="24">(M35-$C35)^2</f>
        <v>2543481847253.3359</v>
      </c>
      <c r="O35" s="503">
        <f t="shared" ref="O35" si="25">(M35-$C35)/$C35</f>
        <v>0.73666548515723451</v>
      </c>
      <c r="P35" s="498"/>
      <c r="Q35" s="638">
        <f t="shared" ref="Q35" si="26">L35</f>
        <v>2016</v>
      </c>
      <c r="R35" s="644">
        <f>VLOOKUP($A35,MeanRuns_EvenOrOdd!$A$8:$H$37,6, FALSE)</f>
        <v>3455186.7374574551</v>
      </c>
      <c r="S35" s="502">
        <f t="shared" ref="S35" si="27">(R35-$C35)^2</f>
        <v>1664760645190.5881</v>
      </c>
      <c r="T35" s="503">
        <f t="shared" ref="T35" si="28">(R35-$C35)/$C35</f>
        <v>0.59598029595584434</v>
      </c>
      <c r="V35" s="638">
        <f t="shared" ref="V35" si="29">Q35</f>
        <v>2016</v>
      </c>
      <c r="W35" s="644">
        <f>VLOOKUP($A35,MeanRuns_EvenOrOdd!$A$8:$H$37,7, FALSE)</f>
        <v>3427089.9450346977</v>
      </c>
      <c r="X35" s="502">
        <f t="shared" ref="X35" si="30">(W35-$C35)^2</f>
        <v>1593045962756.509</v>
      </c>
      <c r="Y35" s="503">
        <f t="shared" ref="Y35" si="31">(W35-$C35)/$C35</f>
        <v>0.58300214730756617</v>
      </c>
      <c r="AA35" s="638">
        <f t="shared" ref="AA35" si="32">V35</f>
        <v>2016</v>
      </c>
      <c r="AB35" s="644">
        <f>VLOOKUP($A35,MeanRuns_EvenOrOdd!$A$8:$H$37,8, FALSE)</f>
        <v>4050382.7591723516</v>
      </c>
      <c r="AC35" s="502">
        <f t="shared" ref="AC35" si="33">(AB35-$C35)^2</f>
        <v>3554929471814.1108</v>
      </c>
      <c r="AD35" s="503">
        <f t="shared" ref="AD35" si="34">(AB35-$C35)/$C35</f>
        <v>0.8709064273253152</v>
      </c>
      <c r="AF35" s="1011"/>
      <c r="AG35" s="1010"/>
    </row>
    <row r="36" spans="1:33">
      <c r="A36" s="637">
        <f t="shared" si="7"/>
        <v>2018</v>
      </c>
      <c r="B36" s="510">
        <f>VLOOKUP($A36,MeanRuns_EvenOrOdd!$A$8:$H$37,3, FALSE)-AF36</f>
        <v>2352986.4174955119</v>
      </c>
      <c r="C36" s="501"/>
      <c r="D36" s="502"/>
      <c r="E36" s="503"/>
      <c r="F36" s="504"/>
      <c r="G36" s="634">
        <f t="shared" si="5"/>
        <v>2018</v>
      </c>
      <c r="H36" s="510">
        <f>VLOOKUP($A36,MeanRuns_EvenOrOdd!$A$8:$H$37,4, FALSE)</f>
        <v>3105691.7087477557</v>
      </c>
      <c r="I36" s="501"/>
      <c r="J36" s="502"/>
      <c r="K36" s="504"/>
      <c r="L36" s="638">
        <f t="shared" si="0"/>
        <v>2018</v>
      </c>
      <c r="M36" s="510">
        <f>VLOOKUP($A36,MeanRuns_EvenOrOdd!$A$8:$H$37,5, FALSE)</f>
        <v>3546550.3208363359</v>
      </c>
      <c r="N36" s="502"/>
      <c r="O36" s="503"/>
      <c r="P36" s="498"/>
      <c r="Q36" s="638">
        <f t="shared" si="1"/>
        <v>2018</v>
      </c>
      <c r="R36" s="510">
        <f>VLOOKUP($A36,MeanRuns_EvenOrOdd!$A$8:$H$37,6, FALSE)</f>
        <v>3759760.4224315612</v>
      </c>
      <c r="S36" s="502"/>
      <c r="T36" s="503"/>
      <c r="V36" s="638">
        <f t="shared" si="2"/>
        <v>2018</v>
      </c>
      <c r="W36" s="510">
        <f>VLOOKUP($A36,MeanRuns_EvenOrOdd!$A$8:$H$37,7, FALSE)</f>
        <v>3465946.6734650666</v>
      </c>
      <c r="X36" s="502"/>
      <c r="Y36" s="503"/>
      <c r="Z36" s="498"/>
      <c r="AA36" s="638">
        <f t="shared" si="3"/>
        <v>2018</v>
      </c>
      <c r="AB36" s="510">
        <f>VLOOKUP($A36,MeanRuns_EvenOrOdd!$A$8:$H$37,8, FALSE)</f>
        <v>3951272.9009219026</v>
      </c>
      <c r="AC36" s="502"/>
      <c r="AD36" s="503"/>
      <c r="AF36" s="1011">
        <v>1156000</v>
      </c>
      <c r="AG36" s="1010" t="s">
        <v>305</v>
      </c>
    </row>
    <row r="37" spans="1:33">
      <c r="A37" s="637"/>
      <c r="B37" s="640"/>
      <c r="C37" s="511"/>
      <c r="D37" s="512"/>
      <c r="E37" s="513"/>
      <c r="F37" s="513"/>
      <c r="G37" s="634"/>
      <c r="H37" s="641"/>
      <c r="I37" s="511"/>
      <c r="J37" s="512"/>
      <c r="K37" s="513"/>
      <c r="L37" s="634"/>
      <c r="M37" s="640"/>
      <c r="N37" s="512"/>
      <c r="O37" s="513"/>
      <c r="P37" s="508"/>
      <c r="Q37" s="634"/>
      <c r="R37" s="640"/>
      <c r="S37" s="512"/>
      <c r="T37" s="513"/>
      <c r="U37" s="507"/>
      <c r="V37" s="634"/>
      <c r="W37" s="640"/>
      <c r="X37" s="512"/>
      <c r="Y37" s="513"/>
      <c r="Z37" s="507"/>
      <c r="AA37" s="634"/>
      <c r="AB37" s="640"/>
      <c r="AC37" s="507"/>
    </row>
    <row r="38" spans="1:33">
      <c r="A38" s="514"/>
      <c r="B38" s="515"/>
      <c r="C38" s="516"/>
      <c r="D38" s="517"/>
      <c r="E38" s="513"/>
      <c r="F38" s="513"/>
      <c r="G38" s="505"/>
      <c r="H38" s="642"/>
      <c r="I38" s="516"/>
      <c r="J38" s="517"/>
      <c r="K38" s="513"/>
      <c r="L38" s="505"/>
      <c r="M38" s="515"/>
      <c r="N38" s="517"/>
      <c r="O38" s="513"/>
      <c r="P38" s="508"/>
      <c r="Q38" s="638"/>
      <c r="R38" s="515"/>
      <c r="S38" s="517"/>
      <c r="T38" s="513"/>
      <c r="U38" s="518"/>
      <c r="V38" s="500"/>
      <c r="W38" s="515"/>
      <c r="X38" s="517"/>
      <c r="Y38" s="513"/>
      <c r="AA38" s="500"/>
    </row>
    <row r="39" spans="1:33">
      <c r="A39" s="514"/>
      <c r="B39" s="519"/>
      <c r="C39" s="520"/>
      <c r="D39" s="517"/>
      <c r="E39" s="513"/>
      <c r="F39" s="513"/>
      <c r="G39" s="505"/>
      <c r="H39" s="642"/>
      <c r="I39" s="520"/>
      <c r="J39" s="517"/>
      <c r="K39" s="513"/>
      <c r="L39" s="505"/>
      <c r="M39" s="519"/>
      <c r="N39" s="517"/>
      <c r="O39" s="513"/>
      <c r="P39" s="508"/>
      <c r="Q39" s="638"/>
      <c r="R39" s="519"/>
      <c r="S39" s="517"/>
      <c r="T39" s="513"/>
      <c r="U39" s="518"/>
      <c r="V39" s="500"/>
      <c r="W39" s="519"/>
      <c r="X39" s="517"/>
      <c r="Y39" s="513"/>
      <c r="AA39" s="500"/>
    </row>
    <row r="40" spans="1:33">
      <c r="A40" s="514"/>
      <c r="B40" s="479"/>
      <c r="C40" s="521"/>
      <c r="D40" s="522"/>
      <c r="E40" s="523"/>
      <c r="F40" s="513"/>
      <c r="G40" s="505"/>
      <c r="H40" s="642"/>
      <c r="I40" s="521"/>
      <c r="J40" s="522"/>
      <c r="K40" s="513"/>
      <c r="L40" s="505"/>
      <c r="M40" s="479"/>
      <c r="N40" s="522"/>
      <c r="O40" s="523"/>
      <c r="P40" s="508"/>
      <c r="Q40" s="638"/>
      <c r="R40" s="479"/>
      <c r="S40" s="522"/>
      <c r="T40" s="523"/>
      <c r="U40" s="518"/>
      <c r="V40" s="500"/>
      <c r="W40" s="479"/>
      <c r="X40" s="522"/>
      <c r="Y40" s="523"/>
      <c r="AA40" s="500"/>
    </row>
    <row r="41" spans="1:33" ht="51">
      <c r="A41" s="656"/>
      <c r="B41" s="657"/>
      <c r="C41" s="658" t="s">
        <v>178</v>
      </c>
      <c r="D41" s="659">
        <f>SUM(D25:D36)</f>
        <v>53083087177283.93</v>
      </c>
      <c r="E41" s="660">
        <f>SUM(E25:E36)</f>
        <v>24.698265958657036</v>
      </c>
      <c r="F41" s="661"/>
      <c r="G41" s="656"/>
      <c r="H41" s="658" t="s">
        <v>178</v>
      </c>
      <c r="I41" s="659">
        <f>SUM(I25:I36)</f>
        <v>58103426533790.039</v>
      </c>
      <c r="J41" s="660">
        <f>SUM(J25:J36)</f>
        <v>31.139729660738666</v>
      </c>
      <c r="K41" s="661"/>
      <c r="L41" s="656"/>
      <c r="M41" s="658" t="s">
        <v>178</v>
      </c>
      <c r="N41" s="659">
        <f>SUM(N30:N36)</f>
        <v>14639100558173.42</v>
      </c>
      <c r="O41" s="660">
        <f>SUM(O30:O36)</f>
        <v>4.5588785163337642</v>
      </c>
      <c r="P41" s="662"/>
      <c r="Q41" s="656"/>
      <c r="R41" s="658" t="s">
        <v>178</v>
      </c>
      <c r="S41" s="659">
        <f>SUM(S25:S36)</f>
        <v>63506367431216.32</v>
      </c>
      <c r="T41" s="660">
        <f>SUM(T25:T36)</f>
        <v>29.037999710449686</v>
      </c>
      <c r="U41" s="663"/>
      <c r="V41" s="657"/>
      <c r="W41" s="658" t="s">
        <v>178</v>
      </c>
      <c r="X41" s="659">
        <f>SUM(X25:X36)</f>
        <v>53909156165613.688</v>
      </c>
      <c r="Y41" s="660">
        <f>SUM(Y25:Y36)</f>
        <v>26.229598229981598</v>
      </c>
      <c r="Z41" s="664"/>
      <c r="AA41" s="657"/>
      <c r="AB41" s="658" t="s">
        <v>178</v>
      </c>
      <c r="AC41" s="659">
        <f>SUM(AC25:AC36)</f>
        <v>175571757750121.56</v>
      </c>
      <c r="AD41" s="660">
        <f>SUM(AD25:AD36)</f>
        <v>45.727754662105475</v>
      </c>
      <c r="AE41" s="664"/>
    </row>
    <row r="42" spans="1:33">
      <c r="A42" s="524"/>
      <c r="B42" s="479"/>
      <c r="C42" s="527" t="s">
        <v>179</v>
      </c>
      <c r="D42" s="528">
        <f>SQRT(D41/(COUNT(D25:D36)-1))</f>
        <v>2303976.7181393984</v>
      </c>
      <c r="E42" s="529">
        <f>E41/COUNTA(E25:E36)</f>
        <v>2.2452969053324576</v>
      </c>
      <c r="F42" s="530"/>
      <c r="G42" s="524"/>
      <c r="H42" s="527" t="s">
        <v>179</v>
      </c>
      <c r="I42" s="528">
        <f>SQRT(I41/(COUNT(I25:I36)-1))</f>
        <v>2410465.2358785439</v>
      </c>
      <c r="J42" s="529">
        <f>J41/COUNTA(J25:J36)</f>
        <v>2.830884514612606</v>
      </c>
      <c r="K42" s="530"/>
      <c r="L42" s="524"/>
      <c r="M42" s="527" t="s">
        <v>179</v>
      </c>
      <c r="N42" s="528">
        <f>SQRT(N41/(COUNT(N25:N36)-1))</f>
        <v>1209921.5081224658</v>
      </c>
      <c r="O42" s="529">
        <f>O41/COUNTA(O25:O36)</f>
        <v>0.41444350148488768</v>
      </c>
      <c r="P42" s="508"/>
      <c r="Q42" s="524"/>
      <c r="R42" s="527" t="s">
        <v>179</v>
      </c>
      <c r="S42" s="528">
        <f>SQRT(S41/(COUNT(S25:S36)-1))</f>
        <v>2520046.9724038146</v>
      </c>
      <c r="T42" s="529">
        <f>T41/COUNTA(T25:T36)</f>
        <v>2.6398181554954259</v>
      </c>
      <c r="U42" s="518"/>
      <c r="V42" s="479"/>
      <c r="W42" s="527" t="s">
        <v>179</v>
      </c>
      <c r="X42" s="528">
        <f>SQRT(X41/(COUNT(X25:X36)-1))</f>
        <v>2321834.5368611799</v>
      </c>
      <c r="Y42" s="529">
        <f>Y41/COUNTA(Y25:Y36)</f>
        <v>2.3845089299983271</v>
      </c>
      <c r="Z42" s="540"/>
      <c r="AA42" s="479"/>
      <c r="AB42" s="527" t="s">
        <v>179</v>
      </c>
      <c r="AC42" s="528">
        <f>SQRT(AC41/(COUNT(AC25:AC36)-1))</f>
        <v>4190128.3721399461</v>
      </c>
      <c r="AD42" s="529">
        <f>AD41/COUNTA(AD25:AD36)</f>
        <v>4.1570686056459527</v>
      </c>
      <c r="AE42" s="540"/>
    </row>
    <row r="43" spans="1:33">
      <c r="A43" s="527"/>
      <c r="B43" s="479"/>
      <c r="C43" s="527" t="s">
        <v>180</v>
      </c>
      <c r="D43" s="531"/>
      <c r="E43" s="646">
        <f>E42*0.8</f>
        <v>1.7962375242659663</v>
      </c>
      <c r="F43" s="526"/>
      <c r="G43" s="527"/>
      <c r="H43" s="527" t="s">
        <v>180</v>
      </c>
      <c r="I43" s="531"/>
      <c r="J43" s="646">
        <f>J42*0.8</f>
        <v>2.2647076116900848</v>
      </c>
      <c r="K43" s="526"/>
      <c r="L43" s="527"/>
      <c r="M43" s="527" t="s">
        <v>180</v>
      </c>
      <c r="N43" s="531"/>
      <c r="O43" s="646">
        <f>O42*0.8</f>
        <v>0.33155480118791014</v>
      </c>
      <c r="P43" s="508"/>
      <c r="Q43" s="527"/>
      <c r="R43" s="527" t="s">
        <v>180</v>
      </c>
      <c r="S43" s="531"/>
      <c r="T43" s="646">
        <f>T42*0.8</f>
        <v>2.1118545243963407</v>
      </c>
      <c r="U43" s="518"/>
      <c r="V43" s="479"/>
      <c r="W43" s="527" t="s">
        <v>180</v>
      </c>
      <c r="X43" s="531"/>
      <c r="Y43" s="646">
        <f>Y42*0.8</f>
        <v>1.9076071439986617</v>
      </c>
      <c r="Z43" s="540"/>
      <c r="AA43" s="479"/>
      <c r="AB43" s="527" t="s">
        <v>180</v>
      </c>
      <c r="AC43" s="531"/>
      <c r="AD43" s="646">
        <f>AD42*0.8</f>
        <v>3.3256548845167622</v>
      </c>
      <c r="AE43" s="540"/>
    </row>
    <row r="44" spans="1:33">
      <c r="A44" s="527"/>
      <c r="B44" s="479"/>
      <c r="C44" s="527" t="s">
        <v>262</v>
      </c>
      <c r="D44" s="532">
        <f>COUNT(D25:D36)-1</f>
        <v>10</v>
      </c>
      <c r="E44" s="525"/>
      <c r="F44" s="526"/>
      <c r="G44" s="527"/>
      <c r="H44" s="527" t="s">
        <v>262</v>
      </c>
      <c r="I44" s="532">
        <f>COUNT(I25:I36)-1</f>
        <v>10</v>
      </c>
      <c r="J44" s="525"/>
      <c r="K44" s="526"/>
      <c r="L44" s="527"/>
      <c r="M44" s="527" t="s">
        <v>262</v>
      </c>
      <c r="N44" s="532">
        <f>COUNT(N30:N36)-1</f>
        <v>5</v>
      </c>
      <c r="O44" s="525"/>
      <c r="P44" s="508"/>
      <c r="Q44" s="527"/>
      <c r="R44" s="527" t="s">
        <v>262</v>
      </c>
      <c r="S44" s="532">
        <f>COUNT(S25:S36)-1</f>
        <v>10</v>
      </c>
      <c r="T44" s="525"/>
      <c r="U44" s="518"/>
      <c r="V44" s="479"/>
      <c r="W44" s="527" t="s">
        <v>262</v>
      </c>
      <c r="X44" s="532">
        <f>COUNT(X25:X36)-1</f>
        <v>10</v>
      </c>
      <c r="Y44" s="525"/>
      <c r="Z44" s="540"/>
      <c r="AA44" s="479"/>
      <c r="AB44" s="527" t="s">
        <v>262</v>
      </c>
      <c r="AC44" s="532">
        <f>COUNT(AC25:AC36)-1</f>
        <v>10</v>
      </c>
      <c r="AD44" s="525"/>
      <c r="AE44" s="540"/>
    </row>
    <row r="45" spans="1:33">
      <c r="A45" s="527"/>
      <c r="B45" s="479"/>
      <c r="C45" s="527" t="s">
        <v>263</v>
      </c>
      <c r="D45" s="533">
        <f>_xlfn.T.INV.2T(0.2,D44)</f>
        <v>1.3721836411103363</v>
      </c>
      <c r="E45" s="525"/>
      <c r="F45" s="526"/>
      <c r="G45" s="527"/>
      <c r="H45" s="527" t="s">
        <v>263</v>
      </c>
      <c r="I45" s="533">
        <f>_xlfn.T.INV.2T(0.2,I44)</f>
        <v>1.3721836411103363</v>
      </c>
      <c r="J45" s="525"/>
      <c r="K45" s="526"/>
      <c r="L45" s="527"/>
      <c r="M45" s="527" t="s">
        <v>263</v>
      </c>
      <c r="N45" s="533">
        <f>_xlfn.T.INV.2T(0.2,N44)</f>
        <v>1.4758840488244813</v>
      </c>
      <c r="O45" s="525"/>
      <c r="P45" s="508"/>
      <c r="Q45" s="527"/>
      <c r="R45" s="527" t="s">
        <v>263</v>
      </c>
      <c r="S45" s="533">
        <f>_xlfn.T.INV.2T(0.2,S44)</f>
        <v>1.3721836411103363</v>
      </c>
      <c r="T45" s="525"/>
      <c r="U45" s="518"/>
      <c r="V45" s="479"/>
      <c r="W45" s="527" t="s">
        <v>263</v>
      </c>
      <c r="X45" s="533">
        <f>_xlfn.T.INV.2T(0.2,X44)</f>
        <v>1.3721836411103363</v>
      </c>
      <c r="Y45" s="525"/>
      <c r="Z45" s="540"/>
      <c r="AA45" s="479"/>
      <c r="AB45" s="527" t="s">
        <v>263</v>
      </c>
      <c r="AC45" s="533">
        <f>_xlfn.T.INV.2T(0.2,AC44)</f>
        <v>1.3721836411103363</v>
      </c>
      <c r="AD45" s="525"/>
      <c r="AE45" s="540"/>
    </row>
    <row r="46" spans="1:33">
      <c r="A46" s="665"/>
      <c r="B46" s="665" t="s">
        <v>181</v>
      </c>
      <c r="C46" s="666" t="s">
        <v>182</v>
      </c>
      <c r="D46" s="667">
        <f>D42*D45</f>
        <v>3161479.1621299628</v>
      </c>
      <c r="E46" s="668">
        <f>D46/B36</f>
        <v>1.3436028098687454</v>
      </c>
      <c r="F46" s="669"/>
      <c r="G46" s="665" t="s">
        <v>181</v>
      </c>
      <c r="H46" s="666" t="s">
        <v>182</v>
      </c>
      <c r="I46" s="667">
        <f>I42*I45</f>
        <v>3307600.964137706</v>
      </c>
      <c r="J46" s="668">
        <f>I46/H36</f>
        <v>1.0650126523573591</v>
      </c>
      <c r="K46" s="669"/>
      <c r="L46" s="665" t="s">
        <v>181</v>
      </c>
      <c r="M46" s="666" t="s">
        <v>182</v>
      </c>
      <c r="N46" s="667">
        <f>N42*N45</f>
        <v>1785703.8541676074</v>
      </c>
      <c r="O46" s="668">
        <f>N46/M36</f>
        <v>0.5035044459051996</v>
      </c>
      <c r="P46" s="670"/>
      <c r="Q46" s="665" t="s">
        <v>181</v>
      </c>
      <c r="R46" s="666" t="s">
        <v>182</v>
      </c>
      <c r="S46" s="667">
        <f>S42*S45</f>
        <v>3457967.2303621452</v>
      </c>
      <c r="T46" s="668">
        <f>S46/R36</f>
        <v>0.91973073862130916</v>
      </c>
      <c r="U46" s="671"/>
      <c r="V46" s="665" t="s">
        <v>181</v>
      </c>
      <c r="W46" s="666" t="s">
        <v>182</v>
      </c>
      <c r="X46" s="667">
        <f>X42*X45</f>
        <v>3185983.3688459052</v>
      </c>
      <c r="Y46" s="668">
        <f>X46/W36</f>
        <v>0.91922457816142067</v>
      </c>
      <c r="Z46" s="672"/>
      <c r="AA46" s="665" t="s">
        <v>181</v>
      </c>
      <c r="AB46" s="666" t="s">
        <v>182</v>
      </c>
      <c r="AC46" s="667">
        <f>AC42*AC45</f>
        <v>5749625.6064027175</v>
      </c>
      <c r="AD46" s="668">
        <f>AC46/AB36</f>
        <v>1.455132497950528</v>
      </c>
      <c r="AE46" s="672"/>
    </row>
    <row r="47" spans="1:33">
      <c r="A47" s="524"/>
      <c r="B47" s="479"/>
      <c r="C47" s="527"/>
      <c r="D47" s="534"/>
      <c r="E47" s="535"/>
      <c r="F47" s="536"/>
      <c r="G47" s="524"/>
      <c r="I47" s="534"/>
      <c r="J47" s="535"/>
      <c r="K47" s="536"/>
      <c r="L47" s="537"/>
      <c r="N47" s="538"/>
      <c r="O47" s="508"/>
      <c r="P47" s="508"/>
      <c r="Q47" s="508"/>
      <c r="S47" s="540"/>
      <c r="T47" s="540"/>
      <c r="U47" s="518"/>
      <c r="V47" s="540"/>
      <c r="W47" s="540"/>
      <c r="X47" s="540"/>
      <c r="Y47" s="540"/>
    </row>
    <row r="48" spans="1:33" ht="18" customHeight="1" thickBot="1">
      <c r="A48" s="527"/>
      <c r="B48" s="479"/>
      <c r="C48" s="527"/>
      <c r="D48" s="527"/>
      <c r="E48" s="527"/>
      <c r="F48" s="527"/>
      <c r="G48" s="527"/>
      <c r="H48" s="527"/>
      <c r="I48" s="527"/>
      <c r="J48" s="527"/>
      <c r="K48" s="527"/>
      <c r="L48" s="520"/>
      <c r="M48" s="503"/>
      <c r="N48" s="538"/>
      <c r="O48" s="508"/>
      <c r="P48" s="508"/>
      <c r="Q48" s="508"/>
      <c r="R48" s="539"/>
      <c r="S48" s="540"/>
      <c r="T48" s="540"/>
      <c r="U48" s="518"/>
      <c r="V48" s="540"/>
      <c r="W48" s="540"/>
      <c r="X48" s="540"/>
      <c r="Y48" s="540"/>
    </row>
    <row r="49" spans="1:25" ht="18" customHeight="1">
      <c r="A49" s="527"/>
      <c r="B49" s="541"/>
      <c r="C49" s="542" t="s">
        <v>264</v>
      </c>
      <c r="D49" s="543"/>
      <c r="E49" s="520"/>
      <c r="F49" s="520"/>
      <c r="G49" s="520"/>
      <c r="H49" s="520"/>
      <c r="I49" s="520"/>
      <c r="J49" s="520"/>
      <c r="K49" s="520"/>
      <c r="L49" s="544"/>
      <c r="M49" s="503"/>
      <c r="N49" s="538"/>
      <c r="O49" s="508"/>
      <c r="P49" s="508"/>
      <c r="Q49" s="508"/>
      <c r="R49" s="539"/>
      <c r="S49" s="540"/>
      <c r="T49" s="540"/>
      <c r="U49" s="518"/>
      <c r="V49" s="540"/>
      <c r="W49" s="540"/>
      <c r="X49" s="540"/>
      <c r="Y49" s="540"/>
    </row>
    <row r="50" spans="1:25" ht="18" customHeight="1">
      <c r="A50" s="479"/>
      <c r="B50" s="545" t="s">
        <v>265</v>
      </c>
      <c r="C50" s="546">
        <f>D46</f>
        <v>3161479.1621299628</v>
      </c>
      <c r="D50" s="547"/>
      <c r="E50" s="480"/>
      <c r="F50" s="480"/>
      <c r="G50" s="480"/>
      <c r="H50" s="480"/>
      <c r="I50" s="480"/>
      <c r="J50" s="480"/>
      <c r="K50" s="480"/>
      <c r="L50" s="520"/>
      <c r="M50" s="503"/>
      <c r="N50" s="538"/>
      <c r="O50" s="508"/>
      <c r="P50" s="508"/>
      <c r="Q50" s="508"/>
      <c r="R50" s="539"/>
      <c r="S50" s="540"/>
      <c r="T50" s="540"/>
      <c r="U50" s="518"/>
      <c r="V50" s="540"/>
      <c r="W50" s="540"/>
      <c r="X50" s="540"/>
      <c r="Y50" s="540"/>
    </row>
    <row r="51" spans="1:25" ht="18" customHeight="1">
      <c r="A51" s="548"/>
      <c r="B51" s="549" t="s">
        <v>266</v>
      </c>
      <c r="C51" s="546">
        <f>I46</f>
        <v>3307600.964137706</v>
      </c>
      <c r="D51" s="547"/>
      <c r="E51" s="550" t="s">
        <v>267</v>
      </c>
      <c r="F51" s="551"/>
      <c r="G51" s="551"/>
      <c r="H51" s="551"/>
      <c r="I51" s="551"/>
      <c r="J51" s="551"/>
      <c r="K51" s="551"/>
      <c r="L51" s="520"/>
      <c r="M51" s="503"/>
      <c r="N51" s="538"/>
      <c r="O51" s="508"/>
      <c r="P51" s="508"/>
      <c r="Q51" s="508"/>
      <c r="R51" s="476"/>
      <c r="U51" s="552"/>
    </row>
    <row r="52" spans="1:25" ht="18" customHeight="1">
      <c r="A52" s="548"/>
      <c r="B52" s="549" t="s">
        <v>268</v>
      </c>
      <c r="C52" s="546">
        <f>N46</f>
        <v>1785703.8541676074</v>
      </c>
      <c r="D52" s="553"/>
      <c r="E52" s="551"/>
      <c r="F52" s="551"/>
      <c r="G52" s="551"/>
      <c r="H52" s="551"/>
      <c r="I52" s="551"/>
      <c r="J52" s="551"/>
      <c r="K52" s="551"/>
      <c r="L52" s="520"/>
      <c r="M52" s="503"/>
      <c r="N52" s="538"/>
      <c r="O52" s="508"/>
      <c r="P52" s="508"/>
      <c r="Q52" s="508"/>
      <c r="R52" s="476"/>
      <c r="U52" s="552"/>
    </row>
    <row r="53" spans="1:25" ht="18" customHeight="1">
      <c r="A53" s="548"/>
      <c r="B53" s="549" t="s">
        <v>269</v>
      </c>
      <c r="C53" s="546">
        <f>S46</f>
        <v>3457967.2303621452</v>
      </c>
      <c r="D53" s="553"/>
      <c r="E53" s="551"/>
      <c r="F53" s="551"/>
      <c r="G53" s="551"/>
      <c r="H53" s="551"/>
      <c r="I53" s="551"/>
      <c r="J53" s="551"/>
      <c r="K53" s="551"/>
      <c r="L53" s="520"/>
      <c r="M53" s="503"/>
      <c r="N53" s="538"/>
      <c r="O53" s="508"/>
      <c r="P53" s="508"/>
      <c r="Q53" s="508"/>
      <c r="R53" s="476"/>
      <c r="U53" s="552"/>
    </row>
    <row r="54" spans="1:25" ht="18" customHeight="1">
      <c r="A54" s="551"/>
      <c r="B54" s="549" t="s">
        <v>270</v>
      </c>
      <c r="C54" s="546">
        <f>X46</f>
        <v>3185983.3688459052</v>
      </c>
      <c r="D54" s="553"/>
      <c r="E54" s="551"/>
      <c r="F54" s="551"/>
      <c r="G54" s="551"/>
      <c r="H54" s="551"/>
      <c r="I54" s="551"/>
      <c r="J54" s="551"/>
      <c r="K54" s="551"/>
      <c r="L54" s="473"/>
      <c r="M54" s="503"/>
      <c r="N54" s="506"/>
      <c r="O54" s="508"/>
      <c r="P54" s="508"/>
      <c r="Q54" s="508"/>
      <c r="R54" s="476"/>
      <c r="U54" s="552"/>
    </row>
    <row r="55" spans="1:25" ht="18" customHeight="1">
      <c r="A55" s="551"/>
      <c r="B55" s="549" t="s">
        <v>308</v>
      </c>
      <c r="C55" s="546">
        <f>AC46</f>
        <v>5749625.6064027175</v>
      </c>
      <c r="D55" s="553"/>
      <c r="E55" s="551"/>
      <c r="F55" s="551"/>
      <c r="G55" s="551"/>
      <c r="H55" s="551"/>
      <c r="I55" s="551"/>
      <c r="J55" s="551"/>
      <c r="K55" s="551"/>
      <c r="L55" s="473"/>
      <c r="M55" s="503"/>
      <c r="N55" s="506"/>
      <c r="O55" s="508"/>
      <c r="P55" s="508"/>
      <c r="Q55" s="508"/>
      <c r="R55" s="476"/>
      <c r="U55" s="552"/>
    </row>
    <row r="56" spans="1:25" ht="18" customHeight="1" thickBot="1">
      <c r="A56" s="527"/>
      <c r="B56" s="554"/>
      <c r="C56" s="555"/>
      <c r="D56" s="556"/>
      <c r="E56" s="527"/>
      <c r="F56" s="527"/>
      <c r="G56" s="527"/>
      <c r="H56" s="527"/>
      <c r="I56" s="527"/>
      <c r="J56" s="527"/>
      <c r="K56" s="527"/>
      <c r="L56" s="557"/>
      <c r="M56" s="558"/>
      <c r="N56" s="506"/>
      <c r="O56" s="508"/>
      <c r="P56" s="508"/>
      <c r="Q56" s="508"/>
      <c r="R56" s="476"/>
      <c r="U56" s="552"/>
    </row>
    <row r="57" spans="1:25" ht="18" customHeight="1">
      <c r="A57" s="527"/>
      <c r="B57" s="479"/>
      <c r="C57" s="527"/>
      <c r="D57" s="527"/>
      <c r="E57" s="527"/>
      <c r="F57" s="527"/>
      <c r="G57" s="527"/>
      <c r="H57" s="527"/>
      <c r="I57" s="527"/>
      <c r="J57" s="527"/>
      <c r="K57" s="527"/>
      <c r="L57" s="557"/>
      <c r="M57" s="558"/>
      <c r="N57" s="506"/>
      <c r="O57" s="508"/>
      <c r="P57" s="508"/>
      <c r="Q57" s="508"/>
      <c r="R57" s="476"/>
      <c r="U57" s="552"/>
    </row>
    <row r="58" spans="1:25" ht="18" customHeight="1">
      <c r="A58" s="527"/>
      <c r="B58" s="479"/>
      <c r="C58" s="527"/>
      <c r="D58" s="527"/>
      <c r="E58" s="527"/>
      <c r="F58" s="527"/>
      <c r="G58" s="527"/>
      <c r="H58" s="527"/>
      <c r="I58" s="527"/>
      <c r="J58" s="527"/>
      <c r="K58" s="527"/>
      <c r="L58" s="557"/>
      <c r="M58" s="559"/>
      <c r="N58" s="560"/>
      <c r="O58" s="508"/>
      <c r="P58" s="508"/>
      <c r="Q58" s="508"/>
      <c r="R58" s="476"/>
      <c r="U58" s="552"/>
    </row>
    <row r="59" spans="1:25" ht="18" customHeight="1">
      <c r="A59" s="520"/>
      <c r="B59" s="480"/>
      <c r="C59" s="520"/>
      <c r="D59" s="520"/>
      <c r="E59" s="520"/>
      <c r="F59" s="520"/>
      <c r="G59" s="520"/>
      <c r="H59" s="520"/>
      <c r="I59" s="520"/>
      <c r="J59" s="520"/>
      <c r="K59" s="520"/>
      <c r="L59" s="561"/>
      <c r="M59" s="562"/>
      <c r="N59" s="560"/>
      <c r="O59" s="563"/>
      <c r="P59" s="563"/>
      <c r="Q59" s="563"/>
      <c r="R59" s="476"/>
      <c r="U59" s="552"/>
    </row>
    <row r="60" spans="1:25" ht="18" customHeight="1">
      <c r="A60" s="564"/>
      <c r="B60" s="565"/>
      <c r="C60" s="566"/>
      <c r="D60" s="520"/>
      <c r="E60" s="520"/>
      <c r="F60" s="520"/>
      <c r="G60" s="520"/>
      <c r="H60" s="520"/>
      <c r="I60" s="520"/>
      <c r="J60" s="520"/>
      <c r="K60" s="520"/>
      <c r="L60" s="561"/>
      <c r="M60" s="567"/>
      <c r="N60" s="560"/>
      <c r="O60" s="568"/>
      <c r="P60" s="568"/>
      <c r="Q60" s="568"/>
      <c r="R60" s="476"/>
      <c r="U60" s="552"/>
    </row>
    <row r="61" spans="1:25" ht="18">
      <c r="A61" s="566"/>
      <c r="B61" s="566"/>
      <c r="C61" s="566"/>
      <c r="D61" s="520"/>
      <c r="E61" s="520"/>
      <c r="F61" s="520"/>
      <c r="G61" s="520"/>
      <c r="H61" s="520"/>
      <c r="I61" s="520"/>
      <c r="J61" s="520"/>
      <c r="K61" s="520"/>
      <c r="L61" s="561"/>
      <c r="M61" s="526"/>
      <c r="N61" s="526"/>
      <c r="O61" s="569"/>
      <c r="P61" s="569"/>
      <c r="Q61" s="569"/>
      <c r="R61" s="476"/>
      <c r="U61" s="552"/>
    </row>
    <row r="62" spans="1:25" ht="18">
      <c r="A62" s="570"/>
      <c r="B62" s="570"/>
      <c r="C62" s="571"/>
      <c r="D62" s="520"/>
      <c r="E62" s="520"/>
      <c r="F62" s="520"/>
      <c r="G62" s="520"/>
      <c r="H62" s="520"/>
      <c r="I62" s="520"/>
      <c r="J62" s="520"/>
      <c r="K62" s="520"/>
      <c r="L62" s="561"/>
      <c r="M62" s="567"/>
      <c r="N62" s="530"/>
      <c r="O62" s="568"/>
      <c r="P62" s="568"/>
      <c r="Q62" s="568"/>
      <c r="R62" s="476"/>
      <c r="U62" s="552"/>
    </row>
    <row r="63" spans="1:25" ht="18">
      <c r="A63" s="570"/>
      <c r="B63" s="570"/>
      <c r="C63" s="571"/>
      <c r="D63" s="520"/>
      <c r="E63" s="520"/>
      <c r="F63" s="520"/>
      <c r="G63" s="520"/>
      <c r="H63" s="520"/>
      <c r="I63" s="520"/>
      <c r="J63" s="520"/>
      <c r="K63" s="520"/>
      <c r="L63" s="561"/>
      <c r="M63" s="572"/>
      <c r="N63" s="560"/>
      <c r="O63" s="568"/>
      <c r="P63" s="568"/>
      <c r="Q63" s="568"/>
      <c r="R63" s="476"/>
      <c r="U63" s="552"/>
    </row>
    <row r="64" spans="1:25" ht="18">
      <c r="A64" s="570"/>
      <c r="B64" s="570"/>
      <c r="C64" s="571"/>
      <c r="D64" s="520"/>
      <c r="E64" s="520"/>
      <c r="F64" s="520"/>
      <c r="G64" s="520"/>
      <c r="H64" s="520"/>
      <c r="I64" s="520"/>
      <c r="J64" s="520"/>
      <c r="K64" s="520"/>
      <c r="L64" s="561"/>
      <c r="M64" s="562"/>
      <c r="N64" s="560"/>
      <c r="O64" s="563"/>
      <c r="P64" s="563"/>
      <c r="Q64" s="563"/>
      <c r="R64" s="476"/>
      <c r="U64" s="552"/>
    </row>
    <row r="65" spans="1:23" ht="18">
      <c r="A65" s="570"/>
      <c r="B65" s="570"/>
      <c r="C65" s="571"/>
      <c r="D65" s="520"/>
      <c r="E65" s="520"/>
      <c r="F65" s="520"/>
      <c r="G65" s="520"/>
      <c r="H65" s="520"/>
      <c r="I65" s="520"/>
      <c r="J65" s="520"/>
      <c r="K65" s="520"/>
      <c r="L65" s="561"/>
      <c r="M65" s="567"/>
      <c r="N65" s="560"/>
      <c r="O65" s="573"/>
      <c r="P65" s="573"/>
      <c r="Q65" s="573"/>
      <c r="R65" s="476"/>
      <c r="U65" s="552"/>
    </row>
    <row r="66" spans="1:23" ht="18">
      <c r="A66" s="570"/>
      <c r="B66" s="570"/>
      <c r="C66" s="571"/>
      <c r="D66" s="520"/>
      <c r="E66" s="520"/>
      <c r="F66" s="520"/>
      <c r="G66" s="520"/>
      <c r="H66" s="520"/>
      <c r="I66" s="520"/>
      <c r="J66" s="520"/>
      <c r="K66" s="520"/>
      <c r="L66" s="561"/>
      <c r="M66" s="544"/>
      <c r="N66" s="544"/>
      <c r="O66" s="574"/>
      <c r="P66" s="574"/>
      <c r="Q66" s="574"/>
      <c r="R66" s="476"/>
      <c r="U66" s="552"/>
    </row>
    <row r="67" spans="1:23" ht="18">
      <c r="A67" s="570"/>
      <c r="B67" s="570"/>
      <c r="C67" s="571"/>
      <c r="D67" s="520"/>
      <c r="E67" s="520"/>
      <c r="F67" s="520"/>
      <c r="G67" s="520"/>
      <c r="H67" s="520"/>
      <c r="I67" s="520"/>
      <c r="J67" s="520"/>
      <c r="K67" s="520"/>
      <c r="L67" s="561"/>
      <c r="M67" s="520"/>
      <c r="N67" s="520"/>
      <c r="O67" s="573"/>
      <c r="P67" s="573"/>
      <c r="Q67" s="573"/>
      <c r="R67" s="476"/>
      <c r="U67" s="575"/>
      <c r="V67" s="575"/>
      <c r="W67" s="575"/>
    </row>
    <row r="68" spans="1:23" ht="18">
      <c r="A68" s="570"/>
      <c r="B68" s="570"/>
      <c r="C68" s="571"/>
      <c r="D68" s="520"/>
      <c r="E68" s="520"/>
      <c r="F68" s="520"/>
      <c r="G68" s="520"/>
      <c r="H68" s="520"/>
      <c r="I68" s="520"/>
      <c r="J68" s="520"/>
      <c r="K68" s="520"/>
      <c r="L68" s="561"/>
      <c r="M68" s="520"/>
      <c r="N68" s="520"/>
      <c r="O68" s="573"/>
      <c r="P68" s="573"/>
      <c r="Q68" s="573"/>
      <c r="R68" s="476"/>
      <c r="U68" s="575"/>
      <c r="V68" s="575"/>
      <c r="W68" s="575"/>
    </row>
    <row r="69" spans="1:23" ht="18">
      <c r="A69" s="570"/>
      <c r="B69" s="570"/>
      <c r="C69" s="571"/>
      <c r="D69" s="520"/>
      <c r="E69" s="520"/>
      <c r="F69" s="520"/>
      <c r="G69" s="520"/>
      <c r="H69" s="520"/>
      <c r="I69" s="520"/>
      <c r="J69" s="520"/>
      <c r="K69" s="520"/>
      <c r="L69" s="561"/>
      <c r="M69" s="520"/>
      <c r="N69" s="520"/>
      <c r="O69" s="573"/>
      <c r="P69" s="573"/>
      <c r="Q69" s="573"/>
      <c r="R69" s="476"/>
      <c r="U69" s="575"/>
      <c r="V69" s="575"/>
      <c r="W69" s="575"/>
    </row>
    <row r="70" spans="1:23" ht="18">
      <c r="A70" s="570"/>
      <c r="B70" s="570"/>
      <c r="C70" s="571"/>
      <c r="D70" s="520"/>
      <c r="E70" s="520"/>
      <c r="F70" s="520"/>
      <c r="G70" s="520"/>
      <c r="H70" s="520"/>
      <c r="I70" s="520"/>
      <c r="J70" s="520"/>
      <c r="K70" s="520"/>
      <c r="L70" s="561"/>
      <c r="M70" s="520"/>
      <c r="N70" s="520"/>
      <c r="O70" s="573"/>
      <c r="P70" s="573"/>
      <c r="Q70" s="573"/>
      <c r="R70" s="476"/>
      <c r="U70" s="575"/>
      <c r="V70" s="575"/>
      <c r="W70" s="575"/>
    </row>
    <row r="71" spans="1:23" ht="18">
      <c r="A71" s="570"/>
      <c r="B71" s="570"/>
      <c r="C71" s="571"/>
      <c r="D71" s="520"/>
      <c r="E71" s="520"/>
      <c r="F71" s="520"/>
      <c r="G71" s="520"/>
      <c r="H71" s="520"/>
      <c r="I71" s="520"/>
      <c r="J71" s="520"/>
      <c r="K71" s="520"/>
      <c r="L71" s="561"/>
      <c r="M71" s="520"/>
      <c r="N71" s="520"/>
      <c r="O71" s="573"/>
      <c r="P71" s="573"/>
      <c r="Q71" s="573"/>
      <c r="R71" s="476"/>
      <c r="U71" s="575"/>
      <c r="V71" s="575"/>
      <c r="W71" s="575"/>
    </row>
    <row r="72" spans="1:23" ht="18">
      <c r="A72" s="570"/>
      <c r="B72" s="570"/>
      <c r="C72" s="571"/>
      <c r="D72" s="520"/>
      <c r="E72" s="520"/>
      <c r="F72" s="520"/>
      <c r="G72" s="520"/>
      <c r="H72" s="520"/>
      <c r="I72" s="520"/>
      <c r="J72" s="520"/>
      <c r="K72" s="520"/>
      <c r="L72" s="561"/>
      <c r="M72" s="561"/>
      <c r="N72" s="561"/>
      <c r="O72" s="576"/>
      <c r="P72" s="576"/>
      <c r="Q72" s="576"/>
    </row>
    <row r="73" spans="1:23" ht="18">
      <c r="A73" s="570"/>
      <c r="B73" s="570"/>
      <c r="C73" s="571"/>
      <c r="D73" s="520"/>
      <c r="E73" s="577"/>
      <c r="F73" s="577"/>
      <c r="G73" s="577"/>
      <c r="H73" s="577"/>
      <c r="I73" s="577"/>
      <c r="J73" s="577"/>
      <c r="K73" s="577"/>
      <c r="L73" s="561"/>
      <c r="M73" s="561"/>
      <c r="N73" s="561"/>
      <c r="O73" s="576"/>
      <c r="P73" s="576"/>
      <c r="Q73" s="576"/>
    </row>
    <row r="74" spans="1:23" ht="18">
      <c r="A74" s="570"/>
      <c r="B74" s="570"/>
      <c r="C74" s="571"/>
      <c r="D74" s="520"/>
      <c r="E74" s="520"/>
      <c r="F74" s="520"/>
      <c r="G74" s="520"/>
      <c r="H74" s="520"/>
      <c r="I74" s="520"/>
      <c r="J74" s="520"/>
      <c r="K74" s="520"/>
      <c r="L74" s="561"/>
      <c r="M74" s="561"/>
      <c r="N74" s="561"/>
      <c r="O74" s="576"/>
      <c r="P74" s="576"/>
      <c r="Q74" s="576"/>
    </row>
    <row r="75" spans="1:23" ht="18">
      <c r="A75" s="570"/>
      <c r="B75" s="570"/>
      <c r="C75" s="571"/>
      <c r="D75" s="520"/>
      <c r="E75" s="520"/>
      <c r="F75" s="520"/>
      <c r="G75" s="520"/>
      <c r="H75" s="520"/>
      <c r="I75" s="520"/>
      <c r="J75" s="520"/>
      <c r="K75" s="520"/>
      <c r="L75" s="561"/>
      <c r="M75" s="561"/>
      <c r="N75" s="561"/>
      <c r="O75" s="576"/>
      <c r="P75" s="576"/>
      <c r="Q75" s="576"/>
    </row>
    <row r="76" spans="1:23" ht="18">
      <c r="A76" s="570"/>
      <c r="B76" s="570"/>
      <c r="C76" s="571"/>
      <c r="D76" s="520"/>
      <c r="E76" s="520"/>
      <c r="F76" s="520"/>
      <c r="G76" s="520"/>
      <c r="H76" s="520"/>
      <c r="I76" s="520"/>
      <c r="J76" s="520"/>
      <c r="K76" s="520"/>
      <c r="L76" s="561"/>
      <c r="M76" s="561"/>
      <c r="N76" s="561"/>
      <c r="O76" s="576"/>
      <c r="P76" s="576"/>
      <c r="Q76" s="576"/>
    </row>
    <row r="77" spans="1:23" ht="18">
      <c r="A77" s="570"/>
      <c r="B77" s="570"/>
      <c r="C77" s="571"/>
      <c r="D77" s="520"/>
      <c r="E77" s="520"/>
      <c r="F77" s="520"/>
      <c r="G77" s="520"/>
      <c r="H77" s="520"/>
      <c r="I77" s="520"/>
      <c r="J77" s="520"/>
      <c r="K77" s="520"/>
      <c r="L77" s="561"/>
      <c r="M77" s="561"/>
      <c r="N77" s="561"/>
      <c r="O77" s="576"/>
      <c r="P77" s="576"/>
      <c r="Q77" s="576"/>
    </row>
    <row r="78" spans="1:23" ht="18">
      <c r="A78" s="570"/>
      <c r="B78" s="570"/>
      <c r="C78" s="571"/>
      <c r="D78" s="520"/>
      <c r="E78" s="520"/>
      <c r="F78" s="520"/>
      <c r="G78" s="520"/>
      <c r="H78" s="520"/>
      <c r="I78" s="520"/>
      <c r="J78" s="520"/>
      <c r="K78" s="520"/>
      <c r="L78" s="561"/>
      <c r="M78" s="561"/>
      <c r="N78" s="561"/>
      <c r="O78" s="576"/>
      <c r="P78" s="576"/>
      <c r="Q78" s="576"/>
    </row>
    <row r="79" spans="1:23" ht="18">
      <c r="A79" s="570"/>
      <c r="B79" s="570"/>
      <c r="C79" s="571"/>
      <c r="D79" s="520"/>
      <c r="E79" s="520"/>
      <c r="F79" s="520"/>
      <c r="G79" s="520"/>
      <c r="H79" s="520"/>
      <c r="I79" s="520"/>
      <c r="J79" s="520"/>
      <c r="K79" s="520"/>
      <c r="L79" s="561"/>
      <c r="M79" s="561"/>
      <c r="N79" s="561"/>
      <c r="O79" s="576"/>
      <c r="P79" s="576"/>
      <c r="Q79" s="576"/>
    </row>
    <row r="80" spans="1:23" ht="18">
      <c r="A80" s="570"/>
      <c r="B80" s="570"/>
      <c r="C80" s="571"/>
      <c r="D80" s="520"/>
      <c r="E80" s="520"/>
      <c r="F80" s="520"/>
      <c r="G80" s="520"/>
      <c r="H80" s="520"/>
      <c r="I80" s="520"/>
      <c r="J80" s="520"/>
      <c r="K80" s="520"/>
      <c r="L80" s="561"/>
      <c r="M80" s="561"/>
      <c r="N80" s="561"/>
      <c r="O80" s="576"/>
      <c r="P80" s="576"/>
      <c r="Q80" s="576"/>
    </row>
    <row r="81" spans="1:17" ht="18">
      <c r="A81" s="570"/>
      <c r="B81" s="570"/>
      <c r="C81" s="571"/>
      <c r="D81" s="520"/>
      <c r="E81" s="520"/>
      <c r="F81" s="520"/>
      <c r="G81" s="520"/>
      <c r="H81" s="520"/>
      <c r="I81" s="520"/>
      <c r="J81" s="520"/>
      <c r="K81" s="520"/>
      <c r="L81" s="561"/>
      <c r="M81" s="561"/>
      <c r="N81" s="561"/>
      <c r="O81" s="576"/>
      <c r="P81" s="576"/>
      <c r="Q81" s="576"/>
    </row>
    <row r="82" spans="1:17" ht="18">
      <c r="A82" s="570"/>
      <c r="B82" s="570"/>
      <c r="C82" s="571"/>
      <c r="D82" s="520"/>
      <c r="E82" s="520"/>
      <c r="F82" s="520"/>
      <c r="G82" s="520"/>
      <c r="H82" s="520"/>
      <c r="I82" s="520"/>
      <c r="J82" s="520"/>
      <c r="K82" s="520"/>
      <c r="L82" s="561"/>
      <c r="M82" s="561"/>
      <c r="N82" s="561"/>
      <c r="O82" s="576"/>
      <c r="P82" s="576"/>
      <c r="Q82" s="576"/>
    </row>
    <row r="83" spans="1:17" ht="18">
      <c r="A83" s="570"/>
      <c r="B83" s="570"/>
      <c r="C83" s="571"/>
      <c r="D83" s="520"/>
      <c r="E83" s="520"/>
      <c r="F83" s="520"/>
      <c r="G83" s="520"/>
      <c r="H83" s="520"/>
      <c r="I83" s="520"/>
      <c r="J83" s="520"/>
      <c r="K83" s="520"/>
      <c r="L83" s="561"/>
      <c r="M83" s="561"/>
      <c r="N83" s="561"/>
      <c r="O83" s="576"/>
      <c r="P83" s="576"/>
      <c r="Q83" s="576"/>
    </row>
    <row r="84" spans="1:17" ht="18">
      <c r="A84" s="570"/>
      <c r="B84" s="570"/>
      <c r="C84" s="571"/>
      <c r="D84" s="520"/>
      <c r="E84" s="520"/>
      <c r="F84" s="520"/>
      <c r="G84" s="520"/>
      <c r="H84" s="520"/>
      <c r="I84" s="520"/>
      <c r="J84" s="520"/>
      <c r="K84" s="520"/>
      <c r="L84" s="561"/>
      <c r="M84" s="561"/>
      <c r="N84" s="561"/>
      <c r="O84" s="576"/>
      <c r="P84" s="576"/>
      <c r="Q84" s="576"/>
    </row>
    <row r="85" spans="1:17" ht="18">
      <c r="A85" s="570"/>
      <c r="B85" s="570"/>
      <c r="C85" s="571"/>
      <c r="D85" s="520"/>
      <c r="E85" s="520"/>
      <c r="F85" s="520"/>
      <c r="G85" s="520"/>
      <c r="H85" s="520"/>
      <c r="I85" s="520"/>
      <c r="J85" s="520"/>
      <c r="K85" s="520"/>
      <c r="L85" s="561"/>
      <c r="M85" s="561"/>
      <c r="N85" s="561"/>
      <c r="O85" s="576"/>
      <c r="P85" s="576"/>
      <c r="Q85" s="576"/>
    </row>
    <row r="86" spans="1:17" ht="18">
      <c r="A86" s="570"/>
      <c r="B86" s="570"/>
      <c r="C86" s="571"/>
      <c r="D86" s="520"/>
      <c r="E86" s="520"/>
      <c r="F86" s="520"/>
      <c r="G86" s="520"/>
      <c r="H86" s="520"/>
      <c r="I86" s="520"/>
      <c r="J86" s="520"/>
      <c r="K86" s="520"/>
      <c r="L86" s="561"/>
      <c r="M86" s="561"/>
      <c r="N86" s="561"/>
      <c r="O86" s="576"/>
      <c r="P86" s="576"/>
      <c r="Q86" s="576"/>
    </row>
    <row r="87" spans="1:17" ht="18">
      <c r="A87" s="570"/>
      <c r="B87" s="570"/>
      <c r="C87" s="571"/>
      <c r="D87" s="520"/>
      <c r="E87" s="520"/>
      <c r="F87" s="520"/>
      <c r="G87" s="520"/>
      <c r="H87" s="520"/>
      <c r="I87" s="520"/>
      <c r="J87" s="520"/>
      <c r="K87" s="520"/>
      <c r="L87" s="561"/>
      <c r="M87" s="561"/>
      <c r="N87" s="561"/>
      <c r="O87" s="576"/>
      <c r="P87" s="576"/>
      <c r="Q87" s="576"/>
    </row>
    <row r="88" spans="1:17" ht="18">
      <c r="A88" s="570"/>
      <c r="B88" s="570"/>
      <c r="C88" s="571"/>
      <c r="D88" s="520"/>
      <c r="E88" s="520"/>
      <c r="F88" s="520"/>
      <c r="G88" s="520"/>
      <c r="H88" s="520"/>
      <c r="I88" s="520"/>
      <c r="J88" s="520"/>
      <c r="K88" s="520"/>
      <c r="L88" s="561"/>
      <c r="M88" s="561"/>
      <c r="N88" s="561"/>
      <c r="O88" s="576"/>
      <c r="P88" s="576"/>
      <c r="Q88" s="576"/>
    </row>
    <row r="89" spans="1:17" ht="18">
      <c r="A89" s="570"/>
      <c r="B89" s="570"/>
      <c r="C89" s="571"/>
      <c r="D89" s="520"/>
      <c r="E89" s="520"/>
      <c r="F89" s="520"/>
      <c r="G89" s="520"/>
      <c r="H89" s="520"/>
      <c r="I89" s="520"/>
      <c r="J89" s="520"/>
      <c r="K89" s="520"/>
      <c r="L89" s="561"/>
      <c r="M89" s="561"/>
      <c r="N89" s="561"/>
      <c r="O89" s="576"/>
      <c r="P89" s="576"/>
      <c r="Q89" s="576"/>
    </row>
    <row r="90" spans="1:17" ht="18">
      <c r="A90" s="570"/>
      <c r="B90" s="570"/>
      <c r="C90" s="571"/>
      <c r="D90" s="520"/>
      <c r="E90" s="520"/>
      <c r="F90" s="520"/>
      <c r="G90" s="520"/>
      <c r="H90" s="520"/>
      <c r="I90" s="520"/>
      <c r="J90" s="520"/>
      <c r="K90" s="520"/>
      <c r="L90" s="561"/>
      <c r="M90" s="561"/>
      <c r="N90" s="561"/>
      <c r="O90" s="576"/>
      <c r="P90" s="576"/>
      <c r="Q90" s="576"/>
    </row>
    <row r="91" spans="1:17" ht="18">
      <c r="A91" s="570"/>
      <c r="B91" s="570"/>
      <c r="C91" s="571"/>
      <c r="D91" s="520"/>
      <c r="E91" s="520"/>
      <c r="F91" s="520"/>
      <c r="G91" s="520"/>
      <c r="H91" s="520"/>
      <c r="I91" s="520"/>
      <c r="J91" s="520"/>
      <c r="K91" s="520"/>
      <c r="L91" s="561"/>
      <c r="M91" s="561"/>
      <c r="N91" s="561"/>
      <c r="O91" s="576"/>
      <c r="P91" s="576"/>
      <c r="Q91" s="576"/>
    </row>
    <row r="92" spans="1:17" ht="18">
      <c r="A92" s="570"/>
      <c r="B92" s="570"/>
      <c r="C92" s="571"/>
      <c r="D92" s="520"/>
      <c r="E92" s="520"/>
      <c r="F92" s="520"/>
      <c r="G92" s="520"/>
      <c r="H92" s="520"/>
      <c r="I92" s="520"/>
      <c r="J92" s="520"/>
      <c r="K92" s="520"/>
      <c r="L92" s="561"/>
      <c r="M92" s="561"/>
      <c r="N92" s="561"/>
      <c r="O92" s="576"/>
      <c r="P92" s="576"/>
      <c r="Q92" s="576"/>
    </row>
    <row r="93" spans="1:17" ht="18">
      <c r="A93" s="570"/>
      <c r="B93" s="570"/>
      <c r="C93" s="571"/>
      <c r="D93" s="520"/>
      <c r="E93" s="520"/>
      <c r="F93" s="520"/>
      <c r="G93" s="520"/>
      <c r="H93" s="520"/>
      <c r="I93" s="520"/>
      <c r="J93" s="520"/>
      <c r="K93" s="520"/>
      <c r="L93" s="561"/>
      <c r="M93" s="561"/>
      <c r="N93" s="561"/>
      <c r="O93" s="576"/>
      <c r="P93" s="576"/>
      <c r="Q93" s="576"/>
    </row>
    <row r="94" spans="1:17" ht="18">
      <c r="A94" s="570"/>
      <c r="B94" s="570"/>
      <c r="C94" s="571"/>
      <c r="D94" s="520"/>
      <c r="E94" s="520"/>
      <c r="F94" s="520"/>
      <c r="G94" s="520"/>
      <c r="H94" s="520"/>
      <c r="I94" s="520"/>
      <c r="J94" s="520"/>
      <c r="K94" s="520"/>
      <c r="L94" s="561"/>
      <c r="M94" s="561"/>
      <c r="N94" s="561"/>
      <c r="O94" s="576"/>
      <c r="P94" s="576"/>
      <c r="Q94" s="576"/>
    </row>
    <row r="95" spans="1:17" ht="18">
      <c r="A95" s="570"/>
      <c r="B95" s="578"/>
      <c r="C95" s="520"/>
      <c r="D95" s="520"/>
      <c r="E95" s="520"/>
      <c r="F95" s="520"/>
      <c r="G95" s="520"/>
      <c r="H95" s="520"/>
      <c r="I95" s="520"/>
      <c r="J95" s="520"/>
      <c r="K95" s="520"/>
      <c r="L95" s="561"/>
      <c r="M95" s="561"/>
      <c r="N95" s="561"/>
      <c r="O95" s="576"/>
      <c r="P95" s="576"/>
      <c r="Q95" s="576"/>
    </row>
    <row r="96" spans="1:17">
      <c r="A96" s="480"/>
      <c r="B96" s="520"/>
      <c r="C96" s="520"/>
      <c r="D96" s="520"/>
      <c r="E96" s="520"/>
      <c r="F96" s="520"/>
      <c r="G96" s="520"/>
      <c r="H96" s="520"/>
      <c r="I96" s="520"/>
      <c r="J96" s="520"/>
      <c r="K96" s="520"/>
      <c r="L96" s="561"/>
      <c r="M96" s="561"/>
      <c r="N96" s="561"/>
      <c r="O96" s="576"/>
      <c r="P96" s="576"/>
      <c r="Q96" s="576"/>
    </row>
    <row r="97" spans="1:17">
      <c r="A97" s="480"/>
      <c r="B97" s="520"/>
      <c r="C97" s="579"/>
      <c r="D97" s="573"/>
      <c r="E97" s="573"/>
      <c r="F97" s="573"/>
      <c r="G97" s="573"/>
      <c r="H97" s="573"/>
      <c r="I97" s="573"/>
      <c r="J97" s="573"/>
      <c r="K97" s="573"/>
      <c r="L97" s="576"/>
      <c r="M97" s="576"/>
      <c r="N97" s="576"/>
      <c r="O97" s="576"/>
      <c r="P97" s="576"/>
      <c r="Q97" s="576"/>
    </row>
    <row r="98" spans="1:17">
      <c r="A98" s="480"/>
      <c r="B98" s="480"/>
      <c r="C98" s="579"/>
      <c r="D98" s="573"/>
      <c r="E98" s="573"/>
      <c r="F98" s="573"/>
      <c r="G98" s="573"/>
      <c r="H98" s="573"/>
      <c r="I98" s="573"/>
      <c r="J98" s="573"/>
      <c r="K98" s="573"/>
      <c r="L98" s="576"/>
      <c r="M98" s="576"/>
      <c r="N98" s="576"/>
      <c r="O98" s="576"/>
      <c r="P98" s="576"/>
      <c r="Q98" s="576"/>
    </row>
    <row r="99" spans="1:17">
      <c r="A99" s="480"/>
      <c r="B99" s="520"/>
      <c r="C99" s="580"/>
      <c r="D99" s="573"/>
      <c r="E99" s="573"/>
      <c r="F99" s="573"/>
      <c r="G99" s="573"/>
      <c r="H99" s="573"/>
      <c r="I99" s="573"/>
      <c r="J99" s="573"/>
      <c r="K99" s="573"/>
      <c r="L99" s="576"/>
      <c r="M99" s="576"/>
      <c r="N99" s="576"/>
      <c r="O99" s="576"/>
      <c r="P99" s="576"/>
      <c r="Q99" s="576"/>
    </row>
    <row r="100" spans="1:17">
      <c r="A100" s="480"/>
      <c r="B100" s="520"/>
      <c r="C100" s="579"/>
      <c r="D100" s="573"/>
      <c r="E100" s="573"/>
      <c r="F100" s="573"/>
      <c r="G100" s="573"/>
      <c r="H100" s="573"/>
      <c r="I100" s="573"/>
      <c r="J100" s="573"/>
      <c r="K100" s="573"/>
      <c r="L100" s="576"/>
      <c r="M100" s="576"/>
      <c r="N100" s="576"/>
      <c r="O100" s="576"/>
      <c r="P100" s="576"/>
      <c r="Q100" s="576"/>
    </row>
    <row r="101" spans="1:17">
      <c r="A101" s="520"/>
      <c r="B101" s="480"/>
      <c r="C101" s="520"/>
      <c r="D101" s="581"/>
      <c r="E101" s="573"/>
      <c r="F101" s="573"/>
      <c r="G101" s="573"/>
      <c r="H101" s="573"/>
      <c r="I101" s="573"/>
      <c r="J101" s="573"/>
      <c r="K101" s="573"/>
      <c r="L101" s="576"/>
      <c r="M101" s="576"/>
      <c r="N101" s="576"/>
      <c r="O101" s="576"/>
      <c r="P101" s="576"/>
      <c r="Q101" s="576"/>
    </row>
    <row r="102" spans="1:17">
      <c r="A102" s="520"/>
      <c r="B102" s="480"/>
      <c r="C102" s="520"/>
      <c r="D102" s="581"/>
      <c r="E102" s="573"/>
      <c r="F102" s="573"/>
      <c r="G102" s="573"/>
      <c r="H102" s="573"/>
      <c r="I102" s="573"/>
      <c r="J102" s="573"/>
      <c r="K102" s="573"/>
      <c r="L102" s="576"/>
      <c r="M102" s="576"/>
      <c r="N102" s="576"/>
      <c r="O102" s="576"/>
      <c r="P102" s="576"/>
      <c r="Q102" s="576"/>
    </row>
    <row r="103" spans="1:17">
      <c r="A103" s="520"/>
      <c r="B103" s="480"/>
      <c r="C103" s="480"/>
      <c r="D103" s="497"/>
      <c r="E103" s="573"/>
      <c r="F103" s="573"/>
      <c r="G103" s="573"/>
      <c r="H103" s="573"/>
      <c r="I103" s="573"/>
      <c r="J103" s="573"/>
      <c r="K103" s="573"/>
      <c r="L103" s="576"/>
      <c r="M103" s="576"/>
      <c r="N103" s="576"/>
      <c r="O103" s="576"/>
      <c r="P103" s="576"/>
      <c r="Q103" s="576"/>
    </row>
    <row r="104" spans="1:17" ht="18">
      <c r="A104" s="564"/>
      <c r="B104" s="490"/>
      <c r="C104" s="480"/>
      <c r="D104" s="573"/>
      <c r="E104" s="573"/>
      <c r="F104" s="573"/>
      <c r="G104" s="573"/>
      <c r="H104" s="573"/>
      <c r="I104" s="573"/>
      <c r="J104" s="573"/>
      <c r="K104" s="573"/>
      <c r="L104" s="576"/>
      <c r="M104" s="576"/>
      <c r="N104" s="576"/>
      <c r="O104" s="576"/>
      <c r="P104" s="576"/>
      <c r="Q104" s="576"/>
    </row>
    <row r="105" spans="1:17">
      <c r="A105" s="480"/>
      <c r="B105" s="480"/>
      <c r="C105" s="480"/>
      <c r="D105" s="573"/>
      <c r="E105" s="573"/>
      <c r="F105" s="573"/>
      <c r="G105" s="573"/>
      <c r="H105" s="573"/>
      <c r="I105" s="573"/>
      <c r="J105" s="573"/>
      <c r="K105" s="573"/>
      <c r="L105" s="576"/>
      <c r="M105" s="576"/>
      <c r="N105" s="576"/>
      <c r="O105" s="576"/>
      <c r="P105" s="576"/>
      <c r="Q105" s="576"/>
    </row>
    <row r="106" spans="1:17" ht="18">
      <c r="A106" s="570"/>
      <c r="B106" s="570"/>
      <c r="C106" s="571"/>
      <c r="D106" s="573"/>
      <c r="E106" s="573"/>
      <c r="F106" s="573"/>
      <c r="G106" s="573"/>
      <c r="H106" s="573"/>
      <c r="I106" s="573"/>
      <c r="J106" s="573"/>
      <c r="K106" s="573"/>
      <c r="L106" s="576"/>
      <c r="M106" s="576"/>
      <c r="N106" s="576"/>
      <c r="O106" s="576"/>
      <c r="P106" s="576"/>
      <c r="Q106" s="576"/>
    </row>
    <row r="107" spans="1:17" ht="18">
      <c r="A107" s="570"/>
      <c r="B107" s="570"/>
      <c r="C107" s="571"/>
      <c r="D107" s="573"/>
      <c r="E107" s="573"/>
      <c r="F107" s="573"/>
      <c r="G107" s="573"/>
      <c r="H107" s="573"/>
      <c r="I107" s="573"/>
      <c r="J107" s="573"/>
      <c r="K107" s="573"/>
      <c r="L107" s="576"/>
      <c r="M107" s="576"/>
      <c r="N107" s="576"/>
      <c r="O107" s="576"/>
      <c r="P107" s="576"/>
      <c r="Q107" s="576"/>
    </row>
    <row r="108" spans="1:17" ht="18">
      <c r="A108" s="570"/>
      <c r="B108" s="570"/>
      <c r="C108" s="571"/>
      <c r="D108" s="573"/>
      <c r="E108" s="573"/>
      <c r="F108" s="573"/>
      <c r="G108" s="573"/>
      <c r="H108" s="573"/>
      <c r="I108" s="573"/>
      <c r="J108" s="573"/>
      <c r="K108" s="573"/>
      <c r="L108" s="576"/>
      <c r="M108" s="576"/>
      <c r="N108" s="576"/>
      <c r="O108" s="576"/>
      <c r="P108" s="576"/>
      <c r="Q108" s="576"/>
    </row>
    <row r="109" spans="1:17" ht="18">
      <c r="A109" s="570"/>
      <c r="B109" s="570"/>
      <c r="C109" s="571"/>
      <c r="D109" s="573"/>
      <c r="E109" s="573"/>
      <c r="F109" s="573"/>
      <c r="G109" s="573"/>
      <c r="H109" s="573"/>
      <c r="I109" s="573"/>
      <c r="J109" s="573"/>
      <c r="K109" s="573"/>
      <c r="L109" s="576"/>
      <c r="M109" s="576"/>
      <c r="N109" s="576"/>
      <c r="O109" s="576"/>
      <c r="P109" s="576"/>
      <c r="Q109" s="576"/>
    </row>
    <row r="110" spans="1:17" ht="18">
      <c r="A110" s="570"/>
      <c r="B110" s="570"/>
      <c r="C110" s="571"/>
      <c r="D110" s="573"/>
      <c r="E110" s="573"/>
      <c r="F110" s="573"/>
      <c r="G110" s="573"/>
      <c r="H110" s="573"/>
      <c r="I110" s="573"/>
      <c r="J110" s="573"/>
      <c r="K110" s="573"/>
      <c r="L110" s="576"/>
      <c r="M110" s="576"/>
      <c r="N110" s="576"/>
      <c r="O110" s="576"/>
      <c r="P110" s="576"/>
      <c r="Q110" s="576"/>
    </row>
    <row r="111" spans="1:17" ht="23.25" customHeight="1">
      <c r="A111" s="570"/>
      <c r="B111" s="570"/>
      <c r="C111" s="571"/>
      <c r="D111" s="573"/>
      <c r="E111" s="573"/>
      <c r="F111" s="573"/>
      <c r="G111" s="573"/>
      <c r="H111" s="573"/>
      <c r="I111" s="573"/>
      <c r="J111" s="573"/>
      <c r="K111" s="573"/>
      <c r="L111" s="576"/>
      <c r="M111" s="576"/>
      <c r="N111" s="576"/>
      <c r="O111" s="576"/>
      <c r="P111" s="576"/>
      <c r="Q111" s="576"/>
    </row>
    <row r="112" spans="1:17" ht="18">
      <c r="A112" s="570"/>
      <c r="B112" s="570"/>
      <c r="C112" s="571"/>
      <c r="D112" s="573"/>
      <c r="E112" s="573"/>
      <c r="F112" s="573"/>
      <c r="G112" s="573"/>
      <c r="H112" s="573"/>
      <c r="I112" s="573"/>
      <c r="J112" s="573"/>
      <c r="K112" s="573"/>
      <c r="L112" s="576"/>
      <c r="M112" s="576"/>
      <c r="N112" s="576"/>
      <c r="O112" s="576"/>
      <c r="P112" s="576"/>
      <c r="Q112" s="576"/>
    </row>
    <row r="113" spans="1:25" ht="18">
      <c r="A113" s="570"/>
      <c r="B113" s="570"/>
      <c r="C113" s="571"/>
      <c r="D113" s="573"/>
      <c r="E113" s="573"/>
      <c r="F113" s="573"/>
      <c r="G113" s="573"/>
      <c r="H113" s="573"/>
      <c r="I113" s="573"/>
      <c r="J113" s="573"/>
      <c r="K113" s="573"/>
      <c r="L113" s="576"/>
      <c r="M113" s="576"/>
      <c r="N113" s="576"/>
      <c r="O113" s="576"/>
      <c r="P113" s="576"/>
      <c r="Q113" s="576"/>
    </row>
    <row r="114" spans="1:25" ht="18">
      <c r="A114" s="570"/>
      <c r="B114" s="570"/>
      <c r="C114" s="571"/>
      <c r="D114" s="573"/>
      <c r="E114" s="573"/>
      <c r="F114" s="573"/>
      <c r="G114" s="573"/>
      <c r="H114" s="573"/>
      <c r="I114" s="573"/>
      <c r="J114" s="573"/>
      <c r="K114" s="573"/>
      <c r="L114" s="576"/>
      <c r="M114" s="576"/>
      <c r="N114" s="576"/>
      <c r="O114" s="576"/>
      <c r="P114" s="576"/>
      <c r="Q114" s="576"/>
    </row>
    <row r="115" spans="1:25" ht="18">
      <c r="A115" s="570"/>
      <c r="B115" s="570"/>
      <c r="C115" s="571"/>
      <c r="D115" s="573"/>
      <c r="E115" s="573"/>
      <c r="F115" s="573"/>
      <c r="G115" s="573"/>
      <c r="H115" s="573"/>
      <c r="I115" s="573"/>
      <c r="J115" s="573"/>
      <c r="K115" s="573"/>
      <c r="L115" s="576"/>
      <c r="M115" s="576"/>
      <c r="N115" s="576"/>
      <c r="O115" s="576"/>
      <c r="P115" s="576"/>
      <c r="Q115" s="576"/>
    </row>
    <row r="116" spans="1:25" ht="18">
      <c r="A116" s="570"/>
      <c r="B116" s="570"/>
      <c r="C116" s="571"/>
      <c r="D116" s="573"/>
      <c r="E116" s="573"/>
      <c r="F116" s="573"/>
      <c r="G116" s="573"/>
      <c r="H116" s="573"/>
      <c r="I116" s="573"/>
      <c r="J116" s="573"/>
      <c r="K116" s="573"/>
      <c r="L116" s="576"/>
      <c r="M116" s="576"/>
      <c r="N116" s="576"/>
      <c r="O116" s="576"/>
      <c r="P116" s="576"/>
      <c r="Q116" s="576"/>
    </row>
    <row r="117" spans="1:25" ht="18">
      <c r="A117" s="570"/>
      <c r="B117" s="570"/>
      <c r="C117" s="571"/>
      <c r="D117" s="573"/>
      <c r="E117" s="573"/>
      <c r="F117" s="573"/>
      <c r="G117" s="573"/>
      <c r="H117" s="573"/>
      <c r="I117" s="573"/>
      <c r="J117" s="573"/>
      <c r="K117" s="573"/>
      <c r="L117" s="576"/>
      <c r="M117" s="576"/>
      <c r="N117" s="576"/>
      <c r="O117" s="576"/>
      <c r="P117" s="576"/>
      <c r="Q117" s="576"/>
    </row>
    <row r="118" spans="1:25" ht="18">
      <c r="A118" s="570"/>
      <c r="B118" s="570"/>
      <c r="C118" s="571"/>
      <c r="D118" s="573"/>
      <c r="E118" s="573"/>
      <c r="F118" s="573"/>
      <c r="G118" s="573"/>
      <c r="H118" s="573"/>
      <c r="I118" s="573"/>
      <c r="J118" s="573"/>
      <c r="K118" s="573"/>
      <c r="L118" s="576"/>
      <c r="M118" s="576"/>
      <c r="N118" s="576"/>
      <c r="O118" s="576"/>
      <c r="P118" s="576"/>
      <c r="Q118" s="576"/>
    </row>
    <row r="119" spans="1:25" ht="27.75" customHeight="1">
      <c r="A119" s="570"/>
      <c r="B119" s="570"/>
      <c r="C119" s="571"/>
      <c r="D119" s="573"/>
      <c r="E119" s="573"/>
      <c r="F119" s="573"/>
      <c r="G119" s="573"/>
      <c r="H119" s="573"/>
      <c r="I119" s="573"/>
      <c r="J119" s="573"/>
      <c r="K119" s="573"/>
      <c r="L119" s="576"/>
      <c r="M119" s="576"/>
      <c r="N119" s="576"/>
      <c r="O119" s="576"/>
      <c r="P119" s="576"/>
      <c r="Q119" s="576"/>
    </row>
    <row r="120" spans="1:25" ht="18">
      <c r="A120" s="570"/>
      <c r="B120" s="570"/>
      <c r="C120" s="571"/>
      <c r="D120" s="573"/>
      <c r="E120" s="573"/>
      <c r="F120" s="573"/>
      <c r="G120" s="573"/>
      <c r="H120" s="573"/>
      <c r="I120" s="573"/>
      <c r="J120" s="573"/>
      <c r="K120" s="573"/>
      <c r="L120" s="576"/>
      <c r="M120" s="576"/>
      <c r="N120" s="576"/>
      <c r="O120" s="576"/>
      <c r="P120" s="576"/>
      <c r="Q120" s="576"/>
    </row>
    <row r="121" spans="1:25" ht="18">
      <c r="A121" s="570"/>
      <c r="B121" s="570"/>
      <c r="C121" s="571"/>
      <c r="D121" s="573"/>
      <c r="E121" s="573"/>
      <c r="F121" s="573"/>
      <c r="G121" s="573"/>
      <c r="H121" s="573"/>
      <c r="I121" s="573"/>
      <c r="J121" s="573"/>
      <c r="K121" s="573"/>
      <c r="L121" s="576"/>
      <c r="M121" s="576"/>
      <c r="N121" s="576"/>
      <c r="O121" s="576"/>
      <c r="P121" s="576"/>
      <c r="Q121" s="576"/>
    </row>
    <row r="122" spans="1:25" ht="18">
      <c r="A122" s="570"/>
      <c r="B122" s="570"/>
      <c r="C122" s="571"/>
      <c r="D122" s="573"/>
      <c r="E122" s="573"/>
      <c r="F122" s="573"/>
      <c r="G122" s="573"/>
      <c r="H122" s="573"/>
      <c r="I122" s="573"/>
      <c r="J122" s="573"/>
      <c r="K122" s="573"/>
      <c r="L122" s="576"/>
      <c r="M122" s="576"/>
      <c r="N122" s="576"/>
      <c r="O122" s="576"/>
      <c r="P122" s="576"/>
      <c r="Q122" s="576"/>
    </row>
    <row r="123" spans="1:25" ht="18">
      <c r="A123" s="570"/>
      <c r="B123" s="570"/>
      <c r="C123" s="571"/>
      <c r="D123" s="573"/>
      <c r="E123" s="573"/>
      <c r="F123" s="573"/>
      <c r="G123" s="573"/>
      <c r="H123" s="573"/>
      <c r="I123" s="573"/>
      <c r="J123" s="573"/>
      <c r="K123" s="573"/>
      <c r="L123" s="576"/>
      <c r="M123" s="576"/>
      <c r="N123" s="576"/>
      <c r="O123" s="576"/>
      <c r="P123" s="576"/>
      <c r="Q123" s="576"/>
    </row>
    <row r="124" spans="1:25" ht="18">
      <c r="A124" s="570"/>
      <c r="B124" s="570"/>
      <c r="C124" s="571"/>
      <c r="D124" s="573"/>
      <c r="E124" s="573"/>
      <c r="F124" s="573"/>
      <c r="G124" s="573"/>
      <c r="H124" s="573"/>
      <c r="I124" s="573"/>
      <c r="J124" s="573"/>
      <c r="K124" s="573"/>
      <c r="L124" s="576"/>
      <c r="M124" s="576"/>
      <c r="N124" s="576"/>
      <c r="O124" s="576"/>
      <c r="P124" s="576"/>
      <c r="Q124" s="576"/>
    </row>
    <row r="125" spans="1:25" ht="18">
      <c r="A125" s="570"/>
      <c r="B125" s="570"/>
      <c r="C125" s="571"/>
      <c r="D125" s="573"/>
      <c r="E125" s="573"/>
      <c r="F125" s="573"/>
      <c r="G125" s="573"/>
      <c r="H125" s="573"/>
      <c r="I125" s="573"/>
      <c r="J125" s="573"/>
      <c r="K125" s="573"/>
      <c r="L125" s="576"/>
      <c r="M125" s="576"/>
      <c r="N125" s="576"/>
      <c r="O125" s="576"/>
      <c r="P125" s="576"/>
      <c r="Q125" s="576"/>
    </row>
    <row r="126" spans="1:25" ht="18">
      <c r="A126" s="570"/>
      <c r="B126" s="570"/>
      <c r="C126" s="571"/>
      <c r="D126" s="573"/>
      <c r="E126" s="573"/>
      <c r="F126" s="573"/>
      <c r="G126" s="573"/>
      <c r="H126" s="573"/>
      <c r="I126" s="573"/>
      <c r="J126" s="573"/>
      <c r="K126" s="573"/>
      <c r="L126" s="576"/>
      <c r="M126" s="576"/>
      <c r="N126" s="576"/>
      <c r="O126" s="576"/>
      <c r="P126" s="576"/>
      <c r="Q126" s="576"/>
    </row>
    <row r="127" spans="1:25" s="476" customFormat="1" ht="18">
      <c r="A127" s="570"/>
      <c r="B127" s="570"/>
      <c r="C127" s="571"/>
      <c r="D127" s="573"/>
      <c r="E127" s="573"/>
      <c r="F127" s="573"/>
      <c r="G127" s="573"/>
      <c r="H127" s="573"/>
      <c r="I127" s="573"/>
      <c r="J127" s="573"/>
      <c r="K127" s="573"/>
      <c r="L127" s="576"/>
      <c r="M127" s="576"/>
      <c r="N127" s="576"/>
      <c r="O127" s="576"/>
      <c r="P127" s="576"/>
      <c r="Q127" s="576"/>
      <c r="R127" s="477"/>
      <c r="S127" s="477"/>
      <c r="T127" s="477"/>
      <c r="U127" s="477"/>
      <c r="V127" s="477"/>
      <c r="W127" s="477"/>
      <c r="X127" s="477"/>
      <c r="Y127" s="477"/>
    </row>
    <row r="128" spans="1:25" s="476" customFormat="1" ht="18">
      <c r="A128" s="570"/>
      <c r="B128" s="570"/>
      <c r="C128" s="571"/>
      <c r="D128" s="573"/>
      <c r="E128" s="573"/>
      <c r="F128" s="573"/>
      <c r="G128" s="573"/>
      <c r="H128" s="573"/>
      <c r="I128" s="573"/>
      <c r="J128" s="573"/>
      <c r="K128" s="573"/>
      <c r="L128" s="576"/>
      <c r="M128" s="576"/>
      <c r="N128" s="576"/>
      <c r="O128" s="576"/>
      <c r="P128" s="576"/>
      <c r="Q128" s="576"/>
      <c r="R128" s="477"/>
      <c r="S128" s="477"/>
      <c r="T128" s="477"/>
      <c r="U128" s="477"/>
      <c r="V128" s="477"/>
      <c r="W128" s="477"/>
      <c r="X128" s="477"/>
      <c r="Y128" s="477"/>
    </row>
    <row r="129" spans="1:25" s="476" customFormat="1" ht="18">
      <c r="A129" s="570"/>
      <c r="B129" s="570"/>
      <c r="C129" s="571"/>
      <c r="D129" s="573"/>
      <c r="E129" s="573"/>
      <c r="F129" s="573"/>
      <c r="G129" s="573"/>
      <c r="H129" s="573"/>
      <c r="I129" s="573"/>
      <c r="J129" s="573"/>
      <c r="K129" s="573"/>
      <c r="L129" s="576"/>
      <c r="M129" s="576"/>
      <c r="N129" s="576"/>
      <c r="O129" s="576"/>
      <c r="P129" s="576"/>
      <c r="Q129" s="576"/>
      <c r="R129" s="477"/>
      <c r="S129" s="477"/>
      <c r="T129" s="477"/>
      <c r="U129" s="477"/>
      <c r="V129" s="477"/>
      <c r="W129" s="477"/>
      <c r="X129" s="477"/>
      <c r="Y129" s="477"/>
    </row>
    <row r="130" spans="1:25" s="476" customFormat="1" ht="18">
      <c r="A130" s="570"/>
      <c r="B130" s="570"/>
      <c r="C130" s="571"/>
      <c r="D130" s="573"/>
      <c r="E130" s="573"/>
      <c r="F130" s="573"/>
      <c r="G130" s="573"/>
      <c r="H130" s="573"/>
      <c r="I130" s="573"/>
      <c r="J130" s="573"/>
      <c r="K130" s="573"/>
      <c r="L130" s="576"/>
      <c r="M130" s="576"/>
      <c r="N130" s="576"/>
      <c r="O130" s="576"/>
      <c r="P130" s="576"/>
      <c r="Q130" s="576"/>
      <c r="R130" s="477"/>
      <c r="S130" s="477"/>
      <c r="T130" s="477"/>
      <c r="U130" s="477"/>
      <c r="V130" s="477"/>
      <c r="W130" s="477"/>
      <c r="X130" s="477"/>
      <c r="Y130" s="477"/>
    </row>
    <row r="131" spans="1:25" s="476" customFormat="1" ht="18">
      <c r="A131" s="570"/>
      <c r="B131" s="570"/>
      <c r="C131" s="571"/>
      <c r="D131" s="573"/>
      <c r="E131" s="573"/>
      <c r="F131" s="573"/>
      <c r="G131" s="573"/>
      <c r="H131" s="573"/>
      <c r="I131" s="573"/>
      <c r="J131" s="573"/>
      <c r="K131" s="573"/>
      <c r="L131" s="576"/>
      <c r="M131" s="576"/>
      <c r="N131" s="576"/>
      <c r="O131" s="576"/>
      <c r="P131" s="576"/>
      <c r="Q131" s="576"/>
      <c r="R131" s="477"/>
      <c r="S131" s="477"/>
      <c r="T131" s="477"/>
      <c r="U131" s="477"/>
      <c r="V131" s="477"/>
      <c r="W131" s="477"/>
      <c r="X131" s="477"/>
      <c r="Y131" s="477"/>
    </row>
    <row r="132" spans="1:25" s="476" customFormat="1" ht="18">
      <c r="A132" s="570"/>
      <c r="B132" s="570"/>
      <c r="C132" s="571"/>
      <c r="D132" s="573"/>
      <c r="E132" s="573"/>
      <c r="F132" s="573"/>
      <c r="G132" s="573"/>
      <c r="H132" s="573"/>
      <c r="I132" s="573"/>
      <c r="J132" s="573"/>
      <c r="K132" s="573"/>
      <c r="L132" s="576"/>
      <c r="M132" s="576"/>
      <c r="N132" s="576"/>
      <c r="O132" s="576"/>
      <c r="P132" s="576"/>
      <c r="Q132" s="576"/>
      <c r="R132" s="477"/>
      <c r="S132" s="477"/>
      <c r="T132" s="477"/>
      <c r="U132" s="477"/>
      <c r="V132" s="477"/>
      <c r="W132" s="477"/>
      <c r="X132" s="477"/>
      <c r="Y132" s="477"/>
    </row>
    <row r="133" spans="1:25" s="476" customFormat="1" ht="18">
      <c r="A133" s="570"/>
      <c r="B133" s="570"/>
      <c r="C133" s="571"/>
      <c r="D133" s="573"/>
      <c r="E133" s="573"/>
      <c r="F133" s="573"/>
      <c r="G133" s="573"/>
      <c r="H133" s="573"/>
      <c r="I133" s="573"/>
      <c r="J133" s="573"/>
      <c r="K133" s="573"/>
      <c r="L133" s="576"/>
      <c r="M133" s="576"/>
      <c r="N133" s="576"/>
      <c r="O133" s="576"/>
      <c r="P133" s="576"/>
      <c r="Q133" s="576"/>
      <c r="R133" s="477"/>
      <c r="S133" s="477"/>
      <c r="T133" s="477"/>
      <c r="U133" s="477"/>
      <c r="V133" s="477"/>
      <c r="W133" s="477"/>
      <c r="X133" s="477"/>
      <c r="Y133" s="477"/>
    </row>
    <row r="134" spans="1:25" s="476" customFormat="1" ht="18">
      <c r="A134" s="570"/>
      <c r="B134" s="570"/>
      <c r="C134" s="571"/>
      <c r="D134" s="573"/>
      <c r="E134" s="573"/>
      <c r="F134" s="573"/>
      <c r="G134" s="573"/>
      <c r="H134" s="573"/>
      <c r="I134" s="573"/>
      <c r="J134" s="573"/>
      <c r="K134" s="573"/>
      <c r="L134" s="576"/>
      <c r="M134" s="576"/>
      <c r="N134" s="576"/>
      <c r="O134" s="576"/>
      <c r="P134" s="576"/>
      <c r="Q134" s="576"/>
      <c r="R134" s="477"/>
      <c r="S134" s="477"/>
      <c r="T134" s="477"/>
      <c r="U134" s="477"/>
      <c r="V134" s="477"/>
      <c r="W134" s="477"/>
      <c r="X134" s="477"/>
      <c r="Y134" s="477"/>
    </row>
    <row r="135" spans="1:25" s="476" customFormat="1" ht="18">
      <c r="A135" s="570"/>
      <c r="B135" s="570"/>
      <c r="C135" s="571"/>
      <c r="D135" s="573"/>
      <c r="E135" s="573"/>
      <c r="F135" s="573"/>
      <c r="G135" s="573"/>
      <c r="H135" s="573"/>
      <c r="I135" s="573"/>
      <c r="J135" s="573"/>
      <c r="K135" s="573"/>
      <c r="L135" s="576"/>
      <c r="M135" s="576"/>
      <c r="N135" s="576"/>
      <c r="O135" s="576"/>
      <c r="P135" s="576"/>
      <c r="Q135" s="576"/>
      <c r="R135" s="477"/>
      <c r="S135" s="477"/>
      <c r="T135" s="477"/>
      <c r="U135" s="477"/>
      <c r="V135" s="477"/>
      <c r="W135" s="477"/>
      <c r="X135" s="477"/>
      <c r="Y135" s="477"/>
    </row>
    <row r="136" spans="1:25" s="476" customFormat="1" ht="18">
      <c r="A136" s="570"/>
      <c r="B136" s="570"/>
      <c r="C136" s="571"/>
      <c r="D136" s="573"/>
      <c r="E136" s="573"/>
      <c r="F136" s="573"/>
      <c r="G136" s="573"/>
      <c r="H136" s="573"/>
      <c r="I136" s="573"/>
      <c r="J136" s="573"/>
      <c r="K136" s="573"/>
      <c r="L136" s="576"/>
      <c r="M136" s="576"/>
      <c r="N136" s="576"/>
      <c r="O136" s="576"/>
      <c r="P136" s="576"/>
      <c r="Q136" s="576"/>
      <c r="R136" s="477"/>
      <c r="S136" s="477"/>
      <c r="T136" s="477"/>
      <c r="U136" s="477"/>
      <c r="V136" s="477"/>
      <c r="W136" s="477"/>
      <c r="X136" s="477"/>
      <c r="Y136" s="477"/>
    </row>
    <row r="137" spans="1:25" s="476" customFormat="1" ht="18">
      <c r="A137" s="570"/>
      <c r="B137" s="570"/>
      <c r="C137" s="571"/>
      <c r="D137" s="573"/>
      <c r="E137" s="573"/>
      <c r="F137" s="573"/>
      <c r="G137" s="573"/>
      <c r="H137" s="573"/>
      <c r="I137" s="573"/>
      <c r="J137" s="573"/>
      <c r="K137" s="573"/>
      <c r="L137" s="576"/>
      <c r="M137" s="576"/>
      <c r="N137" s="576"/>
      <c r="O137" s="576"/>
      <c r="P137" s="576"/>
      <c r="Q137" s="576"/>
      <c r="R137" s="477"/>
      <c r="S137" s="477"/>
      <c r="T137" s="477"/>
      <c r="U137" s="477"/>
      <c r="V137" s="477"/>
      <c r="W137" s="477"/>
      <c r="X137" s="477"/>
      <c r="Y137" s="477"/>
    </row>
    <row r="138" spans="1:25" s="476" customFormat="1" ht="18">
      <c r="A138" s="570"/>
      <c r="B138" s="570"/>
      <c r="C138" s="571"/>
      <c r="D138" s="573"/>
      <c r="E138" s="573"/>
      <c r="F138" s="573"/>
      <c r="G138" s="573"/>
      <c r="H138" s="573"/>
      <c r="I138" s="573"/>
      <c r="J138" s="573"/>
      <c r="K138" s="573"/>
      <c r="L138" s="576"/>
      <c r="M138" s="576"/>
      <c r="N138" s="576"/>
      <c r="O138" s="576"/>
      <c r="P138" s="576"/>
      <c r="Q138" s="576"/>
      <c r="R138" s="477"/>
      <c r="S138" s="477"/>
      <c r="T138" s="477"/>
      <c r="U138" s="477"/>
      <c r="V138" s="477"/>
      <c r="W138" s="477"/>
      <c r="X138" s="477"/>
      <c r="Y138" s="477"/>
    </row>
    <row r="139" spans="1:25" s="476" customFormat="1" ht="18">
      <c r="A139" s="570"/>
      <c r="B139" s="578"/>
      <c r="C139" s="520"/>
      <c r="D139" s="573"/>
      <c r="E139" s="573"/>
      <c r="F139" s="573"/>
      <c r="G139" s="573"/>
      <c r="H139" s="573"/>
      <c r="I139" s="573"/>
      <c r="J139" s="573"/>
      <c r="K139" s="573"/>
      <c r="L139" s="576"/>
      <c r="M139" s="576"/>
      <c r="N139" s="576"/>
      <c r="O139" s="576"/>
      <c r="P139" s="576"/>
      <c r="Q139" s="576"/>
      <c r="R139" s="477"/>
      <c r="S139" s="477"/>
      <c r="T139" s="477"/>
      <c r="U139" s="477"/>
      <c r="V139" s="477"/>
      <c r="W139" s="477"/>
      <c r="X139" s="477"/>
      <c r="Y139" s="477"/>
    </row>
    <row r="140" spans="1:25" s="476" customFormat="1">
      <c r="A140" s="480"/>
      <c r="B140" s="520"/>
      <c r="C140" s="520"/>
      <c r="D140" s="573"/>
      <c r="E140" s="573"/>
      <c r="F140" s="573"/>
      <c r="G140" s="573"/>
      <c r="H140" s="573"/>
      <c r="I140" s="573"/>
      <c r="J140" s="573"/>
      <c r="K140" s="573"/>
      <c r="L140" s="576"/>
      <c r="M140" s="576"/>
      <c r="N140" s="576"/>
      <c r="O140" s="576"/>
      <c r="P140" s="576"/>
      <c r="Q140" s="576"/>
      <c r="R140" s="477"/>
      <c r="S140" s="477"/>
      <c r="T140" s="477"/>
      <c r="U140" s="477"/>
      <c r="V140" s="477"/>
      <c r="W140" s="477"/>
      <c r="X140" s="477"/>
      <c r="Y140" s="477"/>
    </row>
    <row r="141" spans="1:25" s="476" customFormat="1">
      <c r="A141" s="480"/>
      <c r="B141" s="520"/>
      <c r="C141" s="579"/>
      <c r="D141" s="573"/>
      <c r="E141" s="573"/>
      <c r="F141" s="573"/>
      <c r="G141" s="573"/>
      <c r="H141" s="573"/>
      <c r="I141" s="573"/>
      <c r="J141" s="573"/>
      <c r="K141" s="573"/>
      <c r="L141" s="576"/>
      <c r="M141" s="576"/>
      <c r="N141" s="576"/>
      <c r="O141" s="576"/>
      <c r="P141" s="576"/>
      <c r="Q141" s="576"/>
      <c r="R141" s="477"/>
      <c r="S141" s="477"/>
      <c r="T141" s="477"/>
      <c r="U141" s="477"/>
      <c r="V141" s="477"/>
      <c r="W141" s="477"/>
      <c r="X141" s="477"/>
      <c r="Y141" s="477"/>
    </row>
    <row r="142" spans="1:25" s="476" customFormat="1">
      <c r="A142" s="480"/>
      <c r="B142" s="480"/>
      <c r="C142" s="579"/>
      <c r="D142" s="573"/>
      <c r="E142" s="573"/>
      <c r="F142" s="573"/>
      <c r="G142" s="573"/>
      <c r="H142" s="573"/>
      <c r="I142" s="573"/>
      <c r="J142" s="573"/>
      <c r="K142" s="573"/>
      <c r="L142" s="576"/>
      <c r="M142" s="576"/>
      <c r="N142" s="576"/>
      <c r="O142" s="576"/>
      <c r="P142" s="576"/>
      <c r="Q142" s="576"/>
      <c r="R142" s="477"/>
      <c r="S142" s="477"/>
      <c r="T142" s="477"/>
      <c r="U142" s="477"/>
      <c r="V142" s="477"/>
      <c r="W142" s="477"/>
      <c r="X142" s="477"/>
      <c r="Y142" s="477"/>
    </row>
    <row r="143" spans="1:25">
      <c r="A143" s="480"/>
      <c r="B143" s="520"/>
      <c r="C143" s="580"/>
      <c r="D143" s="573"/>
      <c r="E143" s="573"/>
      <c r="F143" s="573"/>
      <c r="G143" s="573"/>
      <c r="H143" s="573"/>
      <c r="I143" s="573"/>
      <c r="J143" s="573"/>
      <c r="K143" s="573"/>
      <c r="L143" s="576"/>
      <c r="M143" s="576"/>
      <c r="N143" s="576"/>
      <c r="O143" s="576"/>
      <c r="P143" s="576"/>
      <c r="Q143" s="576"/>
    </row>
    <row r="144" spans="1:25">
      <c r="A144" s="480"/>
      <c r="B144" s="520"/>
      <c r="C144" s="579"/>
      <c r="D144" s="573"/>
      <c r="E144" s="573"/>
      <c r="F144" s="573"/>
      <c r="G144" s="573"/>
      <c r="H144" s="573"/>
      <c r="I144" s="573"/>
      <c r="J144" s="573"/>
      <c r="K144" s="573"/>
      <c r="L144" s="576"/>
      <c r="M144" s="576"/>
      <c r="N144" s="576"/>
      <c r="O144" s="576"/>
      <c r="P144" s="576"/>
      <c r="Q144" s="576"/>
    </row>
    <row r="145" spans="1:25">
      <c r="A145" s="573"/>
      <c r="B145" s="582"/>
      <c r="C145" s="573"/>
      <c r="D145" s="573"/>
      <c r="E145" s="573"/>
      <c r="F145" s="573"/>
      <c r="G145" s="573"/>
      <c r="H145" s="573"/>
      <c r="I145" s="573"/>
      <c r="J145" s="573"/>
      <c r="K145" s="573"/>
      <c r="L145" s="576"/>
      <c r="M145" s="576"/>
      <c r="N145" s="576"/>
      <c r="O145" s="576"/>
      <c r="P145" s="576"/>
      <c r="Q145" s="576"/>
    </row>
    <row r="146" spans="1:25">
      <c r="A146" s="573"/>
      <c r="B146" s="582"/>
      <c r="C146" s="498"/>
      <c r="D146" s="583"/>
      <c r="E146" s="573"/>
      <c r="F146" s="573"/>
      <c r="G146" s="573"/>
      <c r="H146" s="573"/>
      <c r="I146" s="573"/>
      <c r="J146" s="573"/>
      <c r="K146" s="573"/>
      <c r="L146" s="576"/>
      <c r="M146" s="576"/>
      <c r="N146" s="576"/>
      <c r="O146" s="576"/>
      <c r="P146" s="576"/>
      <c r="Q146" s="576"/>
    </row>
    <row r="147" spans="1:25">
      <c r="A147" s="573"/>
      <c r="B147" s="582"/>
      <c r="C147" s="573"/>
      <c r="D147" s="583"/>
      <c r="E147" s="573"/>
      <c r="F147" s="573"/>
      <c r="G147" s="573"/>
      <c r="H147" s="573"/>
      <c r="I147" s="573"/>
      <c r="J147" s="573"/>
      <c r="K147" s="573"/>
      <c r="L147" s="576"/>
      <c r="M147" s="576"/>
      <c r="N147" s="576"/>
      <c r="O147" s="576"/>
      <c r="P147" s="576"/>
      <c r="Q147" s="576"/>
    </row>
    <row r="148" spans="1:25">
      <c r="A148" s="573"/>
      <c r="B148" s="582"/>
      <c r="C148" s="573"/>
      <c r="D148" s="573"/>
      <c r="E148" s="573"/>
      <c r="F148" s="573"/>
      <c r="G148" s="573"/>
      <c r="H148" s="573"/>
      <c r="I148" s="573"/>
      <c r="J148" s="573"/>
      <c r="K148" s="573"/>
      <c r="L148" s="576"/>
      <c r="M148" s="576"/>
      <c r="N148" s="576"/>
      <c r="O148" s="576"/>
      <c r="P148" s="576"/>
      <c r="Q148" s="576"/>
    </row>
    <row r="149" spans="1:25">
      <c r="A149" s="573"/>
      <c r="B149" s="582"/>
      <c r="C149" s="573"/>
      <c r="D149" s="573"/>
      <c r="E149" s="573"/>
      <c r="F149" s="573"/>
      <c r="G149" s="573"/>
      <c r="H149" s="573"/>
      <c r="I149" s="573"/>
      <c r="J149" s="573"/>
      <c r="K149" s="573"/>
      <c r="L149" s="576"/>
      <c r="M149" s="576"/>
      <c r="N149" s="576"/>
      <c r="O149" s="576"/>
      <c r="P149" s="576"/>
      <c r="Q149" s="576"/>
    </row>
    <row r="150" spans="1:25" ht="21" customHeight="1">
      <c r="A150" s="573"/>
      <c r="B150" s="582"/>
      <c r="C150" s="573"/>
      <c r="D150" s="573"/>
      <c r="E150" s="573"/>
      <c r="F150" s="573"/>
      <c r="G150" s="573"/>
      <c r="H150" s="573"/>
      <c r="I150" s="573"/>
      <c r="J150" s="573"/>
      <c r="K150" s="573"/>
      <c r="L150" s="576"/>
      <c r="M150" s="576"/>
      <c r="N150" s="576"/>
      <c r="O150" s="576"/>
      <c r="P150" s="576"/>
      <c r="Q150" s="576"/>
    </row>
    <row r="151" spans="1:25">
      <c r="A151" s="573"/>
      <c r="B151" s="582"/>
      <c r="C151" s="573"/>
      <c r="D151" s="573"/>
      <c r="E151" s="573"/>
      <c r="F151" s="573"/>
      <c r="G151" s="573"/>
      <c r="H151" s="573"/>
      <c r="I151" s="573"/>
      <c r="J151" s="573"/>
      <c r="K151" s="573"/>
      <c r="L151" s="576"/>
      <c r="M151" s="576"/>
      <c r="N151" s="576"/>
      <c r="O151" s="576"/>
      <c r="P151" s="576"/>
      <c r="Q151" s="576"/>
    </row>
    <row r="152" spans="1:25">
      <c r="A152" s="573"/>
      <c r="B152" s="582"/>
      <c r="C152" s="573"/>
      <c r="D152" s="573"/>
      <c r="E152" s="573"/>
      <c r="F152" s="573"/>
      <c r="G152" s="573"/>
      <c r="H152" s="573"/>
      <c r="I152" s="573"/>
      <c r="J152" s="573"/>
      <c r="K152" s="573"/>
      <c r="L152" s="576"/>
      <c r="M152" s="576"/>
      <c r="N152" s="576"/>
      <c r="O152" s="576"/>
      <c r="P152" s="576"/>
      <c r="Q152" s="576"/>
    </row>
    <row r="153" spans="1:25">
      <c r="A153" s="573"/>
      <c r="B153" s="582"/>
      <c r="C153" s="573"/>
      <c r="D153" s="573"/>
      <c r="E153" s="573"/>
      <c r="F153" s="573"/>
      <c r="G153" s="573"/>
      <c r="H153" s="573"/>
      <c r="I153" s="573"/>
      <c r="J153" s="573"/>
      <c r="K153" s="573"/>
      <c r="L153" s="576"/>
      <c r="M153" s="576"/>
      <c r="N153" s="576"/>
      <c r="O153" s="576"/>
      <c r="P153" s="576"/>
      <c r="Q153" s="576"/>
    </row>
    <row r="154" spans="1:25">
      <c r="A154" s="573"/>
      <c r="B154" s="582"/>
      <c r="C154" s="573"/>
      <c r="D154" s="573"/>
      <c r="E154" s="573"/>
      <c r="F154" s="573"/>
      <c r="G154" s="573"/>
      <c r="H154" s="573"/>
      <c r="I154" s="573"/>
      <c r="J154" s="573"/>
      <c r="K154" s="573"/>
      <c r="L154" s="576"/>
      <c r="M154" s="576"/>
      <c r="N154" s="576"/>
      <c r="O154" s="576"/>
      <c r="P154" s="576"/>
      <c r="Q154" s="576"/>
    </row>
    <row r="155" spans="1:25" ht="19.5" customHeight="1">
      <c r="A155" s="573"/>
      <c r="B155" s="582"/>
      <c r="C155" s="573"/>
      <c r="D155" s="573"/>
      <c r="E155" s="573"/>
      <c r="F155" s="573"/>
      <c r="G155" s="573"/>
      <c r="H155" s="573"/>
      <c r="I155" s="573"/>
      <c r="J155" s="573"/>
      <c r="K155" s="573"/>
      <c r="L155" s="576"/>
      <c r="M155" s="576"/>
      <c r="N155" s="576"/>
      <c r="O155" s="576"/>
      <c r="P155" s="576"/>
      <c r="Q155" s="576"/>
    </row>
    <row r="156" spans="1:25">
      <c r="A156" s="573"/>
      <c r="B156" s="582"/>
      <c r="C156" s="573"/>
      <c r="D156" s="573"/>
      <c r="E156" s="573"/>
      <c r="F156" s="573"/>
      <c r="G156" s="573"/>
      <c r="H156" s="573"/>
      <c r="I156" s="573"/>
      <c r="J156" s="573"/>
      <c r="K156" s="573"/>
      <c r="L156" s="576"/>
      <c r="M156" s="576"/>
      <c r="N156" s="576"/>
      <c r="O156" s="576"/>
      <c r="P156" s="576"/>
      <c r="Q156" s="576"/>
    </row>
    <row r="157" spans="1:25">
      <c r="A157" s="573"/>
      <c r="B157" s="582"/>
      <c r="C157" s="573"/>
      <c r="D157" s="573"/>
      <c r="E157" s="573"/>
      <c r="F157" s="573"/>
      <c r="G157" s="573"/>
      <c r="H157" s="573"/>
      <c r="I157" s="573"/>
      <c r="J157" s="573"/>
      <c r="K157" s="573"/>
      <c r="L157" s="576"/>
      <c r="M157" s="576"/>
      <c r="N157" s="576"/>
      <c r="O157" s="576"/>
      <c r="P157" s="576"/>
      <c r="Q157" s="576"/>
    </row>
    <row r="158" spans="1:25">
      <c r="A158" s="573"/>
      <c r="B158" s="582"/>
      <c r="C158" s="573"/>
      <c r="D158" s="573"/>
      <c r="E158" s="573"/>
      <c r="F158" s="573"/>
      <c r="G158" s="573"/>
      <c r="H158" s="573"/>
      <c r="I158" s="573"/>
      <c r="J158" s="573"/>
      <c r="K158" s="573"/>
      <c r="L158" s="576"/>
      <c r="M158" s="576"/>
      <c r="N158" s="576"/>
      <c r="O158" s="576"/>
      <c r="P158" s="576"/>
      <c r="Q158" s="576"/>
    </row>
    <row r="159" spans="1:25" s="476" customFormat="1">
      <c r="A159" s="573"/>
      <c r="B159" s="582"/>
      <c r="C159" s="573"/>
      <c r="D159" s="573"/>
      <c r="E159" s="573"/>
      <c r="F159" s="573"/>
      <c r="G159" s="573"/>
      <c r="H159" s="573"/>
      <c r="I159" s="573"/>
      <c r="J159" s="573"/>
      <c r="K159" s="573"/>
      <c r="L159" s="576"/>
      <c r="M159" s="576"/>
      <c r="N159" s="576"/>
      <c r="O159" s="576"/>
      <c r="P159" s="576"/>
      <c r="Q159" s="576"/>
      <c r="R159" s="477"/>
      <c r="S159" s="477"/>
      <c r="T159" s="477"/>
      <c r="U159" s="477"/>
      <c r="V159" s="477"/>
      <c r="W159" s="477"/>
      <c r="X159" s="477"/>
      <c r="Y159" s="477"/>
    </row>
    <row r="160" spans="1:25" s="476" customFormat="1">
      <c r="A160" s="573"/>
      <c r="B160" s="582"/>
      <c r="C160" s="573"/>
      <c r="D160" s="573"/>
      <c r="E160" s="573"/>
      <c r="F160" s="573"/>
      <c r="G160" s="573"/>
      <c r="H160" s="573"/>
      <c r="I160" s="573"/>
      <c r="J160" s="573"/>
      <c r="K160" s="573"/>
      <c r="L160" s="576"/>
      <c r="M160" s="576"/>
      <c r="N160" s="576"/>
      <c r="O160" s="576"/>
      <c r="P160" s="576"/>
      <c r="Q160" s="576"/>
      <c r="R160" s="477"/>
      <c r="S160" s="477"/>
      <c r="T160" s="477"/>
      <c r="U160" s="477"/>
      <c r="V160" s="477"/>
      <c r="W160" s="477"/>
      <c r="X160" s="477"/>
      <c r="Y160" s="477"/>
    </row>
  </sheetData>
  <printOptions horizontalCentered="1"/>
  <pageMargins left="1" right="1" top="1" bottom="1" header="0.5" footer="0.4"/>
  <pageSetup scale="27"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
    <tabColor rgb="FF339966"/>
    <pageSetUpPr fitToPage="1"/>
  </sheetPr>
  <dimension ref="A1:P72"/>
  <sheetViews>
    <sheetView zoomScale="75" zoomScaleNormal="75" workbookViewId="0">
      <pane ySplit="7" topLeftCell="A20" activePane="bottomLeft" state="frozen"/>
      <selection activeCell="J25" sqref="J25"/>
      <selection pane="bottomLeft" activeCell="J4" sqref="J4"/>
    </sheetView>
  </sheetViews>
  <sheetFormatPr baseColWidth="10" defaultColWidth="8.85546875" defaultRowHeight="16"/>
  <cols>
    <col min="1" max="1" width="8.85546875" style="34"/>
    <col min="2" max="2" width="14.7109375" style="34" customWidth="1"/>
    <col min="3" max="3" width="13.7109375" style="34" customWidth="1"/>
    <col min="4" max="4" width="12.7109375" style="34" customWidth="1"/>
    <col min="5" max="5" width="13.28515625" style="34" customWidth="1"/>
    <col min="6" max="6" width="16.28515625" style="34" customWidth="1"/>
    <col min="7" max="7" width="17.5703125" style="34" customWidth="1"/>
    <col min="8" max="8" width="10.7109375" style="34" customWidth="1"/>
    <col min="9" max="9" width="11.42578125" style="34" customWidth="1"/>
    <col min="10" max="10" width="21.140625" style="34" customWidth="1"/>
    <col min="11" max="16384" width="8.85546875" style="34"/>
  </cols>
  <sheetData>
    <row r="1" spans="1:16">
      <c r="A1" s="33" t="str">
        <f ca="1">CELL("filename",A1)</f>
        <v>/Users/janohlberger/Work/UW/Thresholds/Data/Rich/[2018_PWS_Wild_Pink_forecast_DRAFT.xlsm]Lag1_Exp_smooth_Total Run Even</v>
      </c>
    </row>
    <row r="2" spans="1:16" ht="17" thickBot="1"/>
    <row r="3" spans="1:16">
      <c r="A3" s="35" t="s">
        <v>122</v>
      </c>
      <c r="B3" s="359" t="s">
        <v>152</v>
      </c>
      <c r="L3" s="41"/>
      <c r="M3" s="48"/>
      <c r="N3" s="182"/>
      <c r="O3" s="183" t="s">
        <v>160</v>
      </c>
      <c r="P3" s="184">
        <v>0.72592961768375475</v>
      </c>
    </row>
    <row r="4" spans="1:16" ht="17" thickBot="1">
      <c r="A4" s="35"/>
      <c r="B4" s="358" t="s">
        <v>153</v>
      </c>
      <c r="L4" s="41"/>
      <c r="M4" s="185"/>
      <c r="N4" s="186"/>
      <c r="O4" s="346" t="s">
        <v>159</v>
      </c>
      <c r="P4" s="241">
        <f>I43</f>
        <v>1.1380569114556678</v>
      </c>
    </row>
    <row r="5" spans="1:16">
      <c r="A5" s="45"/>
      <c r="B5" s="45"/>
    </row>
    <row r="6" spans="1:16" ht="63.75" customHeight="1">
      <c r="A6" s="38" t="s">
        <v>3</v>
      </c>
      <c r="B6" s="189" t="s">
        <v>135</v>
      </c>
      <c r="C6" s="171" t="s">
        <v>130</v>
      </c>
      <c r="D6" s="171" t="s">
        <v>154</v>
      </c>
      <c r="E6" s="171" t="s">
        <v>131</v>
      </c>
      <c r="F6" s="171" t="s">
        <v>237</v>
      </c>
      <c r="G6" s="171" t="s">
        <v>238</v>
      </c>
      <c r="H6" s="170" t="s">
        <v>155</v>
      </c>
      <c r="I6" s="169" t="s">
        <v>132</v>
      </c>
      <c r="J6" s="34" t="s">
        <v>117</v>
      </c>
    </row>
    <row r="7" spans="1:16">
      <c r="A7" s="43" t="s">
        <v>7</v>
      </c>
      <c r="B7" s="44" t="s">
        <v>134</v>
      </c>
      <c r="C7" s="174"/>
      <c r="D7" s="168"/>
      <c r="E7" s="45"/>
      <c r="F7" s="45"/>
      <c r="G7" s="45"/>
      <c r="H7" s="45"/>
      <c r="I7" s="45"/>
    </row>
    <row r="8" spans="1:16">
      <c r="A8" s="39">
        <v>1960</v>
      </c>
      <c r="B8" s="167">
        <f>VLOOKUP($A8,Database!$A$74:$J$137,10, FALSE)</f>
        <v>3192618</v>
      </c>
      <c r="C8" s="155"/>
      <c r="D8" s="155"/>
      <c r="E8" s="155"/>
      <c r="F8" s="155"/>
      <c r="G8" s="155"/>
      <c r="I8" s="41"/>
    </row>
    <row r="9" spans="1:16">
      <c r="A9" s="242">
        <f>A8+2</f>
        <v>1962</v>
      </c>
      <c r="B9" s="167">
        <f>VLOOKUP($A9,Database!$A$74:$J$137,10, FALSE)</f>
        <v>8760326</v>
      </c>
      <c r="C9" s="62">
        <f>$B8</f>
        <v>3192618</v>
      </c>
      <c r="D9" s="341">
        <f>C9-B9</f>
        <v>-5567708</v>
      </c>
      <c r="E9" s="52">
        <f t="shared" ref="E9:E34" si="0">ABS(C9-$B9)</f>
        <v>5567708</v>
      </c>
      <c r="F9" s="383">
        <f>(C9-B9)/B9</f>
        <v>-0.6355594529244688</v>
      </c>
      <c r="G9" s="388">
        <f>$F$52/(1+F9)</f>
        <v>0</v>
      </c>
      <c r="H9" s="55"/>
      <c r="I9" s="55"/>
    </row>
    <row r="10" spans="1:16">
      <c r="A10" s="242">
        <f t="shared" ref="A10:A36" si="1">A9+2</f>
        <v>1964</v>
      </c>
      <c r="B10" s="167">
        <f>VLOOKUP($A10,Database!$A$74:$J$137,10, FALSE)</f>
        <v>6048576</v>
      </c>
      <c r="C10" s="52">
        <f t="shared" ref="C10:C36" si="2">$P$3*$B9+(1-$P$3)*$C9</f>
        <v>7234382.1398147829</v>
      </c>
      <c r="D10" s="54">
        <f>C10-B10</f>
        <v>1185806.1398147829</v>
      </c>
      <c r="E10" s="52">
        <f t="shared" si="0"/>
        <v>1185806.1398147829</v>
      </c>
      <c r="F10" s="383">
        <f t="shared" ref="F10:F34" si="3">(C10-B10)/B10</f>
        <v>0.19604715883784596</v>
      </c>
      <c r="G10" s="388">
        <f t="shared" ref="G10:G34" si="4">$F$52/(1+F10)</f>
        <v>0</v>
      </c>
      <c r="H10" s="55">
        <f>($C10-$B10)/$B10</f>
        <v>0.19604715883784596</v>
      </c>
      <c r="I10" s="55">
        <f t="shared" ref="I10:I35" si="5">ABS($C10-$B10)/$B10</f>
        <v>0.19604715883784596</v>
      </c>
      <c r="J10" s="396">
        <f>COUNT($I$10:$I$35)-RANK(I10,$I$10:$I$35)</f>
        <v>6</v>
      </c>
    </row>
    <row r="11" spans="1:16">
      <c r="A11" s="242">
        <f t="shared" si="1"/>
        <v>1966</v>
      </c>
      <c r="B11" s="167">
        <f>VLOOKUP($A11,Database!$A$74:$J$137,10, FALSE)</f>
        <v>4122588</v>
      </c>
      <c r="C11" s="52">
        <f t="shared" si="2"/>
        <v>6373570.3420919888</v>
      </c>
      <c r="D11" s="54">
        <f t="shared" ref="D11:D32" si="6">C11-B11</f>
        <v>2250982.3420919888</v>
      </c>
      <c r="E11" s="52">
        <f t="shared" si="0"/>
        <v>2250982.3420919888</v>
      </c>
      <c r="F11" s="383">
        <f t="shared" si="3"/>
        <v>0.54601195707453398</v>
      </c>
      <c r="G11" s="388">
        <f t="shared" si="4"/>
        <v>0</v>
      </c>
      <c r="H11" s="55">
        <f t="shared" ref="H11:H34" si="7">(C11-B11)/B11</f>
        <v>0.54601195707453398</v>
      </c>
      <c r="I11" s="55">
        <f t="shared" si="5"/>
        <v>0.54601195707453398</v>
      </c>
      <c r="J11" s="396">
        <f t="shared" ref="J11:J35" si="8">COUNT($I$10:$I$35)-RANK(I11,$I$10:$I$35)</f>
        <v>15</v>
      </c>
    </row>
    <row r="12" spans="1:16">
      <c r="A12" s="242">
        <f t="shared" si="1"/>
        <v>1968</v>
      </c>
      <c r="B12" s="167">
        <f>VLOOKUP($A12,Database!$A$74:$J$137,10, FALSE)</f>
        <v>3608678</v>
      </c>
      <c r="C12" s="52">
        <f t="shared" si="2"/>
        <v>4739515.5910842689</v>
      </c>
      <c r="D12" s="54">
        <f t="shared" si="6"/>
        <v>1130837.5910842689</v>
      </c>
      <c r="E12" s="52">
        <f t="shared" si="0"/>
        <v>1130837.5910842689</v>
      </c>
      <c r="F12" s="383">
        <f t="shared" si="3"/>
        <v>0.31336616652532279</v>
      </c>
      <c r="G12" s="388">
        <f t="shared" si="4"/>
        <v>0</v>
      </c>
      <c r="H12" s="55">
        <f t="shared" si="7"/>
        <v>0.31336616652532279</v>
      </c>
      <c r="I12" s="55">
        <f t="shared" si="5"/>
        <v>0.31336616652532279</v>
      </c>
      <c r="J12" s="396">
        <f t="shared" si="8"/>
        <v>9</v>
      </c>
    </row>
    <row r="13" spans="1:16">
      <c r="A13" s="242">
        <f t="shared" si="1"/>
        <v>1970</v>
      </c>
      <c r="B13" s="167">
        <f>VLOOKUP($A13,Database!$A$74:$J$137,10, FALSE)</f>
        <v>3789216</v>
      </c>
      <c r="C13" s="52">
        <f t="shared" si="2"/>
        <v>3918607.0909260474</v>
      </c>
      <c r="D13" s="54">
        <f t="shared" si="6"/>
        <v>129391.09092604741</v>
      </c>
      <c r="E13" s="52">
        <f t="shared" si="0"/>
        <v>129391.09092604741</v>
      </c>
      <c r="F13" s="383">
        <f t="shared" si="3"/>
        <v>3.4147193225735194E-2</v>
      </c>
      <c r="G13" s="388">
        <f t="shared" si="4"/>
        <v>0</v>
      </c>
      <c r="H13" s="55">
        <f t="shared" si="7"/>
        <v>3.4147193225735194E-2</v>
      </c>
      <c r="I13" s="55">
        <f t="shared" si="5"/>
        <v>3.4147193225735194E-2</v>
      </c>
      <c r="J13" s="396">
        <f t="shared" si="8"/>
        <v>2</v>
      </c>
    </row>
    <row r="14" spans="1:16">
      <c r="A14" s="242">
        <f t="shared" si="1"/>
        <v>1972</v>
      </c>
      <c r="B14" s="167">
        <f>VLOOKUP($A14,Database!$A$74:$J$137,10, FALSE)</f>
        <v>695963</v>
      </c>
      <c r="C14" s="52">
        <f t="shared" si="2"/>
        <v>3824678.265758418</v>
      </c>
      <c r="D14" s="54">
        <f t="shared" si="6"/>
        <v>3128715.265758418</v>
      </c>
      <c r="E14" s="52">
        <f t="shared" si="0"/>
        <v>3128715.265758418</v>
      </c>
      <c r="F14" s="383">
        <f t="shared" si="3"/>
        <v>4.4955195402031691</v>
      </c>
      <c r="G14" s="388">
        <f t="shared" si="4"/>
        <v>0</v>
      </c>
      <c r="H14" s="55">
        <f t="shared" si="7"/>
        <v>4.4955195402031691</v>
      </c>
      <c r="I14" s="55">
        <f t="shared" si="5"/>
        <v>4.4955195402031691</v>
      </c>
      <c r="J14" s="396">
        <f t="shared" si="8"/>
        <v>24</v>
      </c>
    </row>
    <row r="15" spans="1:16">
      <c r="A15" s="242">
        <f t="shared" si="1"/>
        <v>1974</v>
      </c>
      <c r="B15" s="167">
        <f>VLOOKUP($A15,Database!$A$74:$J$137,10, FALSE)</f>
        <v>1012903</v>
      </c>
      <c r="C15" s="52">
        <f t="shared" si="2"/>
        <v>1553451.1890450825</v>
      </c>
      <c r="D15" s="54">
        <f t="shared" si="6"/>
        <v>540548.18904508254</v>
      </c>
      <c r="E15" s="52">
        <f t="shared" si="0"/>
        <v>540548.18904508254</v>
      </c>
      <c r="F15" s="383">
        <f t="shared" si="3"/>
        <v>0.53366234382273781</v>
      </c>
      <c r="G15" s="388">
        <f t="shared" si="4"/>
        <v>0</v>
      </c>
      <c r="H15" s="55">
        <f t="shared" si="7"/>
        <v>0.53366234382273781</v>
      </c>
      <c r="I15" s="55">
        <f t="shared" si="5"/>
        <v>0.53366234382273781</v>
      </c>
      <c r="J15" s="396">
        <f t="shared" si="8"/>
        <v>14</v>
      </c>
    </row>
    <row r="16" spans="1:16">
      <c r="A16" s="242">
        <f t="shared" si="1"/>
        <v>1976</v>
      </c>
      <c r="B16" s="167">
        <f>VLOOKUP($A16,Database!$A$74:$J$137,10, FALSE)</f>
        <v>1161051</v>
      </c>
      <c r="C16" s="52">
        <f t="shared" si="2"/>
        <v>1161051.2488319399</v>
      </c>
      <c r="D16" s="54">
        <f t="shared" si="6"/>
        <v>0.24883193988353014</v>
      </c>
      <c r="E16" s="52">
        <f t="shared" si="0"/>
        <v>0.24883193988353014</v>
      </c>
      <c r="F16" s="383">
        <f t="shared" si="3"/>
        <v>2.1431611521244988E-7</v>
      </c>
      <c r="G16" s="388">
        <f t="shared" si="4"/>
        <v>0</v>
      </c>
      <c r="H16" s="55">
        <f t="shared" si="7"/>
        <v>2.1431611521244988E-7</v>
      </c>
      <c r="I16" s="55">
        <f t="shared" si="5"/>
        <v>2.1431611521244988E-7</v>
      </c>
      <c r="J16" s="396">
        <f t="shared" si="8"/>
        <v>0</v>
      </c>
    </row>
    <row r="17" spans="1:10">
      <c r="A17" s="242">
        <f t="shared" si="1"/>
        <v>1978</v>
      </c>
      <c r="B17" s="167">
        <f>VLOOKUP($A17,Database!$A$74:$J$137,10, FALSE)</f>
        <v>3925083</v>
      </c>
      <c r="C17" s="52">
        <f t="shared" si="2"/>
        <v>1161051.0681974648</v>
      </c>
      <c r="D17" s="54">
        <f t="shared" si="6"/>
        <v>-2764031.9318025354</v>
      </c>
      <c r="E17" s="52">
        <f t="shared" si="0"/>
        <v>2764031.9318025354</v>
      </c>
      <c r="F17" s="383">
        <f t="shared" si="3"/>
        <v>-0.70419706584613251</v>
      </c>
      <c r="G17" s="388">
        <f t="shared" si="4"/>
        <v>0</v>
      </c>
      <c r="H17" s="55">
        <f t="shared" si="7"/>
        <v>-0.70419706584613251</v>
      </c>
      <c r="I17" s="55">
        <f t="shared" si="5"/>
        <v>0.70419706584613251</v>
      </c>
      <c r="J17" s="396">
        <f t="shared" si="8"/>
        <v>19</v>
      </c>
    </row>
    <row r="18" spans="1:10">
      <c r="A18" s="242">
        <f t="shared" si="1"/>
        <v>1980</v>
      </c>
      <c r="B18" s="167">
        <f>VLOOKUP($A18,Database!$A$74:$J$137,10, FALSE)</f>
        <v>14013916</v>
      </c>
      <c r="C18" s="52">
        <f t="shared" si="2"/>
        <v>3167543.7117165695</v>
      </c>
      <c r="D18" s="54">
        <f t="shared" si="6"/>
        <v>-10846372.28828343</v>
      </c>
      <c r="E18" s="52">
        <f t="shared" si="0"/>
        <v>10846372.28828343</v>
      </c>
      <c r="F18" s="383">
        <f t="shared" si="3"/>
        <v>-0.77397155001381701</v>
      </c>
      <c r="G18" s="388">
        <f t="shared" si="4"/>
        <v>0</v>
      </c>
      <c r="H18" s="55">
        <f t="shared" si="7"/>
        <v>-0.77397155001381701</v>
      </c>
      <c r="I18" s="55">
        <f t="shared" si="5"/>
        <v>0.77397155001381701</v>
      </c>
      <c r="J18" s="396">
        <f t="shared" si="8"/>
        <v>20</v>
      </c>
    </row>
    <row r="19" spans="1:10">
      <c r="A19" s="242">
        <f t="shared" si="1"/>
        <v>1982</v>
      </c>
      <c r="B19" s="167">
        <f>VLOOKUP($A19,Database!$A$74:$J$137,10, FALSE)</f>
        <v>16794317</v>
      </c>
      <c r="C19" s="52">
        <f t="shared" si="2"/>
        <v>11041246.600205833</v>
      </c>
      <c r="D19" s="54">
        <f t="shared" si="6"/>
        <v>-5753070.3997941669</v>
      </c>
      <c r="E19" s="52">
        <f t="shared" si="0"/>
        <v>5753070.3997941669</v>
      </c>
      <c r="F19" s="383">
        <f t="shared" si="3"/>
        <v>-0.34256054591527402</v>
      </c>
      <c r="G19" s="388">
        <f t="shared" si="4"/>
        <v>0</v>
      </c>
      <c r="H19" s="55">
        <f t="shared" si="7"/>
        <v>-0.34256054591527402</v>
      </c>
      <c r="I19" s="55">
        <f t="shared" si="5"/>
        <v>0.34256054591527402</v>
      </c>
      <c r="J19" s="396">
        <f t="shared" si="8"/>
        <v>11</v>
      </c>
    </row>
    <row r="20" spans="1:10">
      <c r="A20" s="242">
        <f t="shared" si="1"/>
        <v>1984</v>
      </c>
      <c r="B20" s="167">
        <f>VLOOKUP($A20,Database!$A$74:$J$137,10, FALSE)</f>
        <v>21201513</v>
      </c>
      <c r="C20" s="52">
        <f t="shared" si="2"/>
        <v>15217570.796036139</v>
      </c>
      <c r="D20" s="54">
        <f t="shared" si="6"/>
        <v>-5983942.2039638609</v>
      </c>
      <c r="E20" s="52">
        <f t="shared" si="0"/>
        <v>5983942.2039638609</v>
      </c>
      <c r="F20" s="383">
        <f t="shared" si="3"/>
        <v>-0.28224128174078239</v>
      </c>
      <c r="G20" s="388">
        <f t="shared" si="4"/>
        <v>0</v>
      </c>
      <c r="H20" s="55">
        <f t="shared" si="7"/>
        <v>-0.28224128174078239</v>
      </c>
      <c r="I20" s="55">
        <f t="shared" si="5"/>
        <v>0.28224128174078239</v>
      </c>
      <c r="J20" s="396">
        <f t="shared" si="8"/>
        <v>7</v>
      </c>
    </row>
    <row r="21" spans="1:10">
      <c r="A21" s="242">
        <f t="shared" si="1"/>
        <v>1986</v>
      </c>
      <c r="B21" s="167">
        <f>VLOOKUP($A21,Database!$A$74:$J$137,10, FALSE)</f>
        <v>5563957</v>
      </c>
      <c r="C21" s="52">
        <f t="shared" si="2"/>
        <v>19561491.672401309</v>
      </c>
      <c r="D21" s="54">
        <f t="shared" si="6"/>
        <v>13997534.672401309</v>
      </c>
      <c r="E21" s="52">
        <f t="shared" si="0"/>
        <v>13997534.672401309</v>
      </c>
      <c r="F21" s="383">
        <f t="shared" si="3"/>
        <v>2.5157517702601422</v>
      </c>
      <c r="G21" s="388">
        <f t="shared" si="4"/>
        <v>0</v>
      </c>
      <c r="H21" s="55">
        <f t="shared" si="7"/>
        <v>2.5157517702601422</v>
      </c>
      <c r="I21" s="55">
        <f t="shared" si="5"/>
        <v>2.5157517702601422</v>
      </c>
      <c r="J21" s="396">
        <f t="shared" si="8"/>
        <v>21</v>
      </c>
    </row>
    <row r="22" spans="1:10">
      <c r="A22" s="242">
        <f t="shared" si="1"/>
        <v>1988</v>
      </c>
      <c r="B22" s="167">
        <f>VLOOKUP($A22,Database!$A$74:$J$137,10, FALSE)</f>
        <v>1766936</v>
      </c>
      <c r="C22" s="52">
        <f t="shared" si="2"/>
        <v>9400266.6791499257</v>
      </c>
      <c r="D22" s="54">
        <f t="shared" si="6"/>
        <v>7633330.6791499257</v>
      </c>
      <c r="E22" s="52">
        <f t="shared" si="0"/>
        <v>7633330.6791499257</v>
      </c>
      <c r="F22" s="383">
        <f t="shared" si="3"/>
        <v>4.3200946039641082</v>
      </c>
      <c r="G22" s="388">
        <f t="shared" si="4"/>
        <v>0</v>
      </c>
      <c r="H22" s="55">
        <f t="shared" si="7"/>
        <v>4.3200946039641082</v>
      </c>
      <c r="I22" s="55">
        <f t="shared" si="5"/>
        <v>4.3200946039641082</v>
      </c>
      <c r="J22" s="396">
        <f t="shared" si="8"/>
        <v>22</v>
      </c>
    </row>
    <row r="23" spans="1:10">
      <c r="A23" s="242">
        <f t="shared" si="1"/>
        <v>1990</v>
      </c>
      <c r="B23" s="167">
        <f>VLOOKUP($A23,Database!$A$74:$J$137,10, FALSE)</f>
        <v>12923662</v>
      </c>
      <c r="C23" s="52">
        <f t="shared" si="2"/>
        <v>3859005.857580944</v>
      </c>
      <c r="D23" s="54">
        <f t="shared" si="6"/>
        <v>-9064656.1424190551</v>
      </c>
      <c r="E23" s="52">
        <f t="shared" si="0"/>
        <v>9064656.1424190551</v>
      </c>
      <c r="F23" s="383">
        <f t="shared" si="3"/>
        <v>-0.70139997025758294</v>
      </c>
      <c r="G23" s="388">
        <f t="shared" si="4"/>
        <v>0</v>
      </c>
      <c r="H23" s="55">
        <f t="shared" si="7"/>
        <v>-0.70139997025758294</v>
      </c>
      <c r="I23" s="55">
        <f t="shared" si="5"/>
        <v>0.70139997025758294</v>
      </c>
      <c r="J23" s="396">
        <f t="shared" si="8"/>
        <v>18</v>
      </c>
    </row>
    <row r="24" spans="1:10">
      <c r="A24" s="242">
        <f t="shared" si="1"/>
        <v>1992</v>
      </c>
      <c r="B24" s="167">
        <f>VLOOKUP($A24,Database!$A$74:$J$137,10, FALSE)</f>
        <v>1405383</v>
      </c>
      <c r="C24" s="52">
        <f t="shared" si="2"/>
        <v>10439308.225481909</v>
      </c>
      <c r="D24" s="54">
        <f t="shared" si="6"/>
        <v>9033925.2254819088</v>
      </c>
      <c r="E24" s="52">
        <f t="shared" si="0"/>
        <v>9033925.2254819088</v>
      </c>
      <c r="F24" s="383">
        <f t="shared" si="3"/>
        <v>6.4280877351454437</v>
      </c>
      <c r="G24" s="388">
        <f t="shared" si="4"/>
        <v>0</v>
      </c>
      <c r="H24" s="55">
        <f t="shared" si="7"/>
        <v>6.4280877351454437</v>
      </c>
      <c r="I24" s="55">
        <f t="shared" si="5"/>
        <v>6.4280877351454437</v>
      </c>
      <c r="J24" s="396">
        <f t="shared" si="8"/>
        <v>25</v>
      </c>
    </row>
    <row r="25" spans="1:10">
      <c r="A25" s="242">
        <f t="shared" si="1"/>
        <v>1994</v>
      </c>
      <c r="B25" s="167">
        <f>VLOOKUP($A25,Database!$A$74:$J$137,10, FALSE)</f>
        <v>4666639</v>
      </c>
      <c r="C25" s="52">
        <f t="shared" si="2"/>
        <v>3881314.3403641991</v>
      </c>
      <c r="D25" s="54">
        <f t="shared" si="6"/>
        <v>-785324.65963580087</v>
      </c>
      <c r="E25" s="52">
        <f t="shared" si="0"/>
        <v>785324.65963580087</v>
      </c>
      <c r="F25" s="383">
        <f t="shared" si="3"/>
        <v>-0.16828485332501633</v>
      </c>
      <c r="G25" s="388">
        <f t="shared" si="4"/>
        <v>0</v>
      </c>
      <c r="H25" s="55">
        <f t="shared" si="7"/>
        <v>-0.16828485332501633</v>
      </c>
      <c r="I25" s="55">
        <f t="shared" si="5"/>
        <v>0.16828485332501633</v>
      </c>
      <c r="J25" s="396">
        <f t="shared" si="8"/>
        <v>5</v>
      </c>
    </row>
    <row r="26" spans="1:10">
      <c r="A26" s="242">
        <f t="shared" si="1"/>
        <v>1996</v>
      </c>
      <c r="B26" s="167">
        <f>VLOOKUP($A26,Database!$A$74:$J$137,10, FALSE)</f>
        <v>4500085</v>
      </c>
      <c r="C26" s="52">
        <f t="shared" si="2"/>
        <v>4451404.7702912409</v>
      </c>
      <c r="D26" s="54">
        <f t="shared" si="6"/>
        <v>-48680.229708759114</v>
      </c>
      <c r="E26" s="52">
        <f t="shared" si="0"/>
        <v>48680.229708759114</v>
      </c>
      <c r="F26" s="383">
        <f t="shared" si="3"/>
        <v>-1.0817624491261635E-2</v>
      </c>
      <c r="G26" s="388">
        <f t="shared" si="4"/>
        <v>0</v>
      </c>
      <c r="H26" s="55">
        <f t="shared" si="7"/>
        <v>-1.0817624491261635E-2</v>
      </c>
      <c r="I26" s="55">
        <f t="shared" si="5"/>
        <v>1.0817624491261635E-2</v>
      </c>
      <c r="J26" s="396">
        <f t="shared" si="8"/>
        <v>1</v>
      </c>
    </row>
    <row r="27" spans="1:10">
      <c r="A27" s="242">
        <f t="shared" si="1"/>
        <v>1998</v>
      </c>
      <c r="B27" s="167">
        <f>VLOOKUP($A27,Database!$A$74:$J$137,10, FALSE)</f>
        <v>5274275.5</v>
      </c>
      <c r="C27" s="52">
        <f t="shared" si="2"/>
        <v>4486743.190832478</v>
      </c>
      <c r="D27" s="54">
        <f t="shared" si="6"/>
        <v>-787532.30916752201</v>
      </c>
      <c r="E27" s="52">
        <f t="shared" si="0"/>
        <v>787532.30916752201</v>
      </c>
      <c r="F27" s="383">
        <f t="shared" si="3"/>
        <v>-0.14931573240107043</v>
      </c>
      <c r="G27" s="388">
        <f t="shared" si="4"/>
        <v>0</v>
      </c>
      <c r="H27" s="55">
        <f t="shared" si="7"/>
        <v>-0.14931573240107043</v>
      </c>
      <c r="I27" s="55">
        <f t="shared" si="5"/>
        <v>0.14931573240107043</v>
      </c>
      <c r="J27" s="396">
        <f t="shared" si="8"/>
        <v>4</v>
      </c>
    </row>
    <row r="28" spans="1:10">
      <c r="A28" s="242">
        <f t="shared" si="1"/>
        <v>2000</v>
      </c>
      <c r="B28" s="167">
        <f>VLOOKUP($A28,Database!$A$74:$J$137,10, FALSE)</f>
        <v>7389941</v>
      </c>
      <c r="C28" s="52">
        <f t="shared" si="2"/>
        <v>5058436.2189400615</v>
      </c>
      <c r="D28" s="54">
        <f t="shared" si="6"/>
        <v>-2331504.7810599385</v>
      </c>
      <c r="E28" s="52">
        <f t="shared" si="0"/>
        <v>2331504.7810599385</v>
      </c>
      <c r="F28" s="383">
        <f t="shared" si="3"/>
        <v>-0.31549707650709774</v>
      </c>
      <c r="G28" s="388">
        <f t="shared" si="4"/>
        <v>0</v>
      </c>
      <c r="H28" s="55">
        <f t="shared" si="7"/>
        <v>-0.31549707650709774</v>
      </c>
      <c r="I28" s="55">
        <f t="shared" si="5"/>
        <v>0.31549707650709774</v>
      </c>
      <c r="J28" s="396">
        <f t="shared" si="8"/>
        <v>10</v>
      </c>
    </row>
    <row r="29" spans="1:10">
      <c r="A29" s="242">
        <f t="shared" si="1"/>
        <v>2002</v>
      </c>
      <c r="B29" s="167">
        <f>VLOOKUP($A29,Database!$A$74:$J$137,10, FALSE)</f>
        <v>1264645.3102025923</v>
      </c>
      <c r="C29" s="52">
        <f t="shared" si="2"/>
        <v>6750944.5932827489</v>
      </c>
      <c r="D29" s="54">
        <f t="shared" si="6"/>
        <v>5486299.2830801569</v>
      </c>
      <c r="E29" s="52">
        <f t="shared" si="0"/>
        <v>5486299.2830801569</v>
      </c>
      <c r="F29" s="383">
        <f t="shared" si="3"/>
        <v>4.338211859735809</v>
      </c>
      <c r="G29" s="388">
        <f t="shared" si="4"/>
        <v>0</v>
      </c>
      <c r="H29" s="55">
        <f t="shared" si="7"/>
        <v>4.338211859735809</v>
      </c>
      <c r="I29" s="55">
        <f t="shared" si="5"/>
        <v>4.338211859735809</v>
      </c>
      <c r="J29" s="396">
        <f t="shared" si="8"/>
        <v>23</v>
      </c>
    </row>
    <row r="30" spans="1:10">
      <c r="A30" s="242">
        <f t="shared" si="1"/>
        <v>2004</v>
      </c>
      <c r="B30" s="167">
        <f>VLOOKUP($A30,Database!$A$74:$J$137,10, FALSE)</f>
        <v>4939431.0563474381</v>
      </c>
      <c r="C30" s="52">
        <f t="shared" si="2"/>
        <v>2768277.452217713</v>
      </c>
      <c r="D30" s="54">
        <f t="shared" si="6"/>
        <v>-2171153.6041297251</v>
      </c>
      <c r="E30" s="52">
        <f t="shared" si="0"/>
        <v>2171153.6041297251</v>
      </c>
      <c r="F30" s="383">
        <f t="shared" si="3"/>
        <v>-0.43955540210236854</v>
      </c>
      <c r="G30" s="388">
        <f t="shared" si="4"/>
        <v>0</v>
      </c>
      <c r="H30" s="55">
        <f t="shared" si="7"/>
        <v>-0.43955540210236854</v>
      </c>
      <c r="I30" s="55">
        <f t="shared" si="5"/>
        <v>0.43955540210236854</v>
      </c>
      <c r="J30" s="396">
        <f t="shared" si="8"/>
        <v>13</v>
      </c>
    </row>
    <row r="31" spans="1:10">
      <c r="A31" s="242">
        <f t="shared" si="1"/>
        <v>2006</v>
      </c>
      <c r="B31" s="167">
        <f>VLOOKUP($A31,Database!$A$74:$J$137,10, FALSE)</f>
        <v>3314702.7753436686</v>
      </c>
      <c r="C31" s="52">
        <f t="shared" si="2"/>
        <v>4344382.1579963099</v>
      </c>
      <c r="D31" s="54">
        <f t="shared" si="6"/>
        <v>1029679.3826526413</v>
      </c>
      <c r="E31" s="52">
        <f t="shared" si="0"/>
        <v>1029679.3826526413</v>
      </c>
      <c r="F31" s="383">
        <f t="shared" si="3"/>
        <v>0.31064003394569339</v>
      </c>
      <c r="G31" s="388">
        <f t="shared" si="4"/>
        <v>0</v>
      </c>
      <c r="H31" s="55">
        <f t="shared" si="7"/>
        <v>0.31064003394569339</v>
      </c>
      <c r="I31" s="55">
        <f t="shared" si="5"/>
        <v>0.31064003394569339</v>
      </c>
      <c r="J31" s="396">
        <f t="shared" si="8"/>
        <v>8</v>
      </c>
    </row>
    <row r="32" spans="1:10">
      <c r="A32" s="242">
        <f t="shared" si="1"/>
        <v>2008</v>
      </c>
      <c r="B32" s="167">
        <f>VLOOKUP($A32,Database!$A$74:$J$137,10, FALSE)</f>
        <v>2290691.6775990888</v>
      </c>
      <c r="C32" s="52">
        <f t="shared" si="2"/>
        <v>3596907.3974104333</v>
      </c>
      <c r="D32" s="54">
        <f t="shared" si="6"/>
        <v>1306215.7198113445</v>
      </c>
      <c r="E32" s="52">
        <f t="shared" si="0"/>
        <v>1306215.7198113445</v>
      </c>
      <c r="F32" s="383">
        <f t="shared" si="3"/>
        <v>0.57022764459528241</v>
      </c>
      <c r="G32" s="388">
        <f t="shared" si="4"/>
        <v>0</v>
      </c>
      <c r="H32" s="55">
        <f t="shared" si="7"/>
        <v>0.57022764459528241</v>
      </c>
      <c r="I32" s="55">
        <f t="shared" si="5"/>
        <v>0.57022764459528241</v>
      </c>
      <c r="J32" s="396">
        <f t="shared" si="8"/>
        <v>16</v>
      </c>
    </row>
    <row r="33" spans="1:10">
      <c r="A33" s="242">
        <f t="shared" si="1"/>
        <v>2010</v>
      </c>
      <c r="B33" s="167">
        <f>VLOOKUP($A33,Database!$A$74:$J$137,10, FALSE)</f>
        <v>4399390.7272172375</v>
      </c>
      <c r="C33" s="52">
        <f t="shared" si="2"/>
        <v>2648686.7193152737</v>
      </c>
      <c r="D33" s="54">
        <f>C33-B33</f>
        <v>-1750704.0079019638</v>
      </c>
      <c r="E33" s="52">
        <f t="shared" si="0"/>
        <v>1750704.0079019638</v>
      </c>
      <c r="F33" s="383">
        <f t="shared" si="3"/>
        <v>-0.39794237803682031</v>
      </c>
      <c r="G33" s="388">
        <f t="shared" si="4"/>
        <v>0</v>
      </c>
      <c r="H33" s="55">
        <f t="shared" si="7"/>
        <v>-0.39794237803682031</v>
      </c>
      <c r="I33" s="55">
        <f t="shared" si="5"/>
        <v>0.39794237803682031</v>
      </c>
      <c r="J33" s="396">
        <f t="shared" si="8"/>
        <v>12</v>
      </c>
    </row>
    <row r="34" spans="1:10">
      <c r="A34" s="242">
        <f t="shared" si="1"/>
        <v>2012</v>
      </c>
      <c r="B34" s="167">
        <f>VLOOKUP($A34,Database!$A$74:$J$137,10, FALSE)</f>
        <v>4428267.5450134957</v>
      </c>
      <c r="C34" s="52">
        <f t="shared" si="2"/>
        <v>3919574.6104489635</v>
      </c>
      <c r="D34" s="54">
        <f>C34-B34</f>
        <v>-508692.93456453225</v>
      </c>
      <c r="E34" s="52">
        <f t="shared" si="0"/>
        <v>508692.93456453225</v>
      </c>
      <c r="F34" s="383">
        <f t="shared" si="3"/>
        <v>-0.11487402904039799</v>
      </c>
      <c r="G34" s="388">
        <f t="shared" si="4"/>
        <v>0</v>
      </c>
      <c r="H34" s="55">
        <f t="shared" si="7"/>
        <v>-0.11487402904039799</v>
      </c>
      <c r="I34" s="55">
        <f t="shared" si="5"/>
        <v>0.11487402904039799</v>
      </c>
      <c r="J34" s="396">
        <f t="shared" si="8"/>
        <v>3</v>
      </c>
    </row>
    <row r="35" spans="1:10">
      <c r="A35" s="242">
        <f t="shared" si="1"/>
        <v>2014</v>
      </c>
      <c r="B35" s="167">
        <f>VLOOKUP($A35,Database!$A$74:$J$137,10, FALSE)</f>
        <v>2702397</v>
      </c>
      <c r="C35" s="52">
        <f t="shared" si="2"/>
        <v>4288849.8779558213</v>
      </c>
      <c r="D35" s="54">
        <f>C35-B35</f>
        <v>1586452.8779558213</v>
      </c>
      <c r="E35" s="52">
        <f>ABS(C35-$B35)</f>
        <v>1586452.8779558213</v>
      </c>
      <c r="F35" s="383">
        <f>(C35-B35)/B35</f>
        <v>0.58705396651780672</v>
      </c>
      <c r="G35" s="388">
        <f>$F$52/(1+F35)</f>
        <v>0</v>
      </c>
      <c r="H35" s="55">
        <f>(C35-B35)/B35</f>
        <v>0.58705396651780672</v>
      </c>
      <c r="I35" s="55">
        <f t="shared" si="5"/>
        <v>0.58705396651780672</v>
      </c>
      <c r="J35" s="396">
        <f t="shared" si="8"/>
        <v>17</v>
      </c>
    </row>
    <row r="36" spans="1:10">
      <c r="A36" s="242">
        <f t="shared" si="1"/>
        <v>2016</v>
      </c>
      <c r="B36" s="167"/>
      <c r="C36" s="52">
        <f t="shared" si="2"/>
        <v>3137196.7467880594</v>
      </c>
      <c r="D36" s="54">
        <f>C36-B36</f>
        <v>3137196.7467880594</v>
      </c>
      <c r="E36" s="52">
        <f>ABS(C36-$B36)</f>
        <v>3137196.7467880594</v>
      </c>
      <c r="F36" s="383"/>
      <c r="G36" s="388"/>
      <c r="H36" s="55"/>
      <c r="I36" s="55"/>
      <c r="J36" s="396"/>
    </row>
    <row r="37" spans="1:10">
      <c r="A37" s="242"/>
      <c r="B37" s="167"/>
      <c r="C37" s="52"/>
      <c r="D37" s="54"/>
      <c r="E37" s="52"/>
      <c r="F37" s="52"/>
      <c r="G37" s="388"/>
      <c r="H37" s="55"/>
      <c r="I37" s="55"/>
    </row>
    <row r="38" spans="1:10">
      <c r="G38" s="389"/>
    </row>
    <row r="39" spans="1:10">
      <c r="G39" s="389"/>
    </row>
    <row r="40" spans="1:10">
      <c r="A40" s="36" t="s">
        <v>121</v>
      </c>
      <c r="B40" s="179">
        <f t="shared" ref="B40:I40" si="9">COUNT(B8:B39)</f>
        <v>28</v>
      </c>
      <c r="C40" s="179">
        <f t="shared" si="9"/>
        <v>28</v>
      </c>
      <c r="D40" s="179">
        <f t="shared" si="9"/>
        <v>28</v>
      </c>
      <c r="E40" s="179">
        <f t="shared" si="9"/>
        <v>28</v>
      </c>
      <c r="F40" s="179"/>
      <c r="G40" s="179"/>
      <c r="H40" s="179">
        <f t="shared" si="9"/>
        <v>26</v>
      </c>
      <c r="I40" s="179">
        <f t="shared" si="9"/>
        <v>26</v>
      </c>
    </row>
    <row r="41" spans="1:10" ht="23">
      <c r="A41" s="41" t="s">
        <v>46</v>
      </c>
      <c r="B41" s="177"/>
      <c r="C41" s="367">
        <f>VLOOKUP(Forecast_Year,A8:C39,3)</f>
        <v>3137196.7467880594</v>
      </c>
      <c r="D41" s="177"/>
      <c r="E41" s="177"/>
      <c r="F41" s="177"/>
      <c r="G41" s="177"/>
      <c r="H41" s="177"/>
      <c r="I41" s="177"/>
    </row>
    <row r="42" spans="1:10">
      <c r="A42" s="41" t="s">
        <v>158</v>
      </c>
      <c r="B42" s="177"/>
      <c r="C42" s="177">
        <f>SUM(C7:C38)</f>
        <v>155178076.5541659</v>
      </c>
      <c r="D42" s="177">
        <f t="shared" ref="D42:I42" si="10">SUM(D7:D38)</f>
        <v>3213541.9624424032</v>
      </c>
      <c r="E42" s="177">
        <f t="shared" si="10"/>
        <v>99940288.947304994</v>
      </c>
      <c r="F42" s="177"/>
      <c r="G42" s="177"/>
      <c r="H42" s="177">
        <f t="shared" si="10"/>
        <v>20.788164678492123</v>
      </c>
      <c r="I42" s="177">
        <f t="shared" si="10"/>
        <v>29.589479697847363</v>
      </c>
      <c r="J42" s="964" t="s">
        <v>336</v>
      </c>
    </row>
    <row r="43" spans="1:10">
      <c r="A43" s="41" t="s">
        <v>56</v>
      </c>
      <c r="B43" s="177">
        <f t="shared" ref="B43:H43" si="11">AVERAGE(B8:B39)</f>
        <v>5541326.8782758396</v>
      </c>
      <c r="C43" s="177">
        <f t="shared" si="11"/>
        <v>5542074.1626487821</v>
      </c>
      <c r="D43" s="177">
        <f t="shared" si="11"/>
        <v>114769.35580151439</v>
      </c>
      <c r="E43" s="176">
        <f>AVERAGE(E8:E39)</f>
        <v>3569296.0338323214</v>
      </c>
      <c r="F43" s="387">
        <f>AVERAGE(F9:F39)</f>
        <v>0.74639278613213522</v>
      </c>
      <c r="G43" s="387"/>
      <c r="H43" s="337">
        <f t="shared" si="11"/>
        <v>0.79954479532662015</v>
      </c>
      <c r="I43" s="338">
        <f>AVERAGE(I8:I39)</f>
        <v>1.1380569114556678</v>
      </c>
      <c r="J43" s="965">
        <f>AVERAGE(I26:I35)</f>
        <v>0.7234135747373609</v>
      </c>
    </row>
    <row r="44" spans="1:10">
      <c r="A44" s="41" t="s">
        <v>141</v>
      </c>
      <c r="B44" s="177">
        <f t="shared" ref="B44:H44" si="12">MEDIAN(B8:B39)</f>
        <v>4260989.3636086192</v>
      </c>
      <c r="C44" s="177">
        <f>MEDIAN(C8:C39)</f>
        <v>4104212.2442023922</v>
      </c>
      <c r="D44" s="177">
        <f>MEDIAN(D8:D39)</f>
        <v>64695.669878993649</v>
      </c>
      <c r="E44" s="177">
        <f t="shared" si="12"/>
        <v>2211067.973110857</v>
      </c>
      <c r="F44" s="386">
        <f>MEDIAN(F9:F39)</f>
        <v>2.1431611521244988E-7</v>
      </c>
      <c r="G44" s="386"/>
      <c r="H44" s="337">
        <f t="shared" si="12"/>
        <v>1.7073703770925201E-2</v>
      </c>
      <c r="I44" s="337">
        <f>MEDIAN(I8:I39)</f>
        <v>0.41874889006959443</v>
      </c>
    </row>
    <row r="45" spans="1:10">
      <c r="A45" s="41" t="s">
        <v>156</v>
      </c>
      <c r="B45" s="177">
        <f t="shared" ref="B45:I45" si="13">MIN(B8:B39)</f>
        <v>695963</v>
      </c>
      <c r="C45" s="177">
        <f t="shared" si="13"/>
        <v>1161051.0681974648</v>
      </c>
      <c r="D45" s="177">
        <f t="shared" si="13"/>
        <v>-10846372.28828343</v>
      </c>
      <c r="E45" s="177">
        <f t="shared" si="13"/>
        <v>0.24883193988353014</v>
      </c>
      <c r="F45" s="384">
        <f>MIN(F9:F38)</f>
        <v>-0.77397155001381701</v>
      </c>
      <c r="G45" s="384"/>
      <c r="H45" s="337">
        <f t="shared" si="13"/>
        <v>-0.77397155001381701</v>
      </c>
      <c r="I45" s="337">
        <f t="shared" si="13"/>
        <v>2.1431611521244988E-7</v>
      </c>
    </row>
    <row r="46" spans="1:10">
      <c r="A46" s="41" t="s">
        <v>157</v>
      </c>
      <c r="B46" s="177">
        <f t="shared" ref="B46:I46" si="14">MAX(B8:B39)</f>
        <v>21201513</v>
      </c>
      <c r="C46" s="177">
        <f>MAX(C8:C39)</f>
        <v>19561491.672401309</v>
      </c>
      <c r="D46" s="177">
        <f>MAX(D8:D39)</f>
        <v>13997534.672401309</v>
      </c>
      <c r="E46" s="177">
        <f t="shared" si="14"/>
        <v>13997534.672401309</v>
      </c>
      <c r="F46" s="384">
        <f>MAX(F9:F38)</f>
        <v>6.4280877351454437</v>
      </c>
      <c r="G46" s="384"/>
      <c r="H46" s="337">
        <f t="shared" si="14"/>
        <v>6.4280877351454437</v>
      </c>
      <c r="I46" s="337">
        <f t="shared" si="14"/>
        <v>6.4280877351454437</v>
      </c>
    </row>
    <row r="47" spans="1:10">
      <c r="A47" s="45" t="s">
        <v>119</v>
      </c>
      <c r="B47" s="180">
        <f t="shared" ref="B47:I47" si="15">STDEV(B8:B39)</f>
        <v>4982790.2286356902</v>
      </c>
      <c r="C47" s="180">
        <f t="shared" si="15"/>
        <v>4195972.9535356415</v>
      </c>
      <c r="D47" s="180">
        <f t="shared" si="15"/>
        <v>5166076.6020805901</v>
      </c>
      <c r="E47" s="180">
        <f t="shared" si="15"/>
        <v>3672912.4610800464</v>
      </c>
      <c r="F47" s="385">
        <f>STDEV(F9:F39)</f>
        <v>1.9063702158421101</v>
      </c>
      <c r="G47" s="385"/>
      <c r="H47" s="339">
        <f t="shared" si="15"/>
        <v>1.9236131302000099</v>
      </c>
      <c r="I47" s="419">
        <f t="shared" si="15"/>
        <v>1.7372822898252973</v>
      </c>
      <c r="J47" s="966">
        <f>STDEV(I26:I35)</f>
        <v>1.2840825968714822</v>
      </c>
    </row>
    <row r="48" spans="1:10">
      <c r="A48" s="39"/>
      <c r="B48" s="167"/>
      <c r="C48" s="52"/>
      <c r="D48" s="54"/>
      <c r="E48" s="52"/>
      <c r="F48" s="52"/>
      <c r="G48" s="52"/>
      <c r="H48" s="55"/>
      <c r="I48" s="55"/>
    </row>
    <row r="49" spans="1:11" ht="17" thickBot="1">
      <c r="A49" s="421"/>
      <c r="B49" s="422"/>
      <c r="C49" s="423"/>
      <c r="D49" s="424"/>
      <c r="E49" s="423"/>
      <c r="F49" s="425"/>
      <c r="G49" s="425"/>
      <c r="H49" s="255"/>
      <c r="I49" s="220"/>
    </row>
    <row r="50" spans="1:11">
      <c r="A50" s="429"/>
      <c r="B50" s="430"/>
      <c r="C50" s="431"/>
      <c r="D50" s="432"/>
      <c r="E50" s="431"/>
      <c r="F50" s="433"/>
      <c r="G50" s="433"/>
      <c r="H50" s="434"/>
      <c r="I50" s="435"/>
      <c r="J50" s="49"/>
    </row>
    <row r="51" spans="1:11" ht="25">
      <c r="A51" s="436"/>
      <c r="B51" s="437" t="s">
        <v>231</v>
      </c>
      <c r="C51" s="438">
        <f>C52-'Performance Lag1_Even'!F48</f>
        <v>1323186.5040645928</v>
      </c>
      <c r="D51" s="453">
        <f>MROUND(C51,10000)</f>
        <v>1320000</v>
      </c>
      <c r="E51" s="439" t="s">
        <v>249</v>
      </c>
      <c r="F51" s="440"/>
      <c r="G51" s="440"/>
      <c r="H51" s="441"/>
      <c r="I51" s="442"/>
      <c r="J51" s="443"/>
    </row>
    <row r="52" spans="1:11" ht="76">
      <c r="A52" s="436" t="s">
        <v>135</v>
      </c>
      <c r="B52" s="981" t="str">
        <f>IF(ISEVEN(Forecast_Year),Forecast_Year&amp;" FORECAST POINT ESTIMATE","DO NOT USE THIS YEAR. USE FOR EVEN YEARS ONLY!!!")</f>
        <v>2018 FORECAST POINT ESTIMATE</v>
      </c>
      <c r="C52" s="438">
        <f>C36</f>
        <v>3137196.7467880594</v>
      </c>
      <c r="D52" s="453">
        <f>MROUND(C52,10000)</f>
        <v>3140000</v>
      </c>
      <c r="E52" s="444" t="s">
        <v>248</v>
      </c>
      <c r="F52" s="445"/>
      <c r="G52" s="445"/>
      <c r="H52" s="441"/>
      <c r="I52" s="442"/>
      <c r="J52" s="443"/>
    </row>
    <row r="53" spans="1:11" ht="25">
      <c r="A53" s="436"/>
      <c r="B53" s="437" t="s">
        <v>232</v>
      </c>
      <c r="C53" s="438">
        <f>C52+'Performance Lag1_Even'!F48</f>
        <v>4951206.9895115262</v>
      </c>
      <c r="D53" s="453">
        <f>MROUND(C53,10000)</f>
        <v>4950000</v>
      </c>
      <c r="E53" s="439" t="s">
        <v>249</v>
      </c>
      <c r="F53" s="440"/>
      <c r="G53" s="440"/>
      <c r="H53" s="441"/>
      <c r="I53" s="442"/>
      <c r="J53" s="443"/>
    </row>
    <row r="54" spans="1:11" ht="17" thickBot="1">
      <c r="A54" s="446"/>
      <c r="B54" s="447"/>
      <c r="C54" s="448"/>
      <c r="D54" s="449"/>
      <c r="E54" s="450"/>
      <c r="F54" s="450"/>
      <c r="G54" s="450"/>
      <c r="H54" s="451"/>
      <c r="I54" s="451"/>
      <c r="J54" s="452"/>
    </row>
    <row r="55" spans="1:11">
      <c r="A55" s="421"/>
      <c r="B55" s="422"/>
      <c r="C55" s="423"/>
      <c r="D55" s="424"/>
      <c r="E55" s="423"/>
      <c r="F55" s="423"/>
      <c r="G55" s="423"/>
      <c r="H55" s="220"/>
      <c r="I55" s="220"/>
    </row>
    <row r="56" spans="1:11">
      <c r="A56" s="60"/>
      <c r="B56" s="340"/>
      <c r="C56" s="62"/>
      <c r="D56" s="341"/>
      <c r="E56" s="62"/>
      <c r="F56" s="62"/>
      <c r="G56" s="62"/>
      <c r="H56" s="342"/>
      <c r="I56" s="342"/>
      <c r="J56" s="61"/>
    </row>
    <row r="57" spans="1:11">
      <c r="A57" s="60"/>
      <c r="B57" s="455" t="s">
        <v>135</v>
      </c>
      <c r="C57" s="456">
        <f>D51/1000</f>
        <v>1320</v>
      </c>
      <c r="D57" s="457">
        <f>D52/1000</f>
        <v>3140</v>
      </c>
      <c r="E57" s="456">
        <f>D53/1000</f>
        <v>4950</v>
      </c>
      <c r="F57" s="62"/>
      <c r="G57" s="62"/>
      <c r="H57" s="342"/>
      <c r="I57" s="342"/>
      <c r="J57" s="61"/>
    </row>
    <row r="58" spans="1:11">
      <c r="A58" s="60"/>
      <c r="B58" s="454" t="s">
        <v>252</v>
      </c>
      <c r="C58" s="458">
        <v>1160</v>
      </c>
      <c r="D58" s="458">
        <v>1160</v>
      </c>
      <c r="E58" s="458">
        <v>1160</v>
      </c>
      <c r="F58" s="62"/>
      <c r="G58" s="62"/>
      <c r="H58" s="342"/>
      <c r="I58" s="342"/>
      <c r="J58" s="61"/>
    </row>
    <row r="59" spans="1:11">
      <c r="A59" s="60"/>
      <c r="B59" s="459"/>
      <c r="C59" s="460">
        <f>C57-C58</f>
        <v>160</v>
      </c>
      <c r="D59" s="460">
        <f t="shared" ref="D59:E59" si="16">D57-D58</f>
        <v>1980</v>
      </c>
      <c r="E59" s="460">
        <f t="shared" si="16"/>
        <v>3790</v>
      </c>
      <c r="F59" s="62"/>
      <c r="G59" s="62"/>
      <c r="H59" s="61"/>
      <c r="I59" s="342"/>
      <c r="J59" s="61"/>
    </row>
    <row r="60" spans="1:11">
      <c r="A60" s="60"/>
      <c r="B60" s="343"/>
      <c r="C60" s="62"/>
      <c r="D60" s="62"/>
      <c r="E60" s="62"/>
      <c r="F60" s="62"/>
      <c r="G60" s="62"/>
      <c r="H60" s="61"/>
      <c r="I60" s="342"/>
      <c r="J60" s="61"/>
    </row>
    <row r="61" spans="1:11" ht="17" thickBot="1">
      <c r="A61" s="60"/>
      <c r="B61" s="343"/>
      <c r="C61" s="62"/>
      <c r="D61" s="62"/>
      <c r="E61" s="62"/>
      <c r="F61" s="62"/>
      <c r="G61" s="62"/>
      <c r="H61" s="61"/>
      <c r="I61" s="342"/>
      <c r="J61" s="61"/>
    </row>
    <row r="62" spans="1:11">
      <c r="A62" s="463"/>
      <c r="B62" s="464"/>
      <c r="C62" s="465"/>
      <c r="D62" s="465"/>
      <c r="E62" s="465"/>
      <c r="F62" s="465"/>
      <c r="G62" s="465"/>
      <c r="H62" s="466"/>
      <c r="I62" s="467"/>
      <c r="J62" s="468"/>
    </row>
    <row r="63" spans="1:11" ht="25">
      <c r="A63" s="469"/>
      <c r="B63" s="437" t="s">
        <v>9</v>
      </c>
      <c r="C63" s="438">
        <f>C64-'Performance Lag1_Even'!J48</f>
        <v>388811.98817376606</v>
      </c>
      <c r="D63" s="453">
        <f>MROUND(C63,10000)</f>
        <v>390000</v>
      </c>
      <c r="E63" s="439" t="s">
        <v>249</v>
      </c>
      <c r="F63" s="440"/>
      <c r="G63" s="440"/>
      <c r="H63" s="441"/>
      <c r="I63" s="442"/>
      <c r="J63" s="443"/>
      <c r="K63" s="41"/>
    </row>
    <row r="64" spans="1:11" ht="105">
      <c r="A64" s="470" t="s">
        <v>57</v>
      </c>
      <c r="B64" s="982" t="s">
        <v>255</v>
      </c>
      <c r="C64" s="438">
        <f>C52-1160000</f>
        <v>1977196.7467880594</v>
      </c>
      <c r="D64" s="453">
        <f>MROUND(C64,10000)</f>
        <v>1980000</v>
      </c>
      <c r="E64" s="444" t="s">
        <v>248</v>
      </c>
      <c r="F64" s="445"/>
      <c r="G64" s="445"/>
      <c r="H64" s="441"/>
      <c r="I64" s="442"/>
      <c r="J64" s="443"/>
      <c r="K64" s="41"/>
    </row>
    <row r="65" spans="1:11" ht="25">
      <c r="A65" s="471"/>
      <c r="B65" s="437" t="s">
        <v>10</v>
      </c>
      <c r="C65" s="438">
        <f>C64+'Performance Lag1_Even'!J48</f>
        <v>3565581.5054023527</v>
      </c>
      <c r="D65" s="453">
        <f>MROUND(C65,10000)</f>
        <v>3570000</v>
      </c>
      <c r="E65" s="439" t="s">
        <v>249</v>
      </c>
      <c r="F65" s="440"/>
      <c r="G65" s="440"/>
      <c r="H65" s="441"/>
      <c r="I65" s="442"/>
      <c r="J65" s="443"/>
      <c r="K65" s="41"/>
    </row>
    <row r="66" spans="1:11" ht="17" thickBot="1">
      <c r="A66" s="185"/>
      <c r="B66" s="186"/>
      <c r="C66" s="186"/>
      <c r="D66" s="186"/>
      <c r="E66" s="186"/>
      <c r="F66" s="186"/>
      <c r="G66" s="186"/>
      <c r="H66" s="186"/>
      <c r="I66" s="186"/>
      <c r="J66" s="452"/>
      <c r="K66" s="41"/>
    </row>
    <row r="67" spans="1:11">
      <c r="J67" s="41"/>
      <c r="K67" s="41"/>
    </row>
    <row r="68" spans="1:11">
      <c r="J68" s="41"/>
      <c r="K68" s="41"/>
    </row>
    <row r="69" spans="1:11">
      <c r="J69" s="41"/>
      <c r="K69" s="41"/>
    </row>
    <row r="70" spans="1:11">
      <c r="J70" s="41"/>
      <c r="K70" s="41"/>
    </row>
    <row r="71" spans="1:11">
      <c r="A71" s="41"/>
      <c r="B71" s="41"/>
      <c r="C71" s="41"/>
      <c r="D71" s="41"/>
      <c r="E71" s="41"/>
      <c r="F71" s="41"/>
      <c r="G71" s="41"/>
      <c r="H71" s="41"/>
      <c r="I71" s="41"/>
      <c r="J71" s="41"/>
      <c r="K71" s="41"/>
    </row>
    <row r="72" spans="1:11">
      <c r="A72" s="41"/>
      <c r="B72" s="41"/>
      <c r="C72" s="41"/>
      <c r="D72" s="41"/>
      <c r="E72" s="41"/>
      <c r="F72" s="41"/>
      <c r="G72" s="41"/>
      <c r="H72" s="41"/>
      <c r="I72" s="41"/>
      <c r="J72" s="41"/>
      <c r="K72" s="41"/>
    </row>
  </sheetData>
  <pageMargins left="1" right="1" top="1" bottom="1" header="0.5" footer="0.5"/>
  <pageSetup scale="38" orientation="landscape"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tabColor rgb="FFFFC000"/>
  </sheetPr>
  <dimension ref="A1:P75"/>
  <sheetViews>
    <sheetView zoomScale="85" zoomScaleNormal="85" workbookViewId="0">
      <pane ySplit="13" topLeftCell="A14" activePane="bottomLeft" state="frozen"/>
      <selection pane="bottomLeft" activeCell="N26" sqref="N26"/>
    </sheetView>
  </sheetViews>
  <sheetFormatPr baseColWidth="10" defaultColWidth="8.7109375" defaultRowHeight="16"/>
  <cols>
    <col min="3" max="3" width="16" customWidth="1"/>
    <col min="4" max="4" width="9.85546875" bestFit="1" customWidth="1"/>
    <col min="5" max="5" width="12.5703125" customWidth="1"/>
    <col min="6" max="6" width="17.7109375" customWidth="1"/>
    <col min="7" max="7" width="11" customWidth="1"/>
    <col min="8" max="8" width="17.28515625" customWidth="1"/>
    <col min="9" max="9" width="16.42578125" customWidth="1"/>
    <col min="10" max="11" width="12.5703125" customWidth="1"/>
    <col min="12" max="12" width="17.28515625" customWidth="1"/>
    <col min="14" max="14" width="16" customWidth="1"/>
  </cols>
  <sheetData>
    <row r="1" spans="1:14">
      <c r="A1" s="248" t="str">
        <f ca="1">CELL("filename",G11)</f>
        <v>/Users/janohlberger/Work/UW/Thresholds/Data/Rich/[2018_PWS_Wild_Pink_forecast_DRAFT.xlsm]Performance Lag1_Even</v>
      </c>
      <c r="C1" s="202"/>
      <c r="D1" s="203"/>
      <c r="E1" s="203"/>
      <c r="F1" s="203"/>
      <c r="G1" s="203"/>
      <c r="H1" s="202"/>
    </row>
    <row r="2" spans="1:14" ht="14.25" customHeight="1" thickBot="1">
      <c r="G2" s="203"/>
      <c r="H2" s="202"/>
    </row>
    <row r="3" spans="1:14">
      <c r="C3" s="696" t="s">
        <v>97</v>
      </c>
      <c r="D3" s="697">
        <v>80</v>
      </c>
      <c r="E3" s="698" t="s">
        <v>98</v>
      </c>
      <c r="F3" s="699" t="s">
        <v>97</v>
      </c>
      <c r="G3" s="697">
        <v>80</v>
      </c>
      <c r="H3" s="700" t="str">
        <f>E3</f>
        <v>%</v>
      </c>
    </row>
    <row r="4" spans="1:14">
      <c r="C4" s="701" t="s">
        <v>99</v>
      </c>
      <c r="D4" s="28">
        <f>(1-D3/100)/2</f>
        <v>9.9999999999999978E-2</v>
      </c>
      <c r="E4" s="13" t="s">
        <v>213</v>
      </c>
      <c r="F4" s="701" t="s">
        <v>99</v>
      </c>
      <c r="G4" s="28">
        <f>(1-G3/100)/2</f>
        <v>9.9999999999999978E-2</v>
      </c>
      <c r="H4" s="702" t="str">
        <f>E4</f>
        <v xml:space="preserve">formula </v>
      </c>
    </row>
    <row r="5" spans="1:14">
      <c r="C5" s="701" t="s">
        <v>100</v>
      </c>
      <c r="D5" s="703">
        <f>(1-D4)</f>
        <v>0.9</v>
      </c>
      <c r="E5" s="13" t="s">
        <v>213</v>
      </c>
      <c r="F5" s="701" t="s">
        <v>100</v>
      </c>
      <c r="G5" s="28">
        <f>(1-G4)</f>
        <v>0.9</v>
      </c>
      <c r="H5" s="702" t="str">
        <f>E5</f>
        <v xml:space="preserve">formula </v>
      </c>
    </row>
    <row r="6" spans="1:14">
      <c r="C6" s="701" t="s">
        <v>211</v>
      </c>
      <c r="D6" s="704">
        <f>COUNT(F14:F41)-1</f>
        <v>26</v>
      </c>
      <c r="E6" s="705" t="s">
        <v>212</v>
      </c>
      <c r="F6" s="701" t="s">
        <v>211</v>
      </c>
      <c r="G6" s="704">
        <f>COUNT(I14:I43)-1</f>
        <v>26</v>
      </c>
      <c r="H6" s="706" t="s">
        <v>174</v>
      </c>
      <c r="I6" s="247"/>
      <c r="J6" s="25"/>
      <c r="K6" s="3"/>
      <c r="L6" s="247"/>
      <c r="M6" s="25"/>
      <c r="N6" s="3"/>
    </row>
    <row r="7" spans="1:14">
      <c r="C7" s="701" t="s">
        <v>220</v>
      </c>
      <c r="D7" s="707">
        <v>2</v>
      </c>
      <c r="E7" s="708"/>
      <c r="F7" s="701" t="s">
        <v>220</v>
      </c>
      <c r="G7" s="704">
        <f>D7</f>
        <v>2</v>
      </c>
      <c r="H7" s="709"/>
      <c r="I7" s="247"/>
      <c r="J7" s="25"/>
      <c r="K7" s="3"/>
      <c r="L7" s="247"/>
      <c r="M7" s="25"/>
      <c r="N7" s="3"/>
    </row>
    <row r="8" spans="1:14" ht="17" thickBot="1">
      <c r="A8" s="203"/>
      <c r="B8" s="203"/>
      <c r="C8" s="710" t="s">
        <v>210</v>
      </c>
      <c r="D8" s="711">
        <f>TINV(D7*D4,D6)</f>
        <v>1.3149718642705173</v>
      </c>
      <c r="E8" s="225" t="s">
        <v>246</v>
      </c>
      <c r="F8" s="710" t="s">
        <v>210</v>
      </c>
      <c r="G8" s="711">
        <f>TINV(G7*G4,G6)</f>
        <v>1.3149718642705173</v>
      </c>
      <c r="H8" s="712" t="str">
        <f>E8</f>
        <v>Two tailed</v>
      </c>
      <c r="I8" s="247"/>
      <c r="J8" s="25"/>
      <c r="K8" s="3"/>
      <c r="L8" s="247"/>
      <c r="M8" s="25"/>
      <c r="N8" s="3"/>
    </row>
    <row r="9" spans="1:14">
      <c r="B9" s="203"/>
      <c r="C9" s="202"/>
      <c r="D9" s="203"/>
      <c r="E9" s="203"/>
      <c r="F9" s="203"/>
      <c r="G9" s="203"/>
      <c r="H9" s="202"/>
      <c r="M9" s="205"/>
    </row>
    <row r="10" spans="1:14" ht="18">
      <c r="A10" s="203"/>
      <c r="C10" s="246" t="s">
        <v>186</v>
      </c>
      <c r="D10" s="203"/>
      <c r="E10" s="203"/>
      <c r="F10" s="203"/>
      <c r="G10" s="203"/>
      <c r="H10" s="202"/>
      <c r="I10" s="203"/>
      <c r="J10" s="203"/>
      <c r="K10" s="203"/>
      <c r="L10" s="203"/>
      <c r="M10" s="204"/>
    </row>
    <row r="11" spans="1:14">
      <c r="A11" s="679"/>
      <c r="B11" s="679"/>
      <c r="C11" s="680" t="s">
        <v>135</v>
      </c>
      <c r="D11" s="681"/>
      <c r="E11" s="681"/>
      <c r="F11" s="681"/>
      <c r="G11" s="682"/>
      <c r="H11" s="683" t="s">
        <v>174</v>
      </c>
      <c r="I11" s="684"/>
      <c r="J11" s="684"/>
      <c r="K11" s="685"/>
      <c r="L11" s="686"/>
      <c r="M11" s="206"/>
    </row>
    <row r="12" spans="1:14">
      <c r="A12" s="687"/>
      <c r="B12" s="687" t="s">
        <v>116</v>
      </c>
      <c r="C12" s="688"/>
      <c r="D12" s="689"/>
      <c r="E12" s="690" t="s">
        <v>175</v>
      </c>
      <c r="F12" s="691" t="s">
        <v>5</v>
      </c>
      <c r="G12" s="691" t="s">
        <v>6</v>
      </c>
      <c r="H12" s="688"/>
      <c r="I12" s="691"/>
      <c r="J12" s="691" t="s">
        <v>5</v>
      </c>
      <c r="K12" s="691" t="s">
        <v>6</v>
      </c>
      <c r="L12" s="692" t="s">
        <v>253</v>
      </c>
      <c r="M12" s="209"/>
    </row>
    <row r="13" spans="1:14">
      <c r="A13" s="693" t="s">
        <v>176</v>
      </c>
      <c r="B13" s="693" t="s">
        <v>7</v>
      </c>
      <c r="C13" s="693" t="s">
        <v>46</v>
      </c>
      <c r="D13" s="693" t="s">
        <v>31</v>
      </c>
      <c r="E13" s="694" t="s">
        <v>177</v>
      </c>
      <c r="F13" s="693" t="s">
        <v>8</v>
      </c>
      <c r="G13" s="693" t="s">
        <v>8</v>
      </c>
      <c r="H13" s="693" t="s">
        <v>46</v>
      </c>
      <c r="I13" s="693" t="s">
        <v>31</v>
      </c>
      <c r="J13" s="693" t="s">
        <v>8</v>
      </c>
      <c r="K13" s="693" t="s">
        <v>8</v>
      </c>
      <c r="L13" s="695" t="s">
        <v>254</v>
      </c>
      <c r="M13" s="209"/>
    </row>
    <row r="14" spans="1:14" ht="15.75" customHeight="1">
      <c r="A14" s="215" t="s">
        <v>187</v>
      </c>
      <c r="B14" s="208">
        <v>1962</v>
      </c>
      <c r="C14" s="245">
        <f>'Lag1_Exp_smooth_Total Run Even'!C9</f>
        <v>3192618</v>
      </c>
      <c r="D14" s="243">
        <f>VLOOKUP($B14,Database!$A$76:$J$138,10,FALSE)</f>
        <v>8760326</v>
      </c>
      <c r="E14" s="213">
        <f t="shared" ref="E14:E21" si="0">C14-D14</f>
        <v>-5567708</v>
      </c>
      <c r="F14" s="216">
        <f t="shared" ref="F14:F21" si="1">(D14-C14)^2</f>
        <v>30999372373264</v>
      </c>
      <c r="G14" s="210">
        <f t="shared" ref="G14:G21" si="2">(D14-C14)/D14</f>
        <v>0.6355594529244688</v>
      </c>
      <c r="H14" s="461"/>
      <c r="I14" s="244">
        <f>VLOOKUP($B14,Database!$A$74:$C$138,3,FALSE)</f>
        <v>6742316</v>
      </c>
      <c r="J14" s="216">
        <f t="shared" ref="J14:J32" si="3">(I14-H14)^2</f>
        <v>45458825043856</v>
      </c>
      <c r="K14" s="210">
        <f t="shared" ref="K14:K32" si="4">(I14-H14)/I14</f>
        <v>1</v>
      </c>
      <c r="L14" s="276"/>
      <c r="M14" s="209"/>
    </row>
    <row r="15" spans="1:14">
      <c r="A15" s="207"/>
      <c r="B15" s="208">
        <v>1964</v>
      </c>
      <c r="C15" s="245">
        <f>'Lag1_Exp_smooth_Total Run Even'!C10</f>
        <v>7234382.1398147829</v>
      </c>
      <c r="D15" s="243">
        <f>VLOOKUP($B15,Database!$A$76:$J$138,10,FALSE)</f>
        <v>6048576</v>
      </c>
      <c r="E15" s="213">
        <f t="shared" si="0"/>
        <v>1185806.1398147829</v>
      </c>
      <c r="F15" s="216">
        <f t="shared" si="1"/>
        <v>1406136201222.4365</v>
      </c>
      <c r="G15" s="210">
        <f t="shared" si="2"/>
        <v>-0.19604715883784596</v>
      </c>
      <c r="H15" s="462"/>
      <c r="I15" s="244">
        <f>VLOOKUP($B15,Database!$A$74:$C$138,3,FALSE)</f>
        <v>4206896</v>
      </c>
      <c r="J15" s="216">
        <f t="shared" si="3"/>
        <v>17697973954816</v>
      </c>
      <c r="K15" s="210">
        <f t="shared" si="4"/>
        <v>1</v>
      </c>
      <c r="L15" s="276"/>
      <c r="M15" s="209"/>
    </row>
    <row r="16" spans="1:14">
      <c r="A16" s="207"/>
      <c r="B16" s="208">
        <v>1966</v>
      </c>
      <c r="C16" s="245">
        <f>'Lag1_Exp_smooth_Total Run Even'!C11</f>
        <v>6373570.3420919888</v>
      </c>
      <c r="D16" s="243">
        <f>VLOOKUP($B16,Database!$A$76:$J$138,10,FALSE)</f>
        <v>4122588</v>
      </c>
      <c r="E16" s="213">
        <f t="shared" si="0"/>
        <v>2250982.3420919888</v>
      </c>
      <c r="F16" s="216">
        <f t="shared" si="1"/>
        <v>5066921504409.9355</v>
      </c>
      <c r="G16" s="210">
        <f t="shared" si="2"/>
        <v>-0.54601195707453398</v>
      </c>
      <c r="H16" s="462"/>
      <c r="I16" s="244">
        <f>VLOOKUP($B16,Database!$A$74:$C$138,3,FALSE)</f>
        <v>2699418</v>
      </c>
      <c r="J16" s="216">
        <f t="shared" si="3"/>
        <v>7286857538724</v>
      </c>
      <c r="K16" s="210">
        <f t="shared" si="4"/>
        <v>1</v>
      </c>
      <c r="L16" s="276"/>
      <c r="M16" s="209"/>
    </row>
    <row r="17" spans="1:16">
      <c r="A17" s="207"/>
      <c r="B17" s="208">
        <v>1968</v>
      </c>
      <c r="C17" s="245">
        <f>'Lag1_Exp_smooth_Total Run Even'!C12</f>
        <v>4739515.5910842689</v>
      </c>
      <c r="D17" s="243">
        <f>VLOOKUP($B17,Database!$A$76:$J$138,10,FALSE)</f>
        <v>3608678</v>
      </c>
      <c r="E17" s="213">
        <f t="shared" si="0"/>
        <v>1130837.5910842689</v>
      </c>
      <c r="F17" s="216">
        <f t="shared" si="1"/>
        <v>1278793657409.2722</v>
      </c>
      <c r="G17" s="210">
        <f t="shared" si="2"/>
        <v>-0.31336616652532279</v>
      </c>
      <c r="H17" s="462"/>
      <c r="I17" s="244">
        <f>VLOOKUP($B17,Database!$A$74:$C$138,3,FALSE)</f>
        <v>2452168</v>
      </c>
      <c r="J17" s="216">
        <f t="shared" si="3"/>
        <v>6013127900224</v>
      </c>
      <c r="K17" s="210">
        <f t="shared" si="4"/>
        <v>1</v>
      </c>
      <c r="L17" s="276"/>
      <c r="M17" s="209"/>
    </row>
    <row r="18" spans="1:16">
      <c r="A18" s="207"/>
      <c r="B18" s="208">
        <v>1970</v>
      </c>
      <c r="C18" s="245">
        <f>'Lag1_Exp_smooth_Total Run Even'!C13</f>
        <v>3918607.0909260474</v>
      </c>
      <c r="D18" s="243">
        <f>VLOOKUP($B18,Database!$A$76:$J$138,10,FALSE)</f>
        <v>3789216</v>
      </c>
      <c r="E18" s="213">
        <f t="shared" si="0"/>
        <v>129391.09092604741</v>
      </c>
      <c r="F18" s="216">
        <f t="shared" si="1"/>
        <v>16742054411.032669</v>
      </c>
      <c r="G18" s="210">
        <f t="shared" si="2"/>
        <v>-3.4147193225735194E-2</v>
      </c>
      <c r="H18" s="462"/>
      <c r="I18" s="244">
        <f>VLOOKUP($B18,Database!$A$74:$C$138,3,FALSE)</f>
        <v>2809996</v>
      </c>
      <c r="J18" s="216">
        <f t="shared" si="3"/>
        <v>7896077520016</v>
      </c>
      <c r="K18" s="210">
        <f t="shared" si="4"/>
        <v>1</v>
      </c>
      <c r="L18" s="276"/>
      <c r="M18" s="209"/>
    </row>
    <row r="19" spans="1:16">
      <c r="A19" s="207"/>
      <c r="B19" s="208">
        <v>1972</v>
      </c>
      <c r="C19" s="245">
        <f>'Lag1_Exp_smooth_Total Run Even'!C14</f>
        <v>3824678.265758418</v>
      </c>
      <c r="D19" s="243">
        <f>VLOOKUP($B19,Database!$A$76:$J$138,10,FALSE)</f>
        <v>695963</v>
      </c>
      <c r="E19" s="213">
        <f t="shared" si="0"/>
        <v>3128715.265758418</v>
      </c>
      <c r="F19" s="216">
        <f t="shared" si="1"/>
        <v>9788859214189.7676</v>
      </c>
      <c r="G19" s="210">
        <f t="shared" si="2"/>
        <v>-4.4955195402031691</v>
      </c>
      <c r="H19" s="462"/>
      <c r="I19" s="244">
        <f>VLOOKUP($B19,Database!$A$74:$C$138,3,FALSE)</f>
        <v>54783</v>
      </c>
      <c r="J19" s="216">
        <f t="shared" si="3"/>
        <v>3001177089</v>
      </c>
      <c r="K19" s="210">
        <f t="shared" si="4"/>
        <v>1</v>
      </c>
      <c r="L19" s="276"/>
      <c r="M19" s="209"/>
    </row>
    <row r="20" spans="1:16">
      <c r="A20" s="207"/>
      <c r="B20" s="208">
        <v>1974</v>
      </c>
      <c r="C20" s="245">
        <f>'Lag1_Exp_smooth_Total Run Even'!C15</f>
        <v>1553451.1890450825</v>
      </c>
      <c r="D20" s="243">
        <f>VLOOKUP($B20,Database!$A$76:$J$138,10,FALSE)</f>
        <v>1012903</v>
      </c>
      <c r="E20" s="213">
        <f t="shared" si="0"/>
        <v>540548.18904508254</v>
      </c>
      <c r="F20" s="216">
        <f t="shared" si="1"/>
        <v>292192344679.91827</v>
      </c>
      <c r="G20" s="210">
        <f t="shared" si="2"/>
        <v>-0.53366234382273781</v>
      </c>
      <c r="H20" s="462"/>
      <c r="I20" s="244">
        <f>VLOOKUP($B20,Database!$A$74:$C$138,3,FALSE)</f>
        <v>54783</v>
      </c>
      <c r="J20" s="216">
        <f t="shared" si="3"/>
        <v>3001177089</v>
      </c>
      <c r="K20" s="210">
        <f t="shared" si="4"/>
        <v>1</v>
      </c>
      <c r="L20" s="276"/>
      <c r="M20" s="209"/>
    </row>
    <row r="21" spans="1:16">
      <c r="A21" s="207"/>
      <c r="B21" s="208">
        <v>1976</v>
      </c>
      <c r="C21" s="245">
        <f>'Lag1_Exp_smooth_Total Run Even'!C16</f>
        <v>1161051.2488319399</v>
      </c>
      <c r="D21" s="243">
        <f>VLOOKUP($B21,Database!$A$76:$J$138,10,FALSE)</f>
        <v>1161051</v>
      </c>
      <c r="E21" s="213">
        <f t="shared" si="0"/>
        <v>0.24883193988353014</v>
      </c>
      <c r="F21" s="216">
        <f t="shared" si="1"/>
        <v>6.1917334306200757E-2</v>
      </c>
      <c r="G21" s="210">
        <f t="shared" si="2"/>
        <v>-2.1431611521244988E-7</v>
      </c>
      <c r="H21" s="462"/>
      <c r="I21" s="244">
        <f>VLOOKUP($B21,Database!$A$74:$C$138,3,FALSE)</f>
        <v>448773</v>
      </c>
      <c r="J21" s="216">
        <f t="shared" si="3"/>
        <v>201397205529</v>
      </c>
      <c r="K21" s="210">
        <f t="shared" si="4"/>
        <v>1</v>
      </c>
      <c r="L21" s="276"/>
      <c r="M21" s="209"/>
    </row>
    <row r="22" spans="1:16">
      <c r="B22" s="208">
        <v>1978</v>
      </c>
      <c r="C22" s="245">
        <f>'Lag1_Exp_smooth_Total Run Even'!C17</f>
        <v>1161051.0681974648</v>
      </c>
      <c r="D22" s="243">
        <f>VLOOKUP($B22,Database!$A$76:$J$138,10,FALSE)</f>
        <v>3925083</v>
      </c>
      <c r="E22" s="213">
        <f>C22-D22</f>
        <v>-2764031.9318025354</v>
      </c>
      <c r="F22" s="216">
        <f t="shared" ref="F22:F38" si="5">(D22-C22)^2</f>
        <v>7639872520024.0557</v>
      </c>
      <c r="G22" s="210">
        <f t="shared" ref="G22:G38" si="6">(D22-C22)/D22</f>
        <v>0.70419706584613251</v>
      </c>
      <c r="H22" s="462"/>
      <c r="I22" s="244">
        <f>VLOOKUP($B22,Database!$A$74:$C$138,3,FALSE)</f>
        <v>3169697</v>
      </c>
      <c r="J22" s="216">
        <f t="shared" si="3"/>
        <v>10046979071809</v>
      </c>
      <c r="K22" s="210">
        <f t="shared" si="4"/>
        <v>1</v>
      </c>
      <c r="L22" s="218"/>
      <c r="M22" s="211"/>
    </row>
    <row r="23" spans="1:16">
      <c r="A23" s="207"/>
      <c r="B23" s="208">
        <v>1980</v>
      </c>
      <c r="C23" s="245">
        <f>'Lag1_Exp_smooth_Total Run Even'!C18</f>
        <v>3167543.7117165695</v>
      </c>
      <c r="D23" s="243">
        <f>VLOOKUP($B23,Database!$A$76:$J$138,10,FALSE)</f>
        <v>14013916</v>
      </c>
      <c r="E23" s="213">
        <f t="shared" ref="E23:E39" si="7">C23-D23</f>
        <v>-10846372.28828343</v>
      </c>
      <c r="F23" s="216">
        <f t="shared" si="5"/>
        <v>117643791816042.73</v>
      </c>
      <c r="G23" s="210">
        <f t="shared" si="6"/>
        <v>0.77397155001381701</v>
      </c>
      <c r="H23" s="462"/>
      <c r="I23" s="244">
        <f>VLOOKUP($B23,Database!$A$74:$C$138,3,FALSE)</f>
        <v>12918874</v>
      </c>
      <c r="J23" s="216">
        <f t="shared" si="3"/>
        <v>166897305427876</v>
      </c>
      <c r="K23" s="210">
        <f t="shared" si="4"/>
        <v>1</v>
      </c>
      <c r="L23" s="218"/>
      <c r="M23" s="211"/>
    </row>
    <row r="24" spans="1:16">
      <c r="A24" s="214"/>
      <c r="B24" s="208">
        <v>1982</v>
      </c>
      <c r="C24" s="245">
        <f>'Lag1_Exp_smooth_Total Run Even'!C19</f>
        <v>11041246.600205833</v>
      </c>
      <c r="D24" s="243">
        <f>VLOOKUP($B24,Database!$A$76:$J$138,10,FALSE)</f>
        <v>16794317</v>
      </c>
      <c r="E24" s="213">
        <f t="shared" si="7"/>
        <v>-5753070.3997941669</v>
      </c>
      <c r="F24" s="216">
        <f t="shared" si="5"/>
        <v>33097819024987.816</v>
      </c>
      <c r="G24" s="210">
        <f t="shared" si="6"/>
        <v>0.34256054591527402</v>
      </c>
      <c r="H24" s="462"/>
      <c r="I24" s="244">
        <f>VLOOKUP($B24,Database!$A$74:$C$138,3,FALSE)</f>
        <v>14945199</v>
      </c>
      <c r="J24" s="216">
        <f t="shared" si="3"/>
        <v>223358973149601</v>
      </c>
      <c r="K24" s="210">
        <f t="shared" si="4"/>
        <v>1</v>
      </c>
      <c r="L24" s="218"/>
      <c r="M24" s="211"/>
    </row>
    <row r="25" spans="1:16">
      <c r="A25" s="212"/>
      <c r="B25" s="208">
        <v>1984</v>
      </c>
      <c r="C25" s="245">
        <f>'Lag1_Exp_smooth_Total Run Even'!C20</f>
        <v>15217570.796036139</v>
      </c>
      <c r="D25" s="243">
        <f>VLOOKUP($B25,Database!$A$76:$J$138,10,FALSE)</f>
        <v>21201513</v>
      </c>
      <c r="E25" s="217">
        <f t="shared" si="7"/>
        <v>-5983942.2039638609</v>
      </c>
      <c r="F25" s="216">
        <f t="shared" si="5"/>
        <v>35807564300379.867</v>
      </c>
      <c r="G25" s="210">
        <f t="shared" si="6"/>
        <v>0.28224128174078239</v>
      </c>
      <c r="H25" s="462"/>
      <c r="I25" s="244">
        <f>VLOOKUP($B25,Database!$A$74:$C$138,3,FALSE)</f>
        <v>17631675</v>
      </c>
      <c r="J25" s="216">
        <f t="shared" si="3"/>
        <v>310875963305625</v>
      </c>
      <c r="K25" s="210">
        <f t="shared" si="4"/>
        <v>1</v>
      </c>
      <c r="L25" s="218"/>
      <c r="M25" s="211"/>
    </row>
    <row r="26" spans="1:16">
      <c r="A26" s="713"/>
      <c r="B26" s="714">
        <v>1986</v>
      </c>
      <c r="C26" s="715">
        <f>'Lag1_Exp_smooth_Total Run Even'!C21</f>
        <v>19561491.672401309</v>
      </c>
      <c r="D26" s="716">
        <f>VLOOKUP($B26,Database!$A$76:$J$138,10,FALSE)</f>
        <v>5563957</v>
      </c>
      <c r="E26" s="717">
        <f t="shared" si="7"/>
        <v>13997534.672401309</v>
      </c>
      <c r="F26" s="718">
        <f t="shared" si="5"/>
        <v>195930976905076.81</v>
      </c>
      <c r="G26" s="719">
        <f t="shared" si="6"/>
        <v>-2.5157517702601422</v>
      </c>
      <c r="H26" s="720"/>
      <c r="I26" s="721">
        <f>VLOOKUP($B26,Database!$A$74:$C$138,3,FALSE)</f>
        <v>4578023</v>
      </c>
      <c r="J26" s="718">
        <f t="shared" si="3"/>
        <v>20958294588529</v>
      </c>
      <c r="K26" s="719">
        <f t="shared" si="4"/>
        <v>1</v>
      </c>
      <c r="L26" s="722"/>
      <c r="M26" s="723"/>
      <c r="N26" s="12"/>
      <c r="O26" s="12"/>
      <c r="P26" s="12"/>
    </row>
    <row r="27" spans="1:16">
      <c r="A27" s="713"/>
      <c r="B27" s="714">
        <v>1988</v>
      </c>
      <c r="C27" s="715">
        <f>'Lag1_Exp_smooth_Total Run Even'!C22</f>
        <v>9400266.6791499257</v>
      </c>
      <c r="D27" s="716">
        <f>VLOOKUP($B27,Database!$A$76:$J$138,10,FALSE)</f>
        <v>1766936</v>
      </c>
      <c r="E27" s="717">
        <f t="shared" si="7"/>
        <v>7633330.6791499257</v>
      </c>
      <c r="F27" s="718">
        <f t="shared" si="5"/>
        <v>58267737257251.469</v>
      </c>
      <c r="G27" s="719">
        <f t="shared" si="6"/>
        <v>-4.3200946039641082</v>
      </c>
      <c r="H27" s="720"/>
      <c r="I27" s="721">
        <f>VLOOKUP($B27,Database!$A$74:$C$138,3,FALSE)</f>
        <v>795772</v>
      </c>
      <c r="J27" s="718">
        <f t="shared" si="3"/>
        <v>633253075984</v>
      </c>
      <c r="K27" s="719">
        <f t="shared" si="4"/>
        <v>1</v>
      </c>
      <c r="L27" s="722"/>
      <c r="M27" s="723"/>
      <c r="N27" s="12"/>
      <c r="O27" s="12"/>
      <c r="P27" s="12"/>
    </row>
    <row r="28" spans="1:16">
      <c r="A28" s="713"/>
      <c r="B28" s="714">
        <v>1990</v>
      </c>
      <c r="C28" s="715">
        <f>'Lag1_Exp_smooth_Total Run Even'!C23</f>
        <v>3859005.857580944</v>
      </c>
      <c r="D28" s="716">
        <f>VLOOKUP($B28,Database!$A$76:$J$138,10,FALSE)</f>
        <v>12923662</v>
      </c>
      <c r="E28" s="717">
        <f t="shared" si="7"/>
        <v>-9064656.1424190551</v>
      </c>
      <c r="F28" s="718">
        <f t="shared" si="5"/>
        <v>82167990980295.5</v>
      </c>
      <c r="G28" s="719">
        <f t="shared" si="6"/>
        <v>0.70139997025758294</v>
      </c>
      <c r="H28" s="720"/>
      <c r="I28" s="721">
        <f>VLOOKUP($B28,Database!$A$74:$C$138,3,FALSE)</f>
        <v>11687757</v>
      </c>
      <c r="J28" s="718">
        <f t="shared" si="3"/>
        <v>136603663691049</v>
      </c>
      <c r="K28" s="719">
        <f t="shared" si="4"/>
        <v>1</v>
      </c>
      <c r="L28" s="722"/>
      <c r="M28" s="723"/>
      <c r="N28" s="12"/>
      <c r="O28" s="12"/>
      <c r="P28" s="12"/>
    </row>
    <row r="29" spans="1:16">
      <c r="A29" s="713"/>
      <c r="B29" s="714">
        <v>1992</v>
      </c>
      <c r="C29" s="715">
        <f>'Lag1_Exp_smooth_Total Run Even'!C24</f>
        <v>10439308.225481909</v>
      </c>
      <c r="D29" s="716">
        <f>VLOOKUP($B29,Database!$A$76:$J$138,10,FALSE)</f>
        <v>1405383</v>
      </c>
      <c r="E29" s="717">
        <f t="shared" si="7"/>
        <v>9033925.2254819088</v>
      </c>
      <c r="F29" s="718">
        <f t="shared" si="5"/>
        <v>81611804979598.359</v>
      </c>
      <c r="G29" s="719">
        <f t="shared" si="6"/>
        <v>-6.4280877351454437</v>
      </c>
      <c r="H29" s="720"/>
      <c r="I29" s="721">
        <f>VLOOKUP($B29,Database!$A$74:$C$138,3,FALSE)</f>
        <v>862846</v>
      </c>
      <c r="J29" s="718">
        <f t="shared" si="3"/>
        <v>744503219716</v>
      </c>
      <c r="K29" s="719">
        <f t="shared" si="4"/>
        <v>1</v>
      </c>
      <c r="L29" s="722"/>
      <c r="M29" s="723"/>
      <c r="N29" s="12"/>
      <c r="O29" s="12"/>
      <c r="P29" s="12"/>
    </row>
    <row r="30" spans="1:16" ht="17" thickBot="1">
      <c r="A30" s="713"/>
      <c r="B30" s="714">
        <v>1994</v>
      </c>
      <c r="C30" s="715">
        <f>'Lag1_Exp_smooth_Total Run Even'!C25</f>
        <v>3881314.3403641991</v>
      </c>
      <c r="D30" s="716">
        <f>VLOOKUP($B30,Database!$A$76:$J$138,10,FALSE)</f>
        <v>4666639</v>
      </c>
      <c r="E30" s="717">
        <f t="shared" si="7"/>
        <v>-785324.65963580087</v>
      </c>
      <c r="F30" s="718">
        <f t="shared" si="5"/>
        <v>616734821032.08643</v>
      </c>
      <c r="G30" s="719">
        <f t="shared" si="6"/>
        <v>0.16828485332501633</v>
      </c>
      <c r="H30" s="720"/>
      <c r="I30" s="721">
        <f>VLOOKUP($B30,Database!$A$74:$C$138,3,FALSE)</f>
        <v>3257358</v>
      </c>
      <c r="J30" s="718">
        <f t="shared" si="3"/>
        <v>10610381140164</v>
      </c>
      <c r="K30" s="719">
        <f t="shared" si="4"/>
        <v>1</v>
      </c>
      <c r="L30" s="722"/>
      <c r="M30" s="723"/>
      <c r="N30" s="12"/>
      <c r="O30" s="12"/>
      <c r="P30" s="12"/>
    </row>
    <row r="31" spans="1:16">
      <c r="A31" s="713"/>
      <c r="B31" s="724">
        <v>1996</v>
      </c>
      <c r="C31" s="725">
        <f>'Lag1_Exp_smooth_Total Run Even'!C26</f>
        <v>4451404.7702912409</v>
      </c>
      <c r="D31" s="726">
        <f>VLOOKUP($B31,Database!$A$76:$J$138,10,FALSE)</f>
        <v>4500085</v>
      </c>
      <c r="E31" s="727">
        <f t="shared" si="7"/>
        <v>-48680.229708759114</v>
      </c>
      <c r="F31" s="728">
        <f t="shared" si="5"/>
        <v>2369764764.4975533</v>
      </c>
      <c r="G31" s="729">
        <f t="shared" si="6"/>
        <v>1.0817624491261635E-2</v>
      </c>
      <c r="H31" s="730">
        <f>C31-L31</f>
        <v>3025204.7702912409</v>
      </c>
      <c r="I31" s="731">
        <f>VLOOKUP($B31,Database!$A$74:$C$138,3,FALSE)</f>
        <v>3016749</v>
      </c>
      <c r="J31" s="728">
        <f t="shared" si="3"/>
        <v>71500051.218231976</v>
      </c>
      <c r="K31" s="732">
        <f t="shared" si="4"/>
        <v>-2.8029412759367407E-3</v>
      </c>
      <c r="L31" s="733">
        <v>1426200</v>
      </c>
      <c r="M31" s="734" t="s">
        <v>305</v>
      </c>
      <c r="N31" s="12"/>
      <c r="O31" s="12"/>
      <c r="P31" s="12"/>
    </row>
    <row r="32" spans="1:16">
      <c r="A32" s="713"/>
      <c r="B32" s="735">
        <v>1998</v>
      </c>
      <c r="C32" s="715">
        <f>'Lag1_Exp_smooth_Total Run Even'!C27</f>
        <v>4486743.190832478</v>
      </c>
      <c r="D32" s="716">
        <f>VLOOKUP($B32,Database!$A$76:$J$138,10,FALSE)</f>
        <v>5274275.5</v>
      </c>
      <c r="E32" s="717">
        <f t="shared" si="7"/>
        <v>-787532.30916752201</v>
      </c>
      <c r="F32" s="718">
        <f t="shared" si="5"/>
        <v>620207137982.72949</v>
      </c>
      <c r="G32" s="736">
        <f t="shared" si="6"/>
        <v>0.14931573240107043</v>
      </c>
      <c r="H32" s="737">
        <f t="shared" ref="H32:H41" si="8">C32-L32</f>
        <v>3060543.190832478</v>
      </c>
      <c r="I32" s="721">
        <f>VLOOKUP($B32,Database!$A$74:$C$138,3,FALSE)</f>
        <v>3692143</v>
      </c>
      <c r="J32" s="718">
        <f t="shared" si="3"/>
        <v>398918318940.4502</v>
      </c>
      <c r="K32" s="719">
        <f t="shared" si="4"/>
        <v>0.17106591190198267</v>
      </c>
      <c r="L32" s="738">
        <v>1426200</v>
      </c>
      <c r="M32" s="734" t="s">
        <v>305</v>
      </c>
      <c r="N32" s="12"/>
      <c r="O32" s="12"/>
      <c r="P32" s="12"/>
    </row>
    <row r="33" spans="1:16">
      <c r="A33" s="713"/>
      <c r="B33" s="735">
        <v>2000</v>
      </c>
      <c r="C33" s="715">
        <f>'Lag1_Exp_smooth_Total Run Even'!C28</f>
        <v>5058436.2189400615</v>
      </c>
      <c r="D33" s="716">
        <f>VLOOKUP($B33,Database!$A$76:$J$138,10,FALSE)</f>
        <v>7389941</v>
      </c>
      <c r="E33" s="717">
        <f t="shared" si="7"/>
        <v>-2331504.7810599385</v>
      </c>
      <c r="F33" s="718">
        <f t="shared" si="5"/>
        <v>5435914544105.3516</v>
      </c>
      <c r="G33" s="736">
        <f t="shared" si="6"/>
        <v>0.31549707650709774</v>
      </c>
      <c r="H33" s="737">
        <f t="shared" si="8"/>
        <v>3632236.2189400615</v>
      </c>
      <c r="I33" s="721">
        <f>VLOOKUP($B33,Database!$A$74:$C$138,3,FALSE)</f>
        <v>5660513</v>
      </c>
      <c r="J33" s="718">
        <f t="shared" ref="J33:J38" si="9">(I33-H33)^2</f>
        <v>4113906700586.8657</v>
      </c>
      <c r="K33" s="719">
        <f t="shared" ref="K33:K38" si="10">(I33-H33)/I33</f>
        <v>0.35832031143819271</v>
      </c>
      <c r="L33" s="738">
        <v>1426200</v>
      </c>
      <c r="M33" s="734" t="s">
        <v>305</v>
      </c>
      <c r="N33" s="12"/>
      <c r="O33" s="12"/>
      <c r="P33" s="12"/>
    </row>
    <row r="34" spans="1:16">
      <c r="A34" s="713"/>
      <c r="B34" s="735">
        <v>2002</v>
      </c>
      <c r="C34" s="715">
        <f>'Lag1_Exp_smooth_Total Run Even'!C29</f>
        <v>6750944.5932827489</v>
      </c>
      <c r="D34" s="716">
        <f>VLOOKUP($B34,Database!$A$76:$J$138,10,FALSE)</f>
        <v>1264645.3102025923</v>
      </c>
      <c r="E34" s="717">
        <f t="shared" si="7"/>
        <v>5486299.2830801569</v>
      </c>
      <c r="F34" s="718">
        <f t="shared" si="5"/>
        <v>30099479823525.844</v>
      </c>
      <c r="G34" s="736">
        <f t="shared" si="6"/>
        <v>-4.338211859735809</v>
      </c>
      <c r="H34" s="737">
        <f t="shared" si="8"/>
        <v>5400222.5932827489</v>
      </c>
      <c r="I34" s="721">
        <f>VLOOKUP($B34,Database!$A$74:$C$138,3,FALSE)</f>
        <v>236842.54556606748</v>
      </c>
      <c r="J34" s="718">
        <f t="shared" si="9"/>
        <v>26660493517158.723</v>
      </c>
      <c r="K34" s="719">
        <f t="shared" si="10"/>
        <v>-21.800897450143101</v>
      </c>
      <c r="L34" s="738">
        <v>1350722</v>
      </c>
      <c r="M34" s="734" t="s">
        <v>306</v>
      </c>
      <c r="N34" s="12"/>
      <c r="O34" s="12"/>
      <c r="P34" s="12"/>
    </row>
    <row r="35" spans="1:16">
      <c r="A35" s="713"/>
      <c r="B35" s="735">
        <v>2004</v>
      </c>
      <c r="C35" s="715">
        <f>'Lag1_Exp_smooth_Total Run Even'!C30</f>
        <v>2768277.452217713</v>
      </c>
      <c r="D35" s="716">
        <f>VLOOKUP($B35,Database!$A$76:$J$138,10,FALSE)</f>
        <v>4939431.0563474381</v>
      </c>
      <c r="E35" s="717">
        <f t="shared" si="7"/>
        <v>-2171153.6041297251</v>
      </c>
      <c r="F35" s="718">
        <f t="shared" si="5"/>
        <v>4713907972725.4951</v>
      </c>
      <c r="G35" s="736">
        <f t="shared" si="6"/>
        <v>0.43955540210236854</v>
      </c>
      <c r="H35" s="737">
        <f t="shared" si="8"/>
        <v>1441322.452217713</v>
      </c>
      <c r="I35" s="721">
        <f>VLOOKUP($B35,Database!$A$74:$C$138,3,FALSE)</f>
        <v>2870874.2919837157</v>
      </c>
      <c r="J35" s="718">
        <f t="shared" si="9"/>
        <v>2043618462578.363</v>
      </c>
      <c r="K35" s="719">
        <f t="shared" si="10"/>
        <v>0.49794999514876409</v>
      </c>
      <c r="L35" s="738">
        <v>1326955</v>
      </c>
      <c r="M35" s="734" t="s">
        <v>307</v>
      </c>
      <c r="N35" s="12"/>
      <c r="O35" s="12"/>
      <c r="P35" s="12"/>
    </row>
    <row r="36" spans="1:16">
      <c r="A36" s="713"/>
      <c r="B36" s="735">
        <v>2006</v>
      </c>
      <c r="C36" s="715">
        <f>'Lag1_Exp_smooth_Total Run Even'!C31</f>
        <v>4344382.1579963099</v>
      </c>
      <c r="D36" s="716">
        <f>VLOOKUP($B36,Database!$A$76:$J$138,10,FALSE)</f>
        <v>3314702.7753436686</v>
      </c>
      <c r="E36" s="717">
        <f t="shared" si="7"/>
        <v>1029679.3826526413</v>
      </c>
      <c r="F36" s="718">
        <f t="shared" si="5"/>
        <v>1060239631059.9244</v>
      </c>
      <c r="G36" s="736">
        <f t="shared" si="6"/>
        <v>-0.31064003394569339</v>
      </c>
      <c r="H36" s="737">
        <f t="shared" si="8"/>
        <v>2993660.1579963099</v>
      </c>
      <c r="I36" s="721">
        <f>VLOOKUP($B36,Database!$A$74:$C$138,3,FALSE)</f>
        <v>1983120.7161293393</v>
      </c>
      <c r="J36" s="718">
        <f t="shared" si="9"/>
        <v>1021189963568.8085</v>
      </c>
      <c r="K36" s="719">
        <f t="shared" si="10"/>
        <v>-0.50957031190685376</v>
      </c>
      <c r="L36" s="738">
        <v>1350722</v>
      </c>
      <c r="M36" s="734" t="s">
        <v>306</v>
      </c>
      <c r="N36" s="12"/>
      <c r="O36" s="12"/>
      <c r="P36" s="12"/>
    </row>
    <row r="37" spans="1:16">
      <c r="A37" s="713"/>
      <c r="B37" s="735">
        <v>2008</v>
      </c>
      <c r="C37" s="715">
        <f>'Lag1_Exp_smooth_Total Run Even'!C32</f>
        <v>3596907.3974104333</v>
      </c>
      <c r="D37" s="716">
        <f>VLOOKUP($B37,Database!$A$76:$J$138,10,FALSE)</f>
        <v>2290691.6775990888</v>
      </c>
      <c r="E37" s="717">
        <f t="shared" si="7"/>
        <v>1306215.7198113445</v>
      </c>
      <c r="F37" s="718">
        <f t="shared" si="5"/>
        <v>1706199506682.2688</v>
      </c>
      <c r="G37" s="736">
        <f t="shared" si="6"/>
        <v>-0.57022764459528241</v>
      </c>
      <c r="H37" s="737">
        <f t="shared" si="8"/>
        <v>2269952.3974104333</v>
      </c>
      <c r="I37" s="721">
        <f>VLOOKUP($B37,Database!$A$74:$C$138,3,FALSE)</f>
        <v>1371156.4260196264</v>
      </c>
      <c r="J37" s="718">
        <f t="shared" si="9"/>
        <v>807834198188.34412</v>
      </c>
      <c r="K37" s="719">
        <f t="shared" si="10"/>
        <v>-0.65550213989803496</v>
      </c>
      <c r="L37" s="738">
        <v>1326955</v>
      </c>
      <c r="M37" s="734" t="s">
        <v>307</v>
      </c>
      <c r="N37" s="12"/>
      <c r="O37" s="12"/>
      <c r="P37" s="12"/>
    </row>
    <row r="38" spans="1:16">
      <c r="A38" s="713"/>
      <c r="B38" s="735">
        <v>2010</v>
      </c>
      <c r="C38" s="715">
        <f>'Lag1_Exp_smooth_Total Run Even'!C33</f>
        <v>2648686.7193152737</v>
      </c>
      <c r="D38" s="716">
        <f>VLOOKUP($B38,Database!$A$76:$J$138,10,FALSE)</f>
        <v>4399390.7272172375</v>
      </c>
      <c r="E38" s="717">
        <f t="shared" si="7"/>
        <v>-1750704.0079019638</v>
      </c>
      <c r="F38" s="739">
        <f t="shared" si="5"/>
        <v>3064964523283.999</v>
      </c>
      <c r="G38" s="736">
        <f t="shared" si="6"/>
        <v>0.39794237803682031</v>
      </c>
      <c r="H38" s="737">
        <f t="shared" si="8"/>
        <v>1297964.7193152737</v>
      </c>
      <c r="I38" s="721">
        <f>VLOOKUP($B38,Database!$A$74:$C$138,3,FALSE)</f>
        <v>2325412.6096819355</v>
      </c>
      <c r="J38" s="718">
        <f t="shared" si="9"/>
        <v>1055649167418.9039</v>
      </c>
      <c r="K38" s="719">
        <f t="shared" si="10"/>
        <v>0.44183466026151536</v>
      </c>
      <c r="L38" s="738">
        <v>1350722</v>
      </c>
      <c r="M38" s="734" t="s">
        <v>306</v>
      </c>
      <c r="N38" s="12"/>
      <c r="O38" s="12"/>
      <c r="P38" s="12"/>
    </row>
    <row r="39" spans="1:16">
      <c r="A39" s="713"/>
      <c r="B39" s="735">
        <v>2012</v>
      </c>
      <c r="C39" s="715">
        <f>'Lag1_Exp_smooth_Total Run Even'!C34</f>
        <v>3919574.6104489635</v>
      </c>
      <c r="D39" s="716">
        <f>VLOOKUP($B39,Database!$A$76:$J$138,10,FALSE)</f>
        <v>4428267.5450134957</v>
      </c>
      <c r="E39" s="717">
        <f t="shared" si="7"/>
        <v>-508692.93456453225</v>
      </c>
      <c r="F39" s="739">
        <f>(D39-C39)^2</f>
        <v>258768501675.87549</v>
      </c>
      <c r="G39" s="736">
        <f>(D39-C39)/D39</f>
        <v>0.11487402904039799</v>
      </c>
      <c r="H39" s="737">
        <f t="shared" si="8"/>
        <v>2763574.6104489635</v>
      </c>
      <c r="I39" s="721">
        <f>VLOOKUP($B39,Database!$A$74:$C$138,3,FALSE)</f>
        <v>3288580.30084719</v>
      </c>
      <c r="J39" s="718">
        <f>(I39-H39)^2</f>
        <v>275630974950.51843</v>
      </c>
      <c r="K39" s="719">
        <f>(I39-H39)/I39</f>
        <v>0.15964508765772781</v>
      </c>
      <c r="L39" s="738">
        <v>1156000</v>
      </c>
      <c r="M39" s="734" t="s">
        <v>305</v>
      </c>
      <c r="N39" s="12"/>
      <c r="O39" s="12"/>
      <c r="P39" s="12"/>
    </row>
    <row r="40" spans="1:16">
      <c r="A40" s="713"/>
      <c r="B40" s="735">
        <v>2014</v>
      </c>
      <c r="C40" s="715">
        <f>'Lag1_Exp_smooth_Total Run Even'!C35</f>
        <v>4288849.8779558213</v>
      </c>
      <c r="D40" s="716">
        <f>VLOOKUP($B40,Database!$A$76:$J$138,10,FALSE)</f>
        <v>2702397</v>
      </c>
      <c r="E40" s="717">
        <f>C40-D40</f>
        <v>1586452.8779558213</v>
      </c>
      <c r="F40" s="739">
        <f>(D40-C40)^2</f>
        <v>2516832733974.3081</v>
      </c>
      <c r="G40" s="736">
        <f>(D40-C40)/D40</f>
        <v>-0.58705396651780672</v>
      </c>
      <c r="H40" s="737">
        <f t="shared" si="8"/>
        <v>3132849.8779558213</v>
      </c>
      <c r="I40" s="721">
        <f>VLOOKUP($B40,Database!$A$74:$C$138,3,FALSE)</f>
        <v>1884365</v>
      </c>
      <c r="J40" s="718">
        <f>(I40-H40)^2</f>
        <v>1558714490484.3621</v>
      </c>
      <c r="K40" s="719">
        <f>(I40-H40)/I40</f>
        <v>-0.66254938823201526</v>
      </c>
      <c r="L40" s="738">
        <v>1156000</v>
      </c>
      <c r="M40" s="734" t="s">
        <v>305</v>
      </c>
      <c r="N40" s="12"/>
      <c r="O40" s="12"/>
      <c r="P40" s="12"/>
    </row>
    <row r="41" spans="1:16" ht="17" thickBot="1">
      <c r="A41" s="713"/>
      <c r="B41" s="740">
        <v>2016</v>
      </c>
      <c r="C41" s="741">
        <f>'Lag1_Exp_smooth_Total Run Even'!C36</f>
        <v>3137196.7467880594</v>
      </c>
      <c r="D41" s="742"/>
      <c r="E41" s="743"/>
      <c r="F41" s="744"/>
      <c r="G41" s="745"/>
      <c r="H41" s="746">
        <f t="shared" si="8"/>
        <v>1981196.7467880594</v>
      </c>
      <c r="I41" s="747"/>
      <c r="J41" s="748"/>
      <c r="K41" s="749"/>
      <c r="L41" s="750">
        <v>1156000</v>
      </c>
      <c r="M41" s="734" t="s">
        <v>305</v>
      </c>
      <c r="N41" s="12"/>
      <c r="O41" s="12"/>
      <c r="P41" s="12"/>
    </row>
    <row r="42" spans="1:16">
      <c r="A42" s="713"/>
      <c r="B42" s="751"/>
      <c r="C42" s="752"/>
      <c r="D42" s="753"/>
      <c r="E42" s="753"/>
      <c r="F42" s="754"/>
      <c r="G42" s="755"/>
      <c r="H42" s="752"/>
      <c r="I42" s="756"/>
      <c r="J42" s="757"/>
      <c r="K42" s="758"/>
      <c r="L42" s="759"/>
      <c r="M42" s="760"/>
      <c r="N42" s="12"/>
      <c r="O42" s="12"/>
      <c r="P42" s="12"/>
    </row>
    <row r="43" spans="1:16">
      <c r="A43" s="713"/>
      <c r="B43" s="16"/>
      <c r="C43" s="761"/>
      <c r="D43" s="762"/>
      <c r="E43" s="762"/>
      <c r="F43" s="763"/>
      <c r="G43" s="764"/>
      <c r="H43" s="761"/>
      <c r="I43" s="765"/>
      <c r="J43" s="718"/>
      <c r="K43" s="719"/>
      <c r="L43" s="760"/>
      <c r="M43" s="760"/>
      <c r="N43" s="12"/>
      <c r="O43" s="12"/>
      <c r="P43" s="12"/>
    </row>
    <row r="44" spans="1:16">
      <c r="A44" s="1130" t="s">
        <v>247</v>
      </c>
      <c r="B44" s="1130"/>
      <c r="C44" s="1130"/>
      <c r="D44" s="1130"/>
      <c r="E44" s="766"/>
      <c r="F44" s="767"/>
      <c r="G44" s="768"/>
      <c r="H44" s="769"/>
      <c r="I44" s="770"/>
      <c r="J44" s="771"/>
      <c r="K44" s="772"/>
      <c r="L44" s="773"/>
      <c r="M44" s="774"/>
      <c r="N44" s="12"/>
      <c r="O44" s="12"/>
      <c r="P44" s="12"/>
    </row>
    <row r="45" spans="1:16">
      <c r="A45" s="775"/>
      <c r="B45" s="776"/>
      <c r="C45" s="777"/>
      <c r="D45" s="775" t="s">
        <v>178</v>
      </c>
      <c r="E45" s="775"/>
      <c r="F45" s="718">
        <f>SUM(F$31:F44)</f>
        <v>49478884139780.281</v>
      </c>
      <c r="G45" s="778">
        <f>SUM(G$31:G44)</f>
        <v>-4.3781312622155752</v>
      </c>
      <c r="H45" s="777"/>
      <c r="I45" s="766" t="str">
        <f>D45</f>
        <v>Total Squared Error</v>
      </c>
      <c r="J45" s="718">
        <f>SUM(J$31:J41)</f>
        <v>37936027293926.555</v>
      </c>
      <c r="K45" s="759">
        <f>SUM(K$31:K41)</f>
        <v>-22.002506265047757</v>
      </c>
      <c r="L45" s="766"/>
      <c r="M45" s="779"/>
      <c r="N45" s="12"/>
      <c r="O45" s="12"/>
      <c r="P45" s="12"/>
    </row>
    <row r="46" spans="1:16">
      <c r="A46" s="766"/>
      <c r="B46" s="714"/>
      <c r="C46" s="769"/>
      <c r="D46" s="766" t="s">
        <v>225</v>
      </c>
      <c r="E46" s="766"/>
      <c r="F46" s="716">
        <f>SQRT(F45/$D$6)</f>
        <v>1379504.985629325</v>
      </c>
      <c r="G46" s="780">
        <f>G45/COUNTA(G$31:G44)</f>
        <v>-0.43781312622155755</v>
      </c>
      <c r="H46" s="769"/>
      <c r="I46" s="766" t="str">
        <f>D46</f>
        <v>Mean Squared Error</v>
      </c>
      <c r="J46" s="716">
        <f>SQRT(J45/G6)</f>
        <v>1207922.9995506043</v>
      </c>
      <c r="K46" s="778">
        <f>K45/COUNTA(K$36:K44)</f>
        <v>-4.4005012530095513</v>
      </c>
      <c r="L46" s="781"/>
      <c r="M46" s="782"/>
      <c r="N46" s="12"/>
      <c r="O46" s="12"/>
      <c r="P46" s="12"/>
    </row>
    <row r="47" spans="1:16">
      <c r="A47" s="766"/>
      <c r="B47" s="766"/>
      <c r="C47" s="769"/>
      <c r="D47" s="766" t="s">
        <v>180</v>
      </c>
      <c r="E47" s="766"/>
      <c r="F47" s="783"/>
      <c r="G47" s="778">
        <f>G46*0.8</f>
        <v>-0.35025050097724608</v>
      </c>
      <c r="H47" s="769"/>
      <c r="I47" s="766" t="s">
        <v>180</v>
      </c>
      <c r="J47" s="766"/>
      <c r="K47" s="759">
        <f>K46*0.8</f>
        <v>-3.5204010024076413</v>
      </c>
      <c r="L47" s="766"/>
      <c r="M47" s="762"/>
      <c r="N47" s="12"/>
      <c r="O47" s="12"/>
      <c r="P47" s="12"/>
    </row>
    <row r="48" spans="1:16">
      <c r="A48" s="770"/>
      <c r="B48" s="784"/>
      <c r="C48" s="784" t="s">
        <v>181</v>
      </c>
      <c r="D48" s="785" t="s">
        <v>182</v>
      </c>
      <c r="E48" s="785"/>
      <c r="F48" s="786">
        <f>F46*$D$8</f>
        <v>1814010.2427234666</v>
      </c>
      <c r="G48" s="787">
        <f>F48/C41</f>
        <v>0.57822648343005445</v>
      </c>
      <c r="H48" s="788"/>
      <c r="I48" s="770" t="s">
        <v>182</v>
      </c>
      <c r="J48" s="789">
        <f>J46*$G$8</f>
        <v>1588384.7586142933</v>
      </c>
      <c r="K48" s="790">
        <f>J48/H41</f>
        <v>0.80172994488780702</v>
      </c>
      <c r="L48" s="766"/>
      <c r="M48" s="779"/>
      <c r="N48" s="12"/>
      <c r="O48" s="12"/>
      <c r="P48" s="12"/>
    </row>
    <row r="49" spans="1:16">
      <c r="A49" s="766"/>
      <c r="B49" s="714"/>
      <c r="C49" s="769"/>
      <c r="D49" s="766"/>
      <c r="E49" s="766"/>
      <c r="F49" s="791"/>
      <c r="G49" s="792"/>
      <c r="H49" s="769"/>
      <c r="I49" s="766"/>
      <c r="J49" s="766"/>
      <c r="K49" s="773"/>
      <c r="L49" s="766"/>
      <c r="M49" s="779"/>
      <c r="N49" s="12"/>
      <c r="O49" s="12"/>
      <c r="P49" s="12"/>
    </row>
    <row r="50" spans="1:16" ht="17" thickBot="1">
      <c r="A50" s="793"/>
      <c r="B50" s="793"/>
      <c r="C50" s="794"/>
      <c r="D50" s="793"/>
      <c r="E50" s="793"/>
      <c r="F50" s="793"/>
      <c r="G50" s="793"/>
      <c r="H50" s="794"/>
      <c r="I50" s="793"/>
      <c r="J50" s="793"/>
      <c r="K50" s="793"/>
      <c r="L50" s="793"/>
      <c r="M50" s="779"/>
      <c r="N50" s="12"/>
      <c r="O50" s="12"/>
      <c r="P50" s="12"/>
    </row>
    <row r="51" spans="1:16">
      <c r="A51" s="795"/>
      <c r="B51" s="796"/>
      <c r="C51" s="797" t="s">
        <v>135</v>
      </c>
      <c r="D51" s="798"/>
      <c r="E51" s="223"/>
      <c r="F51" s="796"/>
      <c r="G51" s="796"/>
      <c r="H51" s="797" t="s">
        <v>174</v>
      </c>
      <c r="I51" s="798"/>
      <c r="J51" s="799"/>
      <c r="K51" s="800"/>
      <c r="L51" s="793"/>
      <c r="M51" s="779"/>
      <c r="N51" s="12"/>
      <c r="O51" s="12"/>
      <c r="P51" s="12"/>
    </row>
    <row r="52" spans="1:16">
      <c r="A52" s="801"/>
      <c r="B52" s="802" t="s">
        <v>184</v>
      </c>
      <c r="C52" s="802" t="s">
        <v>46</v>
      </c>
      <c r="D52" s="803" t="s">
        <v>185</v>
      </c>
      <c r="E52" s="804" t="s">
        <v>183</v>
      </c>
      <c r="F52" s="805"/>
      <c r="G52" s="802" t="s">
        <v>184</v>
      </c>
      <c r="H52" s="802" t="s">
        <v>46</v>
      </c>
      <c r="I52" s="803" t="s">
        <v>185</v>
      </c>
      <c r="J52" s="803" t="s">
        <v>175</v>
      </c>
      <c r="K52" s="806"/>
      <c r="L52" s="12"/>
      <c r="M52" s="12"/>
      <c r="N52" s="12"/>
      <c r="O52" s="12"/>
      <c r="P52" s="12"/>
    </row>
    <row r="53" spans="1:16">
      <c r="A53" s="807"/>
      <c r="B53" s="13">
        <v>5</v>
      </c>
      <c r="C53" s="716">
        <f>AVERAGE(INDEX(C$14:C$44,COUNT($B$14:$B$44)-1,0):INDEX(C$14:C$44,COUNT($B$14:$B$44)-$B53,0))</f>
        <v>3759680.1526253605</v>
      </c>
      <c r="D53" s="716">
        <f>AVERAGE(INDEX(D$14:D$44,COUNT($B$14:$B$44)-1,0):INDEX(D$14:D$44,COUNT($B$14:$B$44)-$B53,0))</f>
        <v>3427089.9450346977</v>
      </c>
      <c r="E53" s="717">
        <f>C53-D53</f>
        <v>332590.20759066287</v>
      </c>
      <c r="F53" s="13"/>
      <c r="G53" s="13">
        <v>5</v>
      </c>
      <c r="H53" s="716">
        <f>AVERAGE(INDEX(H$22:H$44,COUNT($B$22:$B$44)-1,0):INDEX(H$22:H$44,COUNT($B$22:$B$44)-$B53,0))</f>
        <v>2491600.3526253602</v>
      </c>
      <c r="I53" s="716">
        <f>AVERAGE(INDEX(I$22:I$44,COUNT($B$22:$B$44)-1,0):INDEX(I$22:I$44,COUNT($B$22:$B$44)-$B53,0))</f>
        <v>2170527.0105356183</v>
      </c>
      <c r="J53" s="717">
        <f>H53-I53</f>
        <v>321073.34208974196</v>
      </c>
      <c r="K53" s="808"/>
      <c r="L53" s="12"/>
      <c r="M53" s="12"/>
      <c r="N53" s="12"/>
      <c r="O53" s="12"/>
      <c r="P53" s="12"/>
    </row>
    <row r="54" spans="1:16">
      <c r="A54" s="807"/>
      <c r="B54" s="13">
        <v>10</v>
      </c>
      <c r="C54" s="716">
        <f>AVERAGE(INDEX(C$14:C$44,COUNT($B$14:$B$44)-1,0):INDEX(C$14:C$44,COUNT($B$14:$B$44)-$B54,0))</f>
        <v>4231420.6988691045</v>
      </c>
      <c r="D54" s="716">
        <f>AVERAGE(INDEX(D$14:D$44,COUNT($B$14:$B$44)-1,0):INDEX(D$14:D$44,COUNT($B$14:$B$44)-$B54,0))</f>
        <v>4050382.7591723516</v>
      </c>
      <c r="E54" s="717">
        <f>C54-D54</f>
        <v>181037.93969675293</v>
      </c>
      <c r="F54" s="13"/>
      <c r="G54" s="13">
        <v>10</v>
      </c>
      <c r="H54" s="716">
        <f>AVERAGE(INDEX(H$22:H$44,COUNT($B$22:$B$44)-1,0):INDEX(H$22:H$44,COUNT($B$22:$B$44)-$B54,0))</f>
        <v>2901753.0988691044</v>
      </c>
      <c r="I54" s="716">
        <f>AVERAGE(INDEX(I$22:I$44,COUNT($B$22:$B$44)-1,0):INDEX(I$22:I$44,COUNT($B$22:$B$44)-$B54,0))</f>
        <v>2632975.6890227878</v>
      </c>
      <c r="J54" s="717">
        <f>H54-I54</f>
        <v>268777.40984631656</v>
      </c>
      <c r="K54" s="808"/>
      <c r="L54" s="12"/>
      <c r="M54" s="12"/>
      <c r="N54" s="12"/>
      <c r="O54" s="12"/>
      <c r="P54" s="12"/>
    </row>
    <row r="55" spans="1:16">
      <c r="A55" s="807"/>
      <c r="B55" s="13">
        <v>20</v>
      </c>
      <c r="C55" s="716">
        <f>AVERAGE(INDEX(C$14:C$44,COUNT($B$14:$B$44)-1,0):INDEX(C$14:C$44,COUNT($B$14:$B$44)-$B55,0))</f>
        <v>6060202.859432864</v>
      </c>
      <c r="D55" s="716">
        <f>AVERAGE(INDEX(D$14:D$44,COUNT($B$14:$B$44)-1,0):INDEX(D$14:D$44,COUNT($B$14:$B$44)-$B55,0))</f>
        <v>6196314.2295861775</v>
      </c>
      <c r="E55" s="717">
        <f>C55-D55</f>
        <v>-136111.3701533135</v>
      </c>
      <c r="F55" s="13"/>
      <c r="G55" s="13">
        <v>20</v>
      </c>
      <c r="H55" s="716"/>
      <c r="I55" s="716"/>
      <c r="J55" s="717"/>
      <c r="K55" s="808"/>
      <c r="L55" s="12"/>
      <c r="M55" s="12"/>
      <c r="N55" s="12"/>
      <c r="O55" s="12"/>
      <c r="P55" s="12"/>
    </row>
    <row r="56" spans="1:16" ht="17" thickBot="1">
      <c r="A56" s="17"/>
      <c r="B56" s="225">
        <v>25</v>
      </c>
      <c r="C56" s="742">
        <f>AVERAGE(INDEX(C$14:C$44,COUNT($B$14:$B$44)-1,0):INDEX(C$14:C$44,COUNT($B$14:$B$44)-$B56,0))</f>
        <v>5664555.1867025243</v>
      </c>
      <c r="D56" s="742">
        <f>AVERAGE(INDEX(D$14:D$44,COUNT($B$14:$B$44)-1,0):INDEX(D$14:D$44,COUNT($B$14:$B$44)-$B56,0))</f>
        <v>5486225.3036689414</v>
      </c>
      <c r="E56" s="743">
        <f>C56-D56</f>
        <v>178329.88303358294</v>
      </c>
      <c r="F56" s="225"/>
      <c r="G56" s="225">
        <v>25</v>
      </c>
      <c r="H56" s="742"/>
      <c r="I56" s="742"/>
      <c r="J56" s="743"/>
      <c r="K56" s="809"/>
      <c r="L56" s="12"/>
      <c r="M56" s="12"/>
      <c r="N56" s="12"/>
      <c r="O56" s="12"/>
      <c r="P56" s="12"/>
    </row>
    <row r="57" spans="1:16">
      <c r="A57" s="12"/>
      <c r="B57" s="12"/>
      <c r="C57" s="12"/>
      <c r="D57" s="12"/>
      <c r="E57" s="12"/>
      <c r="F57" s="12"/>
      <c r="G57" s="12"/>
      <c r="H57" s="12"/>
      <c r="I57" s="12"/>
      <c r="J57" s="12"/>
      <c r="K57" s="12"/>
      <c r="L57" s="12"/>
      <c r="M57" s="12"/>
      <c r="N57" s="12"/>
      <c r="O57" s="12"/>
      <c r="P57" s="12"/>
    </row>
    <row r="58" spans="1:16">
      <c r="A58" s="12"/>
      <c r="B58" s="12"/>
      <c r="C58" s="24"/>
      <c r="D58" s="12"/>
      <c r="E58" s="12"/>
      <c r="F58" s="12"/>
      <c r="G58" s="12"/>
      <c r="H58" s="12"/>
      <c r="I58" s="12"/>
      <c r="J58" s="12"/>
      <c r="K58" s="12"/>
      <c r="L58" s="12"/>
      <c r="M58" s="12"/>
      <c r="N58" s="12"/>
      <c r="O58" s="12"/>
      <c r="P58" s="12"/>
    </row>
    <row r="59" spans="1:16">
      <c r="A59" s="12"/>
      <c r="B59" s="12"/>
      <c r="C59" s="24"/>
      <c r="D59" s="12"/>
      <c r="E59" s="24"/>
      <c r="F59" s="12"/>
      <c r="G59" s="12"/>
      <c r="H59" s="12"/>
      <c r="I59" s="12"/>
      <c r="J59" s="12"/>
      <c r="K59" s="12"/>
      <c r="L59" s="12"/>
      <c r="M59" s="12"/>
      <c r="N59" s="12"/>
      <c r="O59" s="12"/>
      <c r="P59" s="12"/>
    </row>
    <row r="60" spans="1:16">
      <c r="A60" s="12"/>
      <c r="B60" s="12"/>
      <c r="C60" s="12"/>
      <c r="D60" s="12"/>
      <c r="E60" s="24"/>
      <c r="F60" s="12"/>
      <c r="G60" s="12"/>
      <c r="H60" s="12"/>
      <c r="I60" s="12"/>
      <c r="J60" s="12"/>
      <c r="K60" s="12"/>
      <c r="L60" s="12"/>
      <c r="M60" s="12"/>
      <c r="N60" s="12"/>
      <c r="O60" s="12"/>
      <c r="P60" s="12"/>
    </row>
    <row r="61" spans="1:16">
      <c r="A61" s="12"/>
      <c r="B61" s="12"/>
      <c r="C61" s="12"/>
      <c r="D61" s="12"/>
      <c r="E61" s="12"/>
      <c r="F61" s="12"/>
      <c r="G61" s="12"/>
      <c r="H61" s="12"/>
      <c r="I61" s="12"/>
      <c r="J61" s="12"/>
      <c r="K61" s="12"/>
      <c r="L61" s="12"/>
      <c r="M61" s="12"/>
      <c r="N61" s="12"/>
      <c r="O61" s="12"/>
      <c r="P61" s="12"/>
    </row>
    <row r="62" spans="1:16">
      <c r="A62" s="12"/>
      <c r="B62" s="12"/>
      <c r="C62" s="12"/>
      <c r="D62" s="12"/>
      <c r="E62" s="12"/>
      <c r="F62" s="12"/>
      <c r="G62" s="12"/>
      <c r="H62" s="12"/>
      <c r="I62" s="12"/>
      <c r="J62" s="12"/>
      <c r="K62" s="12"/>
      <c r="L62" s="12"/>
      <c r="M62" s="12"/>
      <c r="N62" s="12"/>
      <c r="O62" s="12"/>
      <c r="P62" s="12"/>
    </row>
    <row r="65" spans="3:4">
      <c r="C65">
        <v>1996</v>
      </c>
      <c r="D65">
        <v>1426200</v>
      </c>
    </row>
    <row r="66" spans="3:4">
      <c r="C66">
        <v>1998</v>
      </c>
      <c r="D66">
        <v>1426200</v>
      </c>
    </row>
    <row r="67" spans="3:4">
      <c r="C67">
        <v>2000</v>
      </c>
      <c r="D67">
        <v>1426200</v>
      </c>
    </row>
    <row r="68" spans="3:4">
      <c r="C68">
        <v>2002</v>
      </c>
      <c r="D68">
        <v>0</v>
      </c>
    </row>
    <row r="69" spans="3:4">
      <c r="C69">
        <v>2004</v>
      </c>
      <c r="D69">
        <v>0</v>
      </c>
    </row>
    <row r="70" spans="3:4">
      <c r="C70">
        <v>2006</v>
      </c>
      <c r="D70">
        <v>0</v>
      </c>
    </row>
    <row r="71" spans="3:4">
      <c r="C71">
        <v>2008</v>
      </c>
      <c r="D71">
        <v>0</v>
      </c>
    </row>
    <row r="72" spans="3:4">
      <c r="C72">
        <v>2010</v>
      </c>
      <c r="D72">
        <v>0</v>
      </c>
    </row>
    <row r="73" spans="3:4">
      <c r="C73">
        <v>2012</v>
      </c>
      <c r="D73">
        <v>1156000</v>
      </c>
    </row>
    <row r="74" spans="3:4">
      <c r="C74">
        <v>2014</v>
      </c>
      <c r="D74">
        <v>1156000</v>
      </c>
    </row>
    <row r="75" spans="3:4">
      <c r="C75">
        <v>2016</v>
      </c>
      <c r="D75">
        <v>1156000</v>
      </c>
    </row>
  </sheetData>
  <mergeCells count="1">
    <mergeCell ref="A44:D44"/>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tabColor rgb="FF00B050"/>
  </sheetPr>
  <dimension ref="A1:M76"/>
  <sheetViews>
    <sheetView zoomScale="50" zoomScaleNormal="50" workbookViewId="0">
      <pane ySplit="11" topLeftCell="A12" activePane="bottomLeft" state="frozen"/>
      <selection activeCell="AK54" sqref="AK54"/>
      <selection pane="bottomLeft" activeCell="AB34" sqref="AB34"/>
    </sheetView>
  </sheetViews>
  <sheetFormatPr baseColWidth="10" defaultColWidth="8.85546875" defaultRowHeight="16"/>
  <cols>
    <col min="1" max="1" width="20.42578125" style="34" customWidth="1"/>
    <col min="2" max="9" width="17.140625" style="34" customWidth="1"/>
    <col min="10" max="10" width="19.5703125" style="34" customWidth="1"/>
    <col min="11" max="11" width="10" style="34" bestFit="1" customWidth="1"/>
    <col min="12" max="16384" width="8.85546875" style="34"/>
  </cols>
  <sheetData>
    <row r="1" spans="1:10" ht="24" thickBot="1">
      <c r="A1" s="286" t="str">
        <f ca="1">CELL("filename",A1)</f>
        <v>/Users/janohlberger/Work/UW/Thresholds/Data/Rich/[2018_PWS_Wild_Pink_forecast_DRAFT.xlsm]Exp_smoothing_w_damping_Total R</v>
      </c>
      <c r="B1" s="287"/>
      <c r="C1" s="287"/>
      <c r="D1" s="287"/>
      <c r="E1" s="287"/>
      <c r="F1" s="287"/>
      <c r="G1" s="287"/>
      <c r="H1" s="287"/>
      <c r="I1" s="287"/>
      <c r="J1" s="287"/>
    </row>
    <row r="2" spans="1:10" ht="23">
      <c r="A2" s="286"/>
      <c r="B2" s="287"/>
      <c r="C2" s="287"/>
      <c r="D2" s="287"/>
      <c r="E2" s="287"/>
      <c r="F2" s="287"/>
      <c r="G2" s="287"/>
      <c r="H2" s="287"/>
      <c r="I2" s="288" t="s">
        <v>125</v>
      </c>
      <c r="J2" s="289"/>
    </row>
    <row r="3" spans="1:10" ht="23">
      <c r="A3" s="286"/>
      <c r="B3" s="287"/>
      <c r="C3" s="287"/>
      <c r="D3" s="287"/>
      <c r="E3" s="287"/>
      <c r="F3" s="287"/>
      <c r="G3" s="287"/>
      <c r="H3" s="287"/>
      <c r="I3" s="290" t="s">
        <v>126</v>
      </c>
      <c r="J3" s="291">
        <f>1-SUM(J4:J6)</f>
        <v>0.34292623699585856</v>
      </c>
    </row>
    <row r="4" spans="1:10" ht="23">
      <c r="A4" s="286"/>
      <c r="B4" s="287"/>
      <c r="C4" s="287"/>
      <c r="D4" s="287"/>
      <c r="E4" s="287"/>
      <c r="F4" s="287"/>
      <c r="G4" s="287"/>
      <c r="H4" s="287"/>
      <c r="I4" s="290" t="s">
        <v>127</v>
      </c>
      <c r="J4" s="292">
        <v>0.65707376300414144</v>
      </c>
    </row>
    <row r="5" spans="1:10" ht="21" customHeight="1">
      <c r="A5" s="287"/>
      <c r="B5" s="287"/>
      <c r="C5" s="287"/>
      <c r="D5" s="287"/>
      <c r="E5" s="287"/>
      <c r="F5" s="287"/>
      <c r="G5" s="287"/>
      <c r="H5" s="287"/>
      <c r="I5" s="290" t="s">
        <v>128</v>
      </c>
      <c r="J5" s="292">
        <v>0</v>
      </c>
    </row>
    <row r="6" spans="1:10" ht="24" thickBot="1">
      <c r="A6" s="293" t="s">
        <v>122</v>
      </c>
      <c r="B6" s="293" t="s">
        <v>171</v>
      </c>
      <c r="C6" s="287"/>
      <c r="D6" s="287"/>
      <c r="E6" s="287"/>
      <c r="F6" s="287"/>
      <c r="G6" s="287"/>
      <c r="H6" s="287"/>
      <c r="I6" s="294" t="s">
        <v>129</v>
      </c>
      <c r="J6" s="295">
        <v>0</v>
      </c>
    </row>
    <row r="7" spans="1:10" ht="23">
      <c r="A7" s="293"/>
      <c r="B7" s="293" t="str">
        <f>"exponential smoothing with damping factors, 1972-"&amp;Forecast_Year</f>
        <v>exponential smoothing with damping factors, 1972-2018</v>
      </c>
      <c r="C7" s="287"/>
      <c r="D7" s="287"/>
      <c r="E7" s="287"/>
      <c r="F7" s="287"/>
      <c r="G7" s="287"/>
      <c r="H7" s="287"/>
      <c r="I7" s="287"/>
      <c r="J7" s="296">
        <f>SUM(J3:J6)</f>
        <v>1</v>
      </c>
    </row>
    <row r="8" spans="1:10" ht="23">
      <c r="A8" s="293"/>
      <c r="B8" s="297" t="s">
        <v>172</v>
      </c>
      <c r="C8" s="287"/>
      <c r="D8" s="287"/>
      <c r="E8" s="287"/>
      <c r="F8" s="287"/>
      <c r="G8" s="287"/>
      <c r="H8" s="287"/>
      <c r="I8" s="287"/>
      <c r="J8" s="287"/>
    </row>
    <row r="9" spans="1:10" ht="23">
      <c r="A9" s="298"/>
      <c r="B9" s="298"/>
      <c r="C9" s="299" t="s">
        <v>123</v>
      </c>
      <c r="D9" s="298"/>
      <c r="E9" s="298"/>
      <c r="F9" s="298"/>
      <c r="G9" s="300" t="s">
        <v>1</v>
      </c>
      <c r="H9" s="287"/>
      <c r="I9" s="287" t="s">
        <v>136</v>
      </c>
      <c r="J9" s="287"/>
    </row>
    <row r="10" spans="1:10" ht="23">
      <c r="A10" s="301" t="s">
        <v>3</v>
      </c>
      <c r="B10" s="302" t="s">
        <v>133</v>
      </c>
      <c r="C10" s="303" t="s">
        <v>124</v>
      </c>
      <c r="D10" s="304"/>
      <c r="E10" s="301" t="s">
        <v>1</v>
      </c>
      <c r="F10" s="301" t="s">
        <v>88</v>
      </c>
      <c r="G10" s="301" t="s">
        <v>88</v>
      </c>
      <c r="H10" s="287"/>
      <c r="I10" s="305" t="s">
        <v>4</v>
      </c>
      <c r="J10" s="306" t="s">
        <v>137</v>
      </c>
    </row>
    <row r="11" spans="1:10" ht="23">
      <c r="A11" s="307" t="s">
        <v>7</v>
      </c>
      <c r="B11" s="308" t="s">
        <v>134</v>
      </c>
      <c r="C11" s="309" t="s">
        <v>46</v>
      </c>
      <c r="D11" s="307" t="s">
        <v>8</v>
      </c>
      <c r="E11" s="307" t="s">
        <v>8</v>
      </c>
      <c r="F11" s="307" t="s">
        <v>8</v>
      </c>
      <c r="G11" s="307" t="s">
        <v>8</v>
      </c>
      <c r="H11" s="287"/>
      <c r="I11" s="301" t="s">
        <v>116</v>
      </c>
      <c r="J11" s="306" t="s">
        <v>46</v>
      </c>
    </row>
    <row r="12" spans="1:10" ht="23">
      <c r="A12" s="301">
        <v>1962</v>
      </c>
      <c r="B12" s="310">
        <f>VLOOKUP($A12,Database!$A$74:$J$137,10)</f>
        <v>8760326</v>
      </c>
      <c r="C12" s="311"/>
      <c r="D12" s="312"/>
      <c r="E12" s="312"/>
      <c r="F12" s="312"/>
      <c r="G12" s="301"/>
      <c r="H12" s="287"/>
      <c r="I12" s="313">
        <f>B12</f>
        <v>8760326</v>
      </c>
      <c r="J12" s="314" t="e">
        <f>NA()</f>
        <v>#N/A</v>
      </c>
    </row>
    <row r="13" spans="1:10" ht="23">
      <c r="A13" s="301">
        <v>1963</v>
      </c>
      <c r="B13" s="310">
        <f>VLOOKUP($A13,Database!$A$74:$J$137,10)</f>
        <v>6651118</v>
      </c>
      <c r="C13" s="315">
        <f>$B12</f>
        <v>8760326</v>
      </c>
      <c r="D13" s="316">
        <f t="shared" ref="D13:D59" si="0">C13-B13</f>
        <v>2109208</v>
      </c>
      <c r="E13" s="317">
        <f>ABS(C13-$B13)</f>
        <v>2109208</v>
      </c>
      <c r="F13" s="318">
        <f t="shared" ref="F13:F59" si="1">($C13-$B13)/$B13</f>
        <v>0.31712082089056304</v>
      </c>
      <c r="G13" s="318">
        <f t="shared" ref="G13:G59" si="2">ABS($C13-B13)/$B13</f>
        <v>0.31712082089056304</v>
      </c>
      <c r="H13" s="287"/>
      <c r="I13" s="313">
        <f t="shared" ref="I13:I59" si="3">B13</f>
        <v>6651118</v>
      </c>
      <c r="J13" s="314" t="e">
        <f>NA()</f>
        <v>#N/A</v>
      </c>
    </row>
    <row r="14" spans="1:10" ht="23">
      <c r="A14" s="301">
        <v>1964</v>
      </c>
      <c r="B14" s="310">
        <f>VLOOKUP($A14,Database!$A$74:$J$137,10)</f>
        <v>6048576</v>
      </c>
      <c r="C14" s="315">
        <f>0.9*$B13+0.1*C13</f>
        <v>6862038.8000000007</v>
      </c>
      <c r="D14" s="316">
        <f t="shared" si="0"/>
        <v>813462.80000000075</v>
      </c>
      <c r="E14" s="317">
        <f>ABS(C14-$B14)</f>
        <v>813462.80000000075</v>
      </c>
      <c r="F14" s="318">
        <f t="shared" si="1"/>
        <v>0.13448831592758373</v>
      </c>
      <c r="G14" s="318">
        <f t="shared" si="2"/>
        <v>0.13448831592758373</v>
      </c>
      <c r="H14" s="287"/>
      <c r="I14" s="313">
        <f t="shared" si="3"/>
        <v>6048576</v>
      </c>
      <c r="J14" s="314" t="e">
        <f>NA()</f>
        <v>#N/A</v>
      </c>
    </row>
    <row r="15" spans="1:10" ht="23">
      <c r="A15" s="301">
        <v>1965</v>
      </c>
      <c r="B15" s="310">
        <f>VLOOKUP($A15,Database!$A$74:$J$137,10)</f>
        <v>3436427</v>
      </c>
      <c r="C15" s="315">
        <f>(0.5*$B14)+(0.3*C14)+(0.2*C13)</f>
        <v>6834964.8400000008</v>
      </c>
      <c r="D15" s="316">
        <f t="shared" si="0"/>
        <v>3398537.8400000008</v>
      </c>
      <c r="E15" s="317">
        <f>ABS(C15-$B15)</f>
        <v>3398537.8400000008</v>
      </c>
      <c r="F15" s="318">
        <f t="shared" si="1"/>
        <v>0.9889742572736161</v>
      </c>
      <c r="G15" s="318">
        <f t="shared" si="2"/>
        <v>0.9889742572736161</v>
      </c>
      <c r="H15" s="287"/>
      <c r="I15" s="313">
        <f t="shared" si="3"/>
        <v>3436427</v>
      </c>
      <c r="J15" s="314" t="e">
        <f>NA()</f>
        <v>#N/A</v>
      </c>
    </row>
    <row r="16" spans="1:10" ht="23">
      <c r="A16" s="301">
        <v>1966</v>
      </c>
      <c r="B16" s="310">
        <f>VLOOKUP($A16,Database!$A$74:$J$137,10)</f>
        <v>4122588</v>
      </c>
      <c r="C16" s="315">
        <f t="shared" ref="C16:C21" si="4">($J$3*$B15)+($J$4*C15)+($J$5*C14)+($J$6*C13)</f>
        <v>5669517.0472407676</v>
      </c>
      <c r="D16" s="316">
        <f t="shared" si="0"/>
        <v>1546929.0472407676</v>
      </c>
      <c r="E16" s="317">
        <f>ABS(C16-$B16)</f>
        <v>1546929.0472407676</v>
      </c>
      <c r="F16" s="318">
        <f t="shared" si="1"/>
        <v>0.37523251104421973</v>
      </c>
      <c r="G16" s="318">
        <f t="shared" si="2"/>
        <v>0.37523251104421973</v>
      </c>
      <c r="H16" s="287"/>
      <c r="I16" s="313">
        <f t="shared" si="3"/>
        <v>4122588</v>
      </c>
      <c r="J16" s="314" t="e">
        <f>NA()</f>
        <v>#N/A</v>
      </c>
    </row>
    <row r="17" spans="1:13" ht="23">
      <c r="A17" s="301">
        <v>1967</v>
      </c>
      <c r="B17" s="310">
        <f>VLOOKUP($A17,Database!$A$74:$J$137,10)</f>
        <v>3468600</v>
      </c>
      <c r="C17" s="315">
        <f t="shared" si="4"/>
        <v>5139034.4901709026</v>
      </c>
      <c r="D17" s="316">
        <f t="shared" si="0"/>
        <v>1670434.4901709026</v>
      </c>
      <c r="E17" s="317">
        <f t="shared" ref="E17:E26" si="5">ABS(C17-$B17)</f>
        <v>1670434.4901709026</v>
      </c>
      <c r="F17" s="318">
        <f t="shared" si="1"/>
        <v>0.48158752527558746</v>
      </c>
      <c r="G17" s="318">
        <f t="shared" si="2"/>
        <v>0.48158752527558746</v>
      </c>
      <c r="H17" s="287"/>
      <c r="I17" s="313">
        <f>B17</f>
        <v>3468600</v>
      </c>
      <c r="J17" s="317">
        <f>C17</f>
        <v>5139034.4901709026</v>
      </c>
    </row>
    <row r="18" spans="1:13" ht="23">
      <c r="A18" s="301">
        <v>1968</v>
      </c>
      <c r="B18" s="310">
        <f>VLOOKUP($A18,Database!$A$74:$J$137,10)</f>
        <v>3608678</v>
      </c>
      <c r="C18" s="315">
        <f t="shared" si="4"/>
        <v>4566198.6763084996</v>
      </c>
      <c r="D18" s="316">
        <f t="shared" si="0"/>
        <v>957520.67630849965</v>
      </c>
      <c r="E18" s="317">
        <f t="shared" si="5"/>
        <v>957520.67630849965</v>
      </c>
      <c r="F18" s="318">
        <f t="shared" si="1"/>
        <v>0.26533835280080398</v>
      </c>
      <c r="G18" s="318">
        <f t="shared" si="2"/>
        <v>0.26533835280080398</v>
      </c>
      <c r="H18" s="287"/>
      <c r="I18" s="313">
        <f t="shared" si="3"/>
        <v>3608678</v>
      </c>
      <c r="J18" s="317">
        <f t="shared" ref="J18:J60" si="6">C18</f>
        <v>4566198.6763084996</v>
      </c>
    </row>
    <row r="19" spans="1:13" ht="23">
      <c r="A19" s="301">
        <v>1969</v>
      </c>
      <c r="B19" s="310">
        <f>VLOOKUP($A19,Database!$A$74:$J$137,10)</f>
        <v>5233149</v>
      </c>
      <c r="C19" s="315">
        <f t="shared" si="4"/>
        <v>4237839.7139362963</v>
      </c>
      <c r="D19" s="316">
        <f t="shared" si="0"/>
        <v>-995309.28606370371</v>
      </c>
      <c r="E19" s="317">
        <f t="shared" si="5"/>
        <v>995309.28606370371</v>
      </c>
      <c r="F19" s="318">
        <f t="shared" si="1"/>
        <v>-0.19019318694417142</v>
      </c>
      <c r="G19" s="318">
        <f t="shared" si="2"/>
        <v>0.19019318694417142</v>
      </c>
      <c r="H19" s="287"/>
      <c r="I19" s="313">
        <f t="shared" si="3"/>
        <v>5233149</v>
      </c>
      <c r="J19" s="317">
        <f t="shared" si="6"/>
        <v>4237839.7139362963</v>
      </c>
    </row>
    <row r="20" spans="1:13" ht="23">
      <c r="A20" s="301">
        <v>1970</v>
      </c>
      <c r="B20" s="310">
        <f>VLOOKUP($A20,Database!$A$74:$J$137,10)</f>
        <v>3789216</v>
      </c>
      <c r="C20" s="315">
        <f t="shared" si="4"/>
        <v>4579157.3820531564</v>
      </c>
      <c r="D20" s="316">
        <f t="shared" si="0"/>
        <v>789941.38205315638</v>
      </c>
      <c r="E20" s="317">
        <f t="shared" si="5"/>
        <v>789941.38205315638</v>
      </c>
      <c r="F20" s="318">
        <f t="shared" si="1"/>
        <v>0.20847092962057492</v>
      </c>
      <c r="G20" s="318">
        <f t="shared" si="2"/>
        <v>0.20847092962057492</v>
      </c>
      <c r="H20" s="287"/>
      <c r="I20" s="313">
        <f t="shared" si="3"/>
        <v>3789216</v>
      </c>
      <c r="J20" s="317">
        <f t="shared" si="6"/>
        <v>4579157.3820531564</v>
      </c>
    </row>
    <row r="21" spans="1:13" ht="23">
      <c r="A21" s="301">
        <v>1971</v>
      </c>
      <c r="B21" s="310">
        <f>VLOOKUP($A21,Database!$A$74:$J$137,10)</f>
        <v>8423514</v>
      </c>
      <c r="C21" s="315">
        <f t="shared" si="4"/>
        <v>4308265.7564583598</v>
      </c>
      <c r="D21" s="316">
        <f t="shared" si="0"/>
        <v>-4115248.2435416402</v>
      </c>
      <c r="E21" s="317">
        <f t="shared" si="5"/>
        <v>4115248.2435416402</v>
      </c>
      <c r="F21" s="318">
        <f t="shared" si="1"/>
        <v>-0.48854293392776937</v>
      </c>
      <c r="G21" s="318">
        <f t="shared" si="2"/>
        <v>0.48854293392776937</v>
      </c>
      <c r="H21" s="287"/>
      <c r="I21" s="313">
        <f t="shared" si="3"/>
        <v>8423514</v>
      </c>
      <c r="J21" s="317">
        <f t="shared" si="6"/>
        <v>4308265.7564583598</v>
      </c>
    </row>
    <row r="22" spans="1:13" ht="23">
      <c r="A22" s="301">
        <v>1972</v>
      </c>
      <c r="B22" s="310">
        <f>VLOOKUP($A22,Database!$A$74:$J$137,10)</f>
        <v>695963</v>
      </c>
      <c r="C22" s="315">
        <f t="shared" ref="C22:C65" si="7">($J$3*$B21)+($J$4*C21)+($J$5*C20)+($J$6*C19)</f>
        <v>5719492.3509199116</v>
      </c>
      <c r="D22" s="316">
        <f t="shared" si="0"/>
        <v>5023529.3509199116</v>
      </c>
      <c r="E22" s="317">
        <f t="shared" si="5"/>
        <v>5023529.3509199116</v>
      </c>
      <c r="F22" s="318">
        <f t="shared" si="1"/>
        <v>7.2180983053982919</v>
      </c>
      <c r="G22" s="318">
        <f t="shared" si="2"/>
        <v>7.2180983053982919</v>
      </c>
      <c r="H22" s="287"/>
      <c r="I22" s="313">
        <f t="shared" si="3"/>
        <v>695963</v>
      </c>
      <c r="J22" s="317">
        <f t="shared" si="6"/>
        <v>5719492.3509199116</v>
      </c>
    </row>
    <row r="23" spans="1:13" ht="23">
      <c r="A23" s="301">
        <v>1973</v>
      </c>
      <c r="B23" s="310">
        <f>VLOOKUP($A23,Database!$A$74:$J$137,10)</f>
        <v>8535974</v>
      </c>
      <c r="C23" s="315">
        <f t="shared" si="7"/>
        <v>3996792.3341706987</v>
      </c>
      <c r="D23" s="316">
        <f t="shared" si="0"/>
        <v>-4539181.6658293009</v>
      </c>
      <c r="E23" s="317">
        <f t="shared" si="5"/>
        <v>4539181.6658293009</v>
      </c>
      <c r="F23" s="318">
        <f t="shared" si="1"/>
        <v>-0.5317707933305913</v>
      </c>
      <c r="G23" s="318">
        <f t="shared" si="2"/>
        <v>0.5317707933305913</v>
      </c>
      <c r="H23" s="287"/>
      <c r="I23" s="313">
        <f t="shared" si="3"/>
        <v>8535974</v>
      </c>
      <c r="J23" s="317">
        <f t="shared" si="6"/>
        <v>3996792.3341706987</v>
      </c>
    </row>
    <row r="24" spans="1:13" ht="23">
      <c r="A24" s="301">
        <v>1974</v>
      </c>
      <c r="B24" s="310">
        <f>VLOOKUP($A24,Database!$A$74:$J$137,10)</f>
        <v>1012903</v>
      </c>
      <c r="C24" s="315">
        <f t="shared" si="7"/>
        <v>5553396.8218741342</v>
      </c>
      <c r="D24" s="316">
        <f t="shared" si="0"/>
        <v>4540493.8218741342</v>
      </c>
      <c r="E24" s="317">
        <f t="shared" si="5"/>
        <v>4540493.8218741342</v>
      </c>
      <c r="F24" s="318">
        <f t="shared" si="1"/>
        <v>4.4826541355629654</v>
      </c>
      <c r="G24" s="318">
        <f t="shared" si="2"/>
        <v>4.4826541355629654</v>
      </c>
      <c r="H24" s="287"/>
      <c r="I24" s="313">
        <f t="shared" si="3"/>
        <v>1012903</v>
      </c>
      <c r="J24" s="317">
        <f t="shared" si="6"/>
        <v>5553396.8218741342</v>
      </c>
    </row>
    <row r="25" spans="1:13" ht="23">
      <c r="A25" s="301">
        <v>1975</v>
      </c>
      <c r="B25" s="310">
        <f>VLOOKUP($A25,Database!$A$74:$J$137,10)</f>
        <v>3322438</v>
      </c>
      <c r="C25" s="315">
        <f t="shared" si="7"/>
        <v>3996342.361435893</v>
      </c>
      <c r="D25" s="316">
        <f t="shared" si="0"/>
        <v>673904.36143589299</v>
      </c>
      <c r="E25" s="317">
        <f t="shared" si="5"/>
        <v>673904.36143589299</v>
      </c>
      <c r="F25" s="318">
        <f t="shared" si="1"/>
        <v>0.20283429259955882</v>
      </c>
      <c r="G25" s="318">
        <f t="shared" si="2"/>
        <v>0.20283429259955882</v>
      </c>
      <c r="H25" s="287"/>
      <c r="I25" s="313">
        <f t="shared" si="3"/>
        <v>3322438</v>
      </c>
      <c r="J25" s="317">
        <f t="shared" si="6"/>
        <v>3996342.361435893</v>
      </c>
    </row>
    <row r="26" spans="1:13" ht="23">
      <c r="A26" s="301">
        <v>1976</v>
      </c>
      <c r="B26" s="310">
        <f>VLOOKUP($A26,Database!$A$74:$J$137,10)</f>
        <v>1161051</v>
      </c>
      <c r="C26" s="315">
        <f t="shared" si="7"/>
        <v>3765242.8746735854</v>
      </c>
      <c r="D26" s="316">
        <f t="shared" si="0"/>
        <v>2604191.8746735854</v>
      </c>
      <c r="E26" s="317">
        <f t="shared" si="5"/>
        <v>2604191.8746735854</v>
      </c>
      <c r="F26" s="318">
        <f t="shared" si="1"/>
        <v>2.2429607955839885</v>
      </c>
      <c r="G26" s="318">
        <f t="shared" si="2"/>
        <v>2.2429607955839885</v>
      </c>
      <c r="H26" s="287"/>
      <c r="I26" s="313">
        <f t="shared" si="3"/>
        <v>1161051</v>
      </c>
      <c r="J26" s="317">
        <f t="shared" si="6"/>
        <v>3765242.8746735854</v>
      </c>
    </row>
    <row r="27" spans="1:13" ht="23">
      <c r="A27" s="301">
        <v>1977</v>
      </c>
      <c r="B27" s="310">
        <f>VLOOKUP($A27,Database!$A$74:$J$137,10)</f>
        <v>5816401</v>
      </c>
      <c r="C27" s="315">
        <f t="shared" si="7"/>
        <v>2872197.1546765822</v>
      </c>
      <c r="D27" s="316">
        <f t="shared" si="0"/>
        <v>-2944203.8453234178</v>
      </c>
      <c r="E27" s="317">
        <f>ABS(C27-$B27)</f>
        <v>2944203.8453234178</v>
      </c>
      <c r="F27" s="318">
        <f t="shared" si="1"/>
        <v>-0.50618996959174889</v>
      </c>
      <c r="G27" s="318">
        <f t="shared" si="2"/>
        <v>0.50618996959174889</v>
      </c>
      <c r="H27" s="287"/>
      <c r="I27" s="313">
        <f t="shared" si="3"/>
        <v>5816401</v>
      </c>
      <c r="J27" s="317">
        <f t="shared" si="6"/>
        <v>2872197.1546765822</v>
      </c>
    </row>
    <row r="28" spans="1:13" ht="23">
      <c r="A28" s="301">
        <v>1978</v>
      </c>
      <c r="B28" s="310">
        <f>VLOOKUP($A28,Database!$A$74:$J$137,10)</f>
        <v>3925083</v>
      </c>
      <c r="C28" s="315">
        <f t="shared" si="7"/>
        <v>3881841.9003020786</v>
      </c>
      <c r="D28" s="316">
        <f t="shared" si="0"/>
        <v>-43241.099697921425</v>
      </c>
      <c r="E28" s="317">
        <f t="shared" ref="E28:E59" si="8">ABS(C28-$B28)</f>
        <v>43241.099697921425</v>
      </c>
      <c r="F28" s="318">
        <f t="shared" si="1"/>
        <v>-1.101660772470835E-2</v>
      </c>
      <c r="G28" s="318">
        <f t="shared" si="2"/>
        <v>1.101660772470835E-2</v>
      </c>
      <c r="H28" s="287"/>
      <c r="I28" s="313">
        <f t="shared" si="3"/>
        <v>3925083</v>
      </c>
      <c r="J28" s="317">
        <f t="shared" si="6"/>
        <v>3881841.9003020786</v>
      </c>
    </row>
    <row r="29" spans="1:13" ht="23">
      <c r="A29" s="301">
        <v>1979</v>
      </c>
      <c r="B29" s="310">
        <f>VLOOKUP($A29,Database!$A$74:$J$137,10)</f>
        <v>17335503</v>
      </c>
      <c r="C29" s="315">
        <f t="shared" si="7"/>
        <v>3896670.4079050496</v>
      </c>
      <c r="D29" s="316">
        <f t="shared" si="0"/>
        <v>-13438832.59209495</v>
      </c>
      <c r="E29" s="317">
        <f t="shared" si="8"/>
        <v>13438832.59209495</v>
      </c>
      <c r="F29" s="318">
        <f t="shared" si="1"/>
        <v>-0.77522022822729464</v>
      </c>
      <c r="G29" s="318">
        <f t="shared" si="2"/>
        <v>0.77522022822729464</v>
      </c>
      <c r="H29" s="287"/>
      <c r="I29" s="313">
        <f t="shared" si="3"/>
        <v>17335503</v>
      </c>
      <c r="J29" s="317">
        <f t="shared" si="6"/>
        <v>3896670.4079050496</v>
      </c>
    </row>
    <row r="30" spans="1:13" ht="23">
      <c r="A30" s="301">
        <v>1980</v>
      </c>
      <c r="B30" s="310">
        <f>VLOOKUP($A30,Database!$A$74:$J$137,10)</f>
        <v>14013916</v>
      </c>
      <c r="C30" s="315">
        <f t="shared" si="7"/>
        <v>8505198.6983294711</v>
      </c>
      <c r="D30" s="316">
        <f t="shared" si="0"/>
        <v>-5508717.3016705289</v>
      </c>
      <c r="E30" s="317">
        <f t="shared" si="8"/>
        <v>5508717.3016705289</v>
      </c>
      <c r="F30" s="318">
        <f t="shared" si="1"/>
        <v>-0.39308907671992105</v>
      </c>
      <c r="G30" s="318">
        <f t="shared" si="2"/>
        <v>0.39308907671992105</v>
      </c>
      <c r="H30" s="287"/>
      <c r="I30" s="313">
        <f t="shared" si="3"/>
        <v>14013916</v>
      </c>
      <c r="J30" s="317">
        <f t="shared" si="6"/>
        <v>8505198.6983294711</v>
      </c>
    </row>
    <row r="31" spans="1:13" ht="23">
      <c r="A31" s="301">
        <v>1981</v>
      </c>
      <c r="B31" s="310">
        <f>VLOOKUP($A31,Database!$A$74:$J$137,10)</f>
        <v>19568866</v>
      </c>
      <c r="C31" s="315">
        <f t="shared" si="7"/>
        <v>10394282.393265326</v>
      </c>
      <c r="D31" s="316">
        <f t="shared" si="0"/>
        <v>-9174583.6067346744</v>
      </c>
      <c r="E31" s="317">
        <f t="shared" si="8"/>
        <v>9174583.6067346744</v>
      </c>
      <c r="F31" s="318">
        <f t="shared" si="1"/>
        <v>-0.46883573155106045</v>
      </c>
      <c r="G31" s="318">
        <f t="shared" si="2"/>
        <v>0.46883573155106045</v>
      </c>
      <c r="H31" s="287"/>
      <c r="I31" s="313">
        <f t="shared" si="3"/>
        <v>19568866</v>
      </c>
      <c r="J31" s="317">
        <f t="shared" si="6"/>
        <v>10394282.393265326</v>
      </c>
    </row>
    <row r="32" spans="1:13" ht="27" customHeight="1">
      <c r="A32" s="301">
        <v>1982</v>
      </c>
      <c r="B32" s="310">
        <f>VLOOKUP($A32,Database!$A$74:$J$137,10)</f>
        <v>16794317</v>
      </c>
      <c r="C32" s="315">
        <f t="shared" si="7"/>
        <v>13540487.82552674</v>
      </c>
      <c r="D32" s="316">
        <f t="shared" si="0"/>
        <v>-3253829.1744732596</v>
      </c>
      <c r="E32" s="317">
        <f t="shared" si="8"/>
        <v>3253829.1744732596</v>
      </c>
      <c r="F32" s="318">
        <f t="shared" si="1"/>
        <v>-0.19374584715015558</v>
      </c>
      <c r="G32" s="318">
        <f t="shared" si="2"/>
        <v>0.19374584715015558</v>
      </c>
      <c r="H32" s="287"/>
      <c r="I32" s="313">
        <f t="shared" si="3"/>
        <v>16794317</v>
      </c>
      <c r="J32" s="317">
        <f t="shared" si="6"/>
        <v>13540487.82552674</v>
      </c>
      <c r="K32" s="58"/>
      <c r="L32" s="58"/>
      <c r="M32" s="58"/>
    </row>
    <row r="33" spans="1:13" ht="23">
      <c r="A33" s="301">
        <v>1983</v>
      </c>
      <c r="B33" s="310">
        <f>VLOOKUP($A33,Database!$A$74:$J$137,10)</f>
        <v>11567348</v>
      </c>
      <c r="C33" s="315">
        <f t="shared" si="7"/>
        <v>14656311.220156197</v>
      </c>
      <c r="D33" s="316">
        <f t="shared" si="0"/>
        <v>3088963.2201561965</v>
      </c>
      <c r="E33" s="317">
        <f t="shared" si="8"/>
        <v>3088963.2201561965</v>
      </c>
      <c r="F33" s="318">
        <f t="shared" si="1"/>
        <v>0.26704160885936834</v>
      </c>
      <c r="G33" s="318">
        <f t="shared" si="2"/>
        <v>0.26704160885936834</v>
      </c>
      <c r="H33" s="287"/>
      <c r="I33" s="313">
        <f t="shared" si="3"/>
        <v>11567348</v>
      </c>
      <c r="J33" s="317">
        <f t="shared" si="6"/>
        <v>14656311.220156197</v>
      </c>
      <c r="K33" s="58"/>
      <c r="L33" s="58"/>
      <c r="M33" s="58"/>
    </row>
    <row r="34" spans="1:13" ht="23">
      <c r="A34" s="301">
        <v>1984</v>
      </c>
      <c r="B34" s="310">
        <f>VLOOKUP($A34,Database!$A$74:$J$137,10)</f>
        <v>21201513</v>
      </c>
      <c r="C34" s="315">
        <f t="shared" si="7"/>
        <v>13597024.686849421</v>
      </c>
      <c r="D34" s="316">
        <f t="shared" si="0"/>
        <v>-7604488.3131505791</v>
      </c>
      <c r="E34" s="317">
        <f t="shared" si="8"/>
        <v>7604488.3131505791</v>
      </c>
      <c r="F34" s="318">
        <f t="shared" si="1"/>
        <v>-0.35867668091190374</v>
      </c>
      <c r="G34" s="318">
        <f t="shared" si="2"/>
        <v>0.35867668091190374</v>
      </c>
      <c r="H34" s="287"/>
      <c r="I34" s="313">
        <f t="shared" si="3"/>
        <v>21201513</v>
      </c>
      <c r="J34" s="317">
        <f t="shared" si="6"/>
        <v>13597024.686849421</v>
      </c>
      <c r="K34" s="58"/>
      <c r="L34" s="58"/>
      <c r="M34" s="58"/>
    </row>
    <row r="35" spans="1:13" ht="23">
      <c r="A35" s="301">
        <v>1985</v>
      </c>
      <c r="B35" s="310">
        <f>VLOOKUP($A35,Database!$A$74:$J$137,10)</f>
        <v>19938105</v>
      </c>
      <c r="C35" s="315">
        <f t="shared" si="7"/>
        <v>16204803.248357132</v>
      </c>
      <c r="D35" s="316">
        <f t="shared" si="0"/>
        <v>-3733301.7516428679</v>
      </c>
      <c r="E35" s="317">
        <f t="shared" si="8"/>
        <v>3733301.7516428679</v>
      </c>
      <c r="F35" s="318">
        <f t="shared" si="1"/>
        <v>-0.18724456269253612</v>
      </c>
      <c r="G35" s="318">
        <f t="shared" si="2"/>
        <v>0.18724456269253612</v>
      </c>
      <c r="H35" s="287"/>
      <c r="I35" s="313">
        <f t="shared" si="3"/>
        <v>19938105</v>
      </c>
      <c r="J35" s="317">
        <f t="shared" si="6"/>
        <v>16204803.248357132</v>
      </c>
      <c r="K35" s="58"/>
      <c r="L35" s="58"/>
      <c r="M35" s="58"/>
    </row>
    <row r="36" spans="1:13" ht="23">
      <c r="A36" s="301">
        <v>1986</v>
      </c>
      <c r="B36" s="310">
        <f>VLOOKUP($A36,Database!$A$74:$J$137,10)</f>
        <v>5563957</v>
      </c>
      <c r="C36" s="315">
        <f t="shared" si="7"/>
        <v>17485050.369618066</v>
      </c>
      <c r="D36" s="316">
        <f t="shared" si="0"/>
        <v>11921093.369618066</v>
      </c>
      <c r="E36" s="317">
        <f t="shared" si="8"/>
        <v>11921093.369618066</v>
      </c>
      <c r="F36" s="318">
        <f t="shared" si="1"/>
        <v>2.1425567037304685</v>
      </c>
      <c r="G36" s="318">
        <f t="shared" si="2"/>
        <v>2.1425567037304685</v>
      </c>
      <c r="H36" s="287"/>
      <c r="I36" s="313">
        <f t="shared" si="3"/>
        <v>5563957</v>
      </c>
      <c r="J36" s="317">
        <f t="shared" si="6"/>
        <v>17485050.369618066</v>
      </c>
      <c r="K36" s="58"/>
      <c r="L36" s="58"/>
      <c r="M36" s="58"/>
    </row>
    <row r="37" spans="1:13" ht="23">
      <c r="A37" s="301">
        <v>1987</v>
      </c>
      <c r="B37" s="310">
        <f>VLOOKUP($A37,Database!$A$74:$J$137,10)</f>
        <v>13066944</v>
      </c>
      <c r="C37" s="315">
        <f t="shared" si="7"/>
        <v>13396994.679498661</v>
      </c>
      <c r="D37" s="316">
        <f t="shared" si="0"/>
        <v>330050.67949866131</v>
      </c>
      <c r="E37" s="317">
        <f t="shared" si="8"/>
        <v>330050.67949866131</v>
      </c>
      <c r="F37" s="318">
        <f t="shared" si="1"/>
        <v>2.5258444476280093E-2</v>
      </c>
      <c r="G37" s="318">
        <f t="shared" si="2"/>
        <v>2.5258444476280093E-2</v>
      </c>
      <c r="H37" s="287"/>
      <c r="I37" s="313">
        <f t="shared" si="3"/>
        <v>13066944</v>
      </c>
      <c r="J37" s="317">
        <f t="shared" si="6"/>
        <v>13396994.679498661</v>
      </c>
      <c r="K37" s="58"/>
      <c r="L37" s="58"/>
      <c r="M37" s="58"/>
    </row>
    <row r="38" spans="1:13" ht="23">
      <c r="A38" s="301">
        <v>1988</v>
      </c>
      <c r="B38" s="310">
        <f>VLOOKUP($A38,Database!$A$74:$J$137,10)</f>
        <v>1766936</v>
      </c>
      <c r="C38" s="315">
        <f t="shared" si="7"/>
        <v>13283811.64196026</v>
      </c>
      <c r="D38" s="316">
        <f t="shared" si="0"/>
        <v>11516875.64196026</v>
      </c>
      <c r="E38" s="317">
        <f t="shared" si="8"/>
        <v>11516875.64196026</v>
      </c>
      <c r="F38" s="318">
        <f t="shared" si="1"/>
        <v>6.5179925260225948</v>
      </c>
      <c r="G38" s="318">
        <f t="shared" si="2"/>
        <v>6.5179925260225948</v>
      </c>
      <c r="H38" s="287"/>
      <c r="I38" s="313">
        <f t="shared" si="3"/>
        <v>1766936</v>
      </c>
      <c r="J38" s="317">
        <f t="shared" si="6"/>
        <v>13283811.64196026</v>
      </c>
      <c r="K38" s="58"/>
      <c r="L38" s="58"/>
      <c r="M38" s="58"/>
    </row>
    <row r="39" spans="1:13" ht="23">
      <c r="A39" s="301">
        <v>1989</v>
      </c>
      <c r="B39" s="310">
        <f>VLOOKUP($A39,Database!$A$74:$J$137,10)</f>
        <v>4743750</v>
      </c>
      <c r="C39" s="315">
        <f t="shared" si="7"/>
        <v>9334372.8161135651</v>
      </c>
      <c r="D39" s="316">
        <f t="shared" si="0"/>
        <v>4590622.8161135651</v>
      </c>
      <c r="E39" s="317">
        <f t="shared" si="8"/>
        <v>4590622.8161135651</v>
      </c>
      <c r="F39" s="318">
        <f t="shared" si="1"/>
        <v>0.96772022474067254</v>
      </c>
      <c r="G39" s="318">
        <f t="shared" si="2"/>
        <v>0.96772022474067254</v>
      </c>
      <c r="H39" s="287"/>
      <c r="I39" s="313">
        <f t="shared" si="3"/>
        <v>4743750</v>
      </c>
      <c r="J39" s="317">
        <f t="shared" si="6"/>
        <v>9334372.8161135651</v>
      </c>
      <c r="K39" s="58"/>
      <c r="L39" s="58"/>
      <c r="M39" s="58"/>
    </row>
    <row r="40" spans="1:13" ht="23">
      <c r="A40" s="301">
        <v>1990</v>
      </c>
      <c r="B40" s="310">
        <f>VLOOKUP($A40,Database!$A$74:$J$137,10)</f>
        <v>12923662</v>
      </c>
      <c r="C40" s="315">
        <f t="shared" si="7"/>
        <v>7760127.8083164087</v>
      </c>
      <c r="D40" s="316">
        <f t="shared" si="0"/>
        <v>-5163534.1916835913</v>
      </c>
      <c r="E40" s="317">
        <f t="shared" si="8"/>
        <v>5163534.1916835913</v>
      </c>
      <c r="F40" s="318">
        <f t="shared" si="1"/>
        <v>-0.39954110465621828</v>
      </c>
      <c r="G40" s="318">
        <f t="shared" si="2"/>
        <v>0.39954110465621828</v>
      </c>
      <c r="H40" s="287"/>
      <c r="I40" s="313">
        <f t="shared" si="3"/>
        <v>12923662</v>
      </c>
      <c r="J40" s="317">
        <f t="shared" si="6"/>
        <v>7760127.8083164087</v>
      </c>
      <c r="K40" s="58"/>
      <c r="L40" s="58"/>
      <c r="M40" s="58"/>
    </row>
    <row r="41" spans="1:13" ht="23">
      <c r="A41" s="301">
        <v>1991</v>
      </c>
      <c r="B41" s="310">
        <f>VLOOKUP($A41,Database!$A$74:$J$137,10)</f>
        <v>7544776</v>
      </c>
      <c r="C41" s="315">
        <f t="shared" si="7"/>
        <v>9530839.1582699157</v>
      </c>
      <c r="D41" s="316">
        <f t="shared" si="0"/>
        <v>1986063.1582699157</v>
      </c>
      <c r="E41" s="317">
        <f t="shared" si="8"/>
        <v>1986063.1582699157</v>
      </c>
      <c r="F41" s="318">
        <f t="shared" si="1"/>
        <v>0.26323686193863355</v>
      </c>
      <c r="G41" s="318">
        <f t="shared" si="2"/>
        <v>0.26323686193863355</v>
      </c>
      <c r="H41" s="287"/>
      <c r="I41" s="313">
        <f t="shared" si="3"/>
        <v>7544776</v>
      </c>
      <c r="J41" s="317">
        <f t="shared" si="6"/>
        <v>9530839.1582699157</v>
      </c>
      <c r="K41" s="58"/>
      <c r="L41" s="58"/>
      <c r="M41" s="58"/>
    </row>
    <row r="42" spans="1:13" ht="23">
      <c r="A42" s="301">
        <v>1992</v>
      </c>
      <c r="B42" s="310">
        <f>VLOOKUP($A42,Database!$A$74:$J$137,10)</f>
        <v>1405383</v>
      </c>
      <c r="C42" s="315">
        <f t="shared" si="7"/>
        <v>8849765.9929683041</v>
      </c>
      <c r="D42" s="316">
        <f t="shared" si="0"/>
        <v>7444382.9929683041</v>
      </c>
      <c r="E42" s="317">
        <f t="shared" si="8"/>
        <v>7444382.9929683041</v>
      </c>
      <c r="F42" s="318">
        <f t="shared" si="1"/>
        <v>5.2970492691090643</v>
      </c>
      <c r="G42" s="318">
        <f t="shared" si="2"/>
        <v>5.2970492691090643</v>
      </c>
      <c r="H42" s="287"/>
      <c r="I42" s="313">
        <f t="shared" si="3"/>
        <v>1405383</v>
      </c>
      <c r="J42" s="317">
        <f t="shared" si="6"/>
        <v>8849765.9929683041</v>
      </c>
      <c r="K42" s="58"/>
      <c r="L42" s="58"/>
      <c r="M42" s="58"/>
    </row>
    <row r="43" spans="1:13" ht="23">
      <c r="A43" s="301">
        <v>1993</v>
      </c>
      <c r="B43" s="310">
        <f>VLOOKUP($A43,Database!$A$74:$J$137,10)</f>
        <v>1542942</v>
      </c>
      <c r="C43" s="315">
        <f t="shared" si="7"/>
        <v>6296891.7464337163</v>
      </c>
      <c r="D43" s="316">
        <f t="shared" si="0"/>
        <v>4753949.7464337163</v>
      </c>
      <c r="E43" s="317">
        <f t="shared" si="8"/>
        <v>4753949.7464337163</v>
      </c>
      <c r="F43" s="318">
        <f t="shared" si="1"/>
        <v>3.0810942643558321</v>
      </c>
      <c r="G43" s="318">
        <f t="shared" si="2"/>
        <v>3.0810942643558321</v>
      </c>
      <c r="H43" s="287"/>
      <c r="I43" s="313">
        <f t="shared" si="3"/>
        <v>1542942</v>
      </c>
      <c r="J43" s="317">
        <f t="shared" si="6"/>
        <v>6296891.7464337163</v>
      </c>
      <c r="K43" s="58"/>
      <c r="L43" s="58"/>
      <c r="M43" s="58"/>
    </row>
    <row r="44" spans="1:13" ht="23">
      <c r="A44" s="301">
        <v>1994</v>
      </c>
      <c r="B44" s="310">
        <f>VLOOKUP($A44,Database!$A$74:$J$137,10)</f>
        <v>4666639</v>
      </c>
      <c r="C44" s="315">
        <f t="shared" si="7"/>
        <v>4666637.6490217857</v>
      </c>
      <c r="D44" s="316">
        <f t="shared" si="0"/>
        <v>-1.3509782142937183</v>
      </c>
      <c r="E44" s="317">
        <f t="shared" si="8"/>
        <v>1.3509782142937183</v>
      </c>
      <c r="F44" s="318">
        <f t="shared" si="1"/>
        <v>-2.8949704793829527E-7</v>
      </c>
      <c r="G44" s="318">
        <f t="shared" si="2"/>
        <v>2.8949704793829527E-7</v>
      </c>
      <c r="H44" s="287"/>
      <c r="I44" s="313">
        <f t="shared" si="3"/>
        <v>4666639</v>
      </c>
      <c r="J44" s="317">
        <f t="shared" si="6"/>
        <v>4666637.6490217857</v>
      </c>
      <c r="K44" s="58"/>
      <c r="L44" s="58"/>
      <c r="M44" s="58"/>
    </row>
    <row r="45" spans="1:13" ht="23">
      <c r="A45" s="301">
        <v>1995</v>
      </c>
      <c r="B45" s="310">
        <f>VLOOKUP($A45,Database!$A$74:$J$137,10)</f>
        <v>3934208</v>
      </c>
      <c r="C45" s="315">
        <f t="shared" si="7"/>
        <v>4666638.1123076612</v>
      </c>
      <c r="D45" s="316">
        <f t="shared" si="0"/>
        <v>732430.11230766121</v>
      </c>
      <c r="E45" s="317">
        <f>ABS(C45-$B45)</f>
        <v>732430.11230766121</v>
      </c>
      <c r="F45" s="318">
        <f t="shared" si="1"/>
        <v>0.18616964642125206</v>
      </c>
      <c r="G45" s="318">
        <f t="shared" si="2"/>
        <v>0.18616964642125206</v>
      </c>
      <c r="H45" s="287"/>
      <c r="I45" s="313">
        <f t="shared" si="3"/>
        <v>3934208</v>
      </c>
      <c r="J45" s="317">
        <f t="shared" si="6"/>
        <v>4666638.1123076612</v>
      </c>
      <c r="K45" s="58"/>
      <c r="L45" s="58"/>
      <c r="M45" s="58"/>
    </row>
    <row r="46" spans="1:13" ht="23">
      <c r="A46" s="301">
        <v>1996</v>
      </c>
      <c r="B46" s="310">
        <f>VLOOKUP($A46,Database!$A$74:$J$137,10)</f>
        <v>4500085</v>
      </c>
      <c r="C46" s="315">
        <f t="shared" si="7"/>
        <v>4415468.6100315414</v>
      </c>
      <c r="D46" s="316">
        <f t="shared" si="0"/>
        <v>-84616.389968458563</v>
      </c>
      <c r="E46" s="317">
        <f t="shared" si="8"/>
        <v>84616.389968458563</v>
      </c>
      <c r="F46" s="318">
        <f t="shared" si="1"/>
        <v>-1.8803287042013332E-2</v>
      </c>
      <c r="G46" s="318">
        <f t="shared" si="2"/>
        <v>1.8803287042013332E-2</v>
      </c>
      <c r="H46" s="287"/>
      <c r="I46" s="313">
        <f t="shared" si="3"/>
        <v>4500085</v>
      </c>
      <c r="J46" s="317">
        <f t="shared" si="6"/>
        <v>4415468.6100315414</v>
      </c>
      <c r="K46" s="58"/>
      <c r="L46" s="58"/>
      <c r="M46" s="58"/>
    </row>
    <row r="47" spans="1:13" ht="23">
      <c r="A47" s="301">
        <v>1997</v>
      </c>
      <c r="B47" s="310">
        <f>VLOOKUP($A47,Database!$A$74:$J$137,10)</f>
        <v>2588682</v>
      </c>
      <c r="C47" s="315">
        <f t="shared" si="7"/>
        <v>4444485.7902315985</v>
      </c>
      <c r="D47" s="316">
        <f t="shared" si="0"/>
        <v>1855803.7902315985</v>
      </c>
      <c r="E47" s="317">
        <f t="shared" si="8"/>
        <v>1855803.7902315985</v>
      </c>
      <c r="F47" s="318">
        <f t="shared" si="1"/>
        <v>0.71689137183771456</v>
      </c>
      <c r="G47" s="318">
        <f t="shared" si="2"/>
        <v>0.71689137183771456</v>
      </c>
      <c r="H47" s="287"/>
      <c r="I47" s="313">
        <f t="shared" si="3"/>
        <v>2588682</v>
      </c>
      <c r="J47" s="317">
        <f t="shared" si="6"/>
        <v>4444485.7902315985</v>
      </c>
      <c r="K47" s="58"/>
      <c r="L47" s="58"/>
      <c r="M47" s="58"/>
    </row>
    <row r="48" spans="1:13" ht="23">
      <c r="A48" s="301">
        <v>1998</v>
      </c>
      <c r="B48" s="310">
        <f>VLOOKUP($A48,Database!$A$74:$J$137,10)</f>
        <v>5274275.5</v>
      </c>
      <c r="C48" s="315">
        <f t="shared" si="7"/>
        <v>3808081.9798448244</v>
      </c>
      <c r="D48" s="316">
        <f t="shared" si="0"/>
        <v>-1466193.5201551756</v>
      </c>
      <c r="E48" s="317">
        <f t="shared" si="8"/>
        <v>1466193.5201551756</v>
      </c>
      <c r="F48" s="318">
        <f t="shared" si="1"/>
        <v>-0.27798955897453131</v>
      </c>
      <c r="G48" s="318">
        <f t="shared" si="2"/>
        <v>0.27798955897453131</v>
      </c>
      <c r="H48" s="287"/>
      <c r="I48" s="313">
        <f t="shared" si="3"/>
        <v>5274275.5</v>
      </c>
      <c r="J48" s="317">
        <f t="shared" si="6"/>
        <v>3808081.9798448244</v>
      </c>
    </row>
    <row r="49" spans="1:10" ht="23">
      <c r="A49" s="301">
        <v>1999</v>
      </c>
      <c r="B49" s="310">
        <f>VLOOKUP($A49,Database!$A$74:$J$137,10)</f>
        <v>9405198</v>
      </c>
      <c r="C49" s="315">
        <f t="shared" si="7"/>
        <v>4310878.2064193506</v>
      </c>
      <c r="D49" s="316">
        <f t="shared" si="0"/>
        <v>-5094319.7935806494</v>
      </c>
      <c r="E49" s="317">
        <f t="shared" si="8"/>
        <v>5094319.7935806494</v>
      </c>
      <c r="F49" s="318">
        <f t="shared" si="1"/>
        <v>-0.54164939362049047</v>
      </c>
      <c r="G49" s="318">
        <f t="shared" si="2"/>
        <v>0.54164939362049047</v>
      </c>
      <c r="H49" s="287"/>
      <c r="I49" s="313">
        <f t="shared" si="3"/>
        <v>9405198</v>
      </c>
      <c r="J49" s="317">
        <f t="shared" si="6"/>
        <v>4310878.2064193506</v>
      </c>
    </row>
    <row r="50" spans="1:10" ht="23">
      <c r="A50" s="301">
        <v>2000</v>
      </c>
      <c r="B50" s="310">
        <f>VLOOKUP($A50,Database!$A$74:$J$137,10)</f>
        <v>7389941</v>
      </c>
      <c r="C50" s="315">
        <f t="shared" si="7"/>
        <v>6057854.1232854817</v>
      </c>
      <c r="D50" s="316">
        <f t="shared" si="0"/>
        <v>-1332086.8767145183</v>
      </c>
      <c r="E50" s="317">
        <f t="shared" si="8"/>
        <v>1332086.8767145183</v>
      </c>
      <c r="F50" s="318">
        <f t="shared" si="1"/>
        <v>-0.18025676750525049</v>
      </c>
      <c r="G50" s="318">
        <f t="shared" si="2"/>
        <v>0.18025676750525049</v>
      </c>
      <c r="H50" s="287"/>
      <c r="I50" s="313">
        <f t="shared" si="3"/>
        <v>7389941</v>
      </c>
      <c r="J50" s="317">
        <f t="shared" si="6"/>
        <v>6057854.1232854817</v>
      </c>
    </row>
    <row r="51" spans="1:10" ht="23">
      <c r="A51" s="301">
        <v>2001</v>
      </c>
      <c r="B51" s="310">
        <f>VLOOKUP($A51,Database!$A$74:$J$137,10)</f>
        <v>8854676.9808041956</v>
      </c>
      <c r="C51" s="315">
        <f t="shared" si="7"/>
        <v>6514661.663268758</v>
      </c>
      <c r="D51" s="316">
        <f t="shared" si="0"/>
        <v>-2340015.3175354376</v>
      </c>
      <c r="E51" s="317">
        <f t="shared" si="8"/>
        <v>2340015.3175354376</v>
      </c>
      <c r="F51" s="318">
        <f t="shared" si="1"/>
        <v>-0.26426885165978281</v>
      </c>
      <c r="G51" s="318">
        <f t="shared" si="2"/>
        <v>0.26426885165978281</v>
      </c>
      <c r="H51" s="287"/>
      <c r="I51" s="313">
        <f t="shared" si="3"/>
        <v>8854676.9808041956</v>
      </c>
      <c r="J51" s="317">
        <f t="shared" si="6"/>
        <v>6514661.663268758</v>
      </c>
    </row>
    <row r="52" spans="1:10" ht="23">
      <c r="A52" s="301">
        <v>2002</v>
      </c>
      <c r="B52" s="310">
        <f>VLOOKUP($A52,Database!$A$74:$J$137,10)</f>
        <v>1264645.3102025923</v>
      </c>
      <c r="C52" s="315">
        <f t="shared" si="7"/>
        <v>7317114.3106238544</v>
      </c>
      <c r="D52" s="316">
        <f t="shared" si="0"/>
        <v>6052469.0004212623</v>
      </c>
      <c r="E52" s="317">
        <f>ABS(C52-$B52)</f>
        <v>6052469.0004212623</v>
      </c>
      <c r="F52" s="318">
        <f t="shared" si="1"/>
        <v>4.7859023803691452</v>
      </c>
      <c r="G52" s="318">
        <f t="shared" si="2"/>
        <v>4.7859023803691452</v>
      </c>
      <c r="H52" s="287"/>
      <c r="I52" s="313">
        <f t="shared" si="3"/>
        <v>1264645.3102025923</v>
      </c>
      <c r="J52" s="317">
        <f t="shared" si="6"/>
        <v>7317114.3106238544</v>
      </c>
    </row>
    <row r="53" spans="1:10" ht="23">
      <c r="A53" s="301">
        <v>2003</v>
      </c>
      <c r="B53" s="310">
        <f>VLOOKUP($A53,Database!$A$74:$J$137,10)</f>
        <v>7344511.9398193061</v>
      </c>
      <c r="C53" s="315">
        <f t="shared" si="7"/>
        <v>5241563.8917753054</v>
      </c>
      <c r="D53" s="316">
        <f t="shared" si="0"/>
        <v>-2102948.0480440008</v>
      </c>
      <c r="E53" s="317">
        <f t="shared" si="8"/>
        <v>2102948.0480440008</v>
      </c>
      <c r="F53" s="318">
        <f t="shared" si="1"/>
        <v>-0.28632917548170517</v>
      </c>
      <c r="G53" s="318">
        <f t="shared" si="2"/>
        <v>0.28632917548170517</v>
      </c>
      <c r="H53" s="287"/>
      <c r="I53" s="313">
        <f t="shared" si="3"/>
        <v>7344511.9398193061</v>
      </c>
      <c r="J53" s="317">
        <f t="shared" si="6"/>
        <v>5241563.8917753054</v>
      </c>
    </row>
    <row r="54" spans="1:10" ht="23">
      <c r="A54" s="301">
        <v>2004</v>
      </c>
      <c r="B54" s="310">
        <f>VLOOKUP($A54,Database!$A$74:$J$137,10)</f>
        <v>4939431.0563474381</v>
      </c>
      <c r="C54" s="315">
        <f t="shared" si="7"/>
        <v>5962719.952488821</v>
      </c>
      <c r="D54" s="316">
        <f t="shared" si="0"/>
        <v>1023288.8961413829</v>
      </c>
      <c r="E54" s="317">
        <f t="shared" si="8"/>
        <v>1023288.8961413829</v>
      </c>
      <c r="F54" s="318">
        <f t="shared" si="1"/>
        <v>0.20716736086971005</v>
      </c>
      <c r="G54" s="318">
        <f t="shared" si="2"/>
        <v>0.20716736086971005</v>
      </c>
      <c r="H54" s="287"/>
      <c r="I54" s="313">
        <f t="shared" si="3"/>
        <v>4939431.0563474381</v>
      </c>
      <c r="J54" s="317">
        <f t="shared" si="6"/>
        <v>5962719.952488821</v>
      </c>
    </row>
    <row r="55" spans="1:10" ht="23">
      <c r="A55" s="301">
        <v>2005</v>
      </c>
      <c r="B55" s="310">
        <f>VLOOKUP($A55,Database!$A$74:$J$137,10)</f>
        <v>17032487.685321052</v>
      </c>
      <c r="C55" s="315">
        <f t="shared" si="7"/>
        <v>5611807.3419754105</v>
      </c>
      <c r="D55" s="316">
        <f t="shared" si="0"/>
        <v>-11420680.343345642</v>
      </c>
      <c r="E55" s="317">
        <f t="shared" si="8"/>
        <v>11420680.343345642</v>
      </c>
      <c r="F55" s="318">
        <f t="shared" si="1"/>
        <v>-0.67052332896669109</v>
      </c>
      <c r="G55" s="318">
        <f t="shared" si="2"/>
        <v>0.67052332896669109</v>
      </c>
      <c r="H55" s="287"/>
      <c r="I55" s="313">
        <f t="shared" si="3"/>
        <v>17032487.685321052</v>
      </c>
      <c r="J55" s="317">
        <f t="shared" si="6"/>
        <v>5611807.3419754105</v>
      </c>
    </row>
    <row r="56" spans="1:10" ht="23">
      <c r="A56" s="301">
        <v>2006</v>
      </c>
      <c r="B56" s="310">
        <f>VLOOKUP($A56,Database!$A$74:$J$137,10)</f>
        <v>3314702.7753436686</v>
      </c>
      <c r="C56" s="315">
        <f t="shared" si="7"/>
        <v>9528258.2760515008</v>
      </c>
      <c r="D56" s="316">
        <f t="shared" si="0"/>
        <v>6213555.5007078322</v>
      </c>
      <c r="E56" s="317">
        <f t="shared" si="8"/>
        <v>6213555.5007078322</v>
      </c>
      <c r="F56" s="318">
        <f t="shared" si="1"/>
        <v>1.8745437892432484</v>
      </c>
      <c r="G56" s="318">
        <f t="shared" si="2"/>
        <v>1.8745437892432484</v>
      </c>
      <c r="H56" s="287"/>
      <c r="I56" s="313">
        <f t="shared" si="3"/>
        <v>3314702.7753436686</v>
      </c>
      <c r="J56" s="317">
        <f t="shared" si="6"/>
        <v>9528258.2760515008</v>
      </c>
    </row>
    <row r="57" spans="1:10" ht="23">
      <c r="A57" s="301">
        <v>2007</v>
      </c>
      <c r="B57" s="310">
        <f>VLOOKUP($A57,Database!$A$74:$J$137,10)</f>
        <v>11526987.795003444</v>
      </c>
      <c r="C57" s="315">
        <f t="shared" si="7"/>
        <v>7397467.0698288465</v>
      </c>
      <c r="D57" s="316">
        <f t="shared" si="0"/>
        <v>-4129520.7251745975</v>
      </c>
      <c r="E57" s="317">
        <f t="shared" si="8"/>
        <v>4129520.7251745975</v>
      </c>
      <c r="F57" s="318">
        <f t="shared" si="1"/>
        <v>-0.35824803483912804</v>
      </c>
      <c r="G57" s="318">
        <f t="shared" si="2"/>
        <v>0.35824803483912804</v>
      </c>
      <c r="H57" s="287"/>
      <c r="I57" s="313">
        <f t="shared" si="3"/>
        <v>11526987.795003444</v>
      </c>
      <c r="J57" s="317">
        <f t="shared" si="6"/>
        <v>7397467.0698288465</v>
      </c>
    </row>
    <row r="58" spans="1:10" ht="23">
      <c r="A58" s="301">
        <v>2008</v>
      </c>
      <c r="B58" s="310">
        <f>VLOOKUP($A58,Database!$A$74:$J$137,10)</f>
        <v>2290691.6775990888</v>
      </c>
      <c r="C58" s="315">
        <f t="shared" si="7"/>
        <v>8813588.0727093816</v>
      </c>
      <c r="D58" s="316">
        <f t="shared" si="0"/>
        <v>6522896.3951102924</v>
      </c>
      <c r="E58" s="317">
        <f t="shared" si="8"/>
        <v>6522896.3951102924</v>
      </c>
      <c r="F58" s="318">
        <f t="shared" si="1"/>
        <v>2.8475662870295344</v>
      </c>
      <c r="G58" s="318">
        <f t="shared" si="2"/>
        <v>2.8475662870295344</v>
      </c>
      <c r="H58" s="287"/>
      <c r="I58" s="313">
        <f t="shared" si="3"/>
        <v>2290691.6775990888</v>
      </c>
      <c r="J58" s="317">
        <f t="shared" si="6"/>
        <v>8813588.0727093816</v>
      </c>
    </row>
    <row r="59" spans="1:10" ht="23">
      <c r="A59" s="301">
        <v>2009</v>
      </c>
      <c r="B59" s="310">
        <f>VLOOKUP($A59,Database!$A$74:$J$137,10)</f>
        <v>2824330.6070667375</v>
      </c>
      <c r="C59" s="315">
        <f t="shared" si="7"/>
        <v>6576715.7576203579</v>
      </c>
      <c r="D59" s="316">
        <f t="shared" si="0"/>
        <v>3752385.1505536204</v>
      </c>
      <c r="E59" s="317">
        <f t="shared" si="8"/>
        <v>3752385.1505536204</v>
      </c>
      <c r="F59" s="318">
        <f t="shared" si="1"/>
        <v>1.3285927437690206</v>
      </c>
      <c r="G59" s="318">
        <f t="shared" si="2"/>
        <v>1.3285927437690206</v>
      </c>
      <c r="H59" s="287"/>
      <c r="I59" s="313">
        <f t="shared" si="3"/>
        <v>2824330.6070667375</v>
      </c>
      <c r="J59" s="317">
        <f t="shared" si="6"/>
        <v>6576715.7576203579</v>
      </c>
    </row>
    <row r="60" spans="1:10" ht="23">
      <c r="A60" s="301">
        <v>2010</v>
      </c>
      <c r="B60" s="310">
        <f>VLOOKUP($A60,Database!$A$74:$J$137,10)</f>
        <v>4399390.7272172375</v>
      </c>
      <c r="C60" s="315">
        <f t="shared" si="7"/>
        <v>5289924.4381818669</v>
      </c>
      <c r="D60" s="316">
        <f>C60-B60</f>
        <v>890533.71096462943</v>
      </c>
      <c r="E60" s="317">
        <f>ABS(C60-$B60)</f>
        <v>890533.71096462943</v>
      </c>
      <c r="F60" s="318">
        <f>($C60-$B60)/$B60</f>
        <v>0.2024220548211961</v>
      </c>
      <c r="G60" s="318">
        <f>ABS($C60-B60)/$B60</f>
        <v>0.2024220548211961</v>
      </c>
      <c r="H60" s="287"/>
      <c r="I60" s="313">
        <f>B60</f>
        <v>4399390.7272172375</v>
      </c>
      <c r="J60" s="317">
        <f t="shared" si="6"/>
        <v>5289924.4381818669</v>
      </c>
    </row>
    <row r="61" spans="1:10" ht="23">
      <c r="A61" s="301">
        <v>2011</v>
      </c>
      <c r="B61" s="310">
        <f>VLOOKUP($A61,Database!$A$74:$J$137,10)</f>
        <v>9643099</v>
      </c>
      <c r="C61" s="315">
        <f t="shared" si="7"/>
        <v>4984537.0637628082</v>
      </c>
      <c r="D61" s="316">
        <f>C61-B61</f>
        <v>-4658561.9362371918</v>
      </c>
      <c r="E61" s="317">
        <f>ABS(C61-$B61)</f>
        <v>4658561.9362371918</v>
      </c>
      <c r="F61" s="318">
        <f>($C61-$B61)/$B61</f>
        <v>-0.48309800990710472</v>
      </c>
      <c r="G61" s="318">
        <f>ABS($C61-B61)/$B61</f>
        <v>0.48309800990710472</v>
      </c>
      <c r="H61" s="287"/>
      <c r="I61" s="313">
        <f>B61</f>
        <v>9643099</v>
      </c>
      <c r="J61" s="317">
        <f>C61</f>
        <v>4984537.0637628082</v>
      </c>
    </row>
    <row r="62" spans="1:10" ht="23">
      <c r="A62" s="301">
        <v>2012</v>
      </c>
      <c r="B62" s="310">
        <f>VLOOKUP($A62,Database!$A$74:$J$137,10)</f>
        <v>4428267.5450134957</v>
      </c>
      <c r="C62" s="315">
        <f t="shared" si="7"/>
        <v>6582080.1783687696</v>
      </c>
      <c r="D62" s="316">
        <f>C62-B62</f>
        <v>2153812.6333552739</v>
      </c>
      <c r="E62" s="317">
        <f>ABS(C62-$B62)</f>
        <v>2153812.6333552739</v>
      </c>
      <c r="F62" s="318">
        <f>($C62-$B62)/$B62</f>
        <v>0.4863781628959164</v>
      </c>
      <c r="G62" s="318">
        <f>ABS($C62-B62)/$B62</f>
        <v>0.4863781628959164</v>
      </c>
      <c r="H62" s="287"/>
      <c r="I62" s="313">
        <f>B62</f>
        <v>4428267.5450134957</v>
      </c>
      <c r="J62" s="317">
        <f>C62</f>
        <v>6582080.1783687696</v>
      </c>
    </row>
    <row r="63" spans="1:10" ht="23">
      <c r="A63" s="301">
        <v>2013</v>
      </c>
      <c r="B63" s="310">
        <f>VLOOKUP($A63,Database!$A$74:$J$137,10)</f>
        <v>21965453</v>
      </c>
      <c r="C63" s="315">
        <f t="shared" si="7"/>
        <v>5843481.3168181041</v>
      </c>
      <c r="D63" s="316">
        <f>C63-B63</f>
        <v>-16121971.683181897</v>
      </c>
      <c r="E63" s="317">
        <f>ABS(C63-$B63)</f>
        <v>16121971.683181897</v>
      </c>
      <c r="F63" s="318">
        <f>($C63-$B63)/$B63</f>
        <v>-0.73396946027846077</v>
      </c>
      <c r="G63" s="318">
        <f>ABS($C63-B63)/$B63</f>
        <v>0.73396946027846077</v>
      </c>
      <c r="H63" s="287"/>
      <c r="I63" s="313">
        <f>B63</f>
        <v>21965453</v>
      </c>
      <c r="J63" s="317">
        <f>C63</f>
        <v>5843481.3168181041</v>
      </c>
    </row>
    <row r="64" spans="1:10" ht="23">
      <c r="A64" s="301">
        <v>2014</v>
      </c>
      <c r="B64" s="310">
        <f>VLOOKUP($A64,Database!$A$74:$J$137,10)</f>
        <v>2702397</v>
      </c>
      <c r="C64" s="315">
        <f>($J$3*$B63)+($J$4*C63)+($J$5*C62)+($J$6*C61)</f>
        <v>11372128.39908546</v>
      </c>
      <c r="D64" s="316">
        <f>C64-B64</f>
        <v>8669731.3990854602</v>
      </c>
      <c r="E64" s="317">
        <f>ABS(C64-$B64)</f>
        <v>8669731.3990854602</v>
      </c>
      <c r="F64" s="318">
        <f>($C64-$B64)/$B64</f>
        <v>3.2081634930343172</v>
      </c>
      <c r="G64" s="318">
        <f>ABS($C64-B64)/$B64</f>
        <v>3.2081634930343172</v>
      </c>
      <c r="H64" s="287"/>
      <c r="I64" s="313">
        <f>B64</f>
        <v>2702397</v>
      </c>
      <c r="J64" s="317">
        <f>C64</f>
        <v>11372128.39908546</v>
      </c>
    </row>
    <row r="65" spans="1:12" ht="23">
      <c r="A65" s="301">
        <v>2015</v>
      </c>
      <c r="B65" s="321"/>
      <c r="C65" s="315">
        <f t="shared" si="7"/>
        <v>8399050.0346322432</v>
      </c>
      <c r="D65" s="323"/>
      <c r="E65" s="323"/>
      <c r="F65" s="323"/>
      <c r="G65" s="318"/>
      <c r="H65" s="287"/>
      <c r="I65" s="320"/>
      <c r="J65" s="324"/>
    </row>
    <row r="66" spans="1:12" ht="23">
      <c r="A66" s="319"/>
      <c r="B66" s="321"/>
      <c r="C66" s="322"/>
      <c r="D66" s="323"/>
      <c r="E66" s="323"/>
      <c r="F66" s="323"/>
      <c r="G66" s="318"/>
      <c r="H66" s="287"/>
      <c r="I66" s="320"/>
      <c r="J66" s="324"/>
    </row>
    <row r="67" spans="1:12" ht="23">
      <c r="A67" s="319"/>
      <c r="B67" s="321"/>
      <c r="C67" s="322"/>
      <c r="D67" s="323"/>
      <c r="E67" s="323"/>
      <c r="F67" s="323"/>
      <c r="G67" s="318"/>
      <c r="H67" s="287"/>
      <c r="I67" s="320"/>
      <c r="J67" s="324"/>
    </row>
    <row r="68" spans="1:12" ht="23">
      <c r="A68" s="319"/>
      <c r="B68" s="321"/>
      <c r="C68" s="322"/>
      <c r="D68" s="323"/>
      <c r="E68" s="323"/>
      <c r="F68" s="323"/>
      <c r="G68" s="318"/>
      <c r="H68" s="287"/>
      <c r="I68" s="320"/>
      <c r="J68" s="324"/>
    </row>
    <row r="69" spans="1:12" ht="23">
      <c r="A69" s="298" t="s">
        <v>121</v>
      </c>
      <c r="B69" s="325">
        <f>COUNT(B12:B68)</f>
        <v>53</v>
      </c>
      <c r="C69" s="325">
        <f>COUNT(C12:C68)</f>
        <v>53</v>
      </c>
      <c r="D69" s="325">
        <f t="shared" ref="D69:G69" si="9">COUNT(D12:D68)</f>
        <v>52</v>
      </c>
      <c r="E69" s="325">
        <f t="shared" si="9"/>
        <v>52</v>
      </c>
      <c r="F69" s="325">
        <f t="shared" si="9"/>
        <v>52</v>
      </c>
      <c r="G69" s="325">
        <f t="shared" si="9"/>
        <v>52</v>
      </c>
      <c r="H69" s="326"/>
      <c r="I69" s="287"/>
      <c r="J69" s="287"/>
    </row>
    <row r="70" spans="1:12" ht="25">
      <c r="A70" s="304" t="s">
        <v>235</v>
      </c>
      <c r="B70" s="331"/>
      <c r="C70" s="365">
        <f>VLOOKUP(Forecast_Year,A12:C68,3)</f>
        <v>8399050.0346322432</v>
      </c>
      <c r="D70" s="331"/>
      <c r="E70" s="331"/>
      <c r="F70" s="331"/>
      <c r="G70" s="331"/>
      <c r="H70" s="326"/>
      <c r="I70" s="287"/>
      <c r="J70" s="287"/>
    </row>
    <row r="71" spans="1:12" ht="23">
      <c r="A71" s="304" t="s">
        <v>158</v>
      </c>
      <c r="B71" s="327"/>
      <c r="C71" s="327"/>
      <c r="D71" s="328">
        <f>SUM(D14:D68)</f>
        <v>-3747533.1982476655</v>
      </c>
      <c r="E71" s="327"/>
      <c r="F71" s="329">
        <f>SUM(F14:F68)</f>
        <v>42.687183733410897</v>
      </c>
      <c r="G71" s="327"/>
      <c r="H71" s="330"/>
      <c r="I71" s="287"/>
      <c r="J71" s="287"/>
    </row>
    <row r="72" spans="1:12" ht="26" thickBot="1">
      <c r="A72" s="304" t="s">
        <v>56</v>
      </c>
      <c r="B72" s="331">
        <f t="shared" ref="B72:F72" si="10">AVERAGE(B12:B68)</f>
        <v>7307170.2754667597</v>
      </c>
      <c r="C72" s="331">
        <f t="shared" si="10"/>
        <v>7269441.9516249588</v>
      </c>
      <c r="D72" s="331">
        <f t="shared" si="10"/>
        <v>-31506.253812455107</v>
      </c>
      <c r="E72" s="365">
        <f t="shared" si="10"/>
        <v>4171008.6329883989</v>
      </c>
      <c r="F72" s="332">
        <f t="shared" si="10"/>
        <v>0.82700585681348948</v>
      </c>
      <c r="G72" s="364">
        <f>AVERAGE(G12:G68)</f>
        <v>1.1469751983981153</v>
      </c>
      <c r="H72" s="333"/>
      <c r="I72" s="287"/>
      <c r="J72" s="287"/>
    </row>
    <row r="73" spans="1:12" ht="34" thickBot="1">
      <c r="A73" s="304" t="s">
        <v>141</v>
      </c>
      <c r="B73" s="331">
        <f t="shared" ref="B73:G73" si="11">MEDIAN(B12:B68)</f>
        <v>5233149</v>
      </c>
      <c r="C73" s="331">
        <f t="shared" si="11"/>
        <v>6057854.1232854817</v>
      </c>
      <c r="D73" s="331">
        <f t="shared" si="11"/>
        <v>761185.7471804088</v>
      </c>
      <c r="E73" s="331">
        <f t="shared" si="11"/>
        <v>3326183.5072366302</v>
      </c>
      <c r="F73" s="332">
        <f t="shared" si="11"/>
        <v>0.19429585062122406</v>
      </c>
      <c r="G73" s="332">
        <f t="shared" si="11"/>
        <v>0.4341884181036394</v>
      </c>
      <c r="H73" s="333"/>
      <c r="I73" s="287"/>
      <c r="J73" s="287"/>
      <c r="K73" s="277">
        <f>Forecast_Year</f>
        <v>2018</v>
      </c>
      <c r="L73" s="34" t="s">
        <v>218</v>
      </c>
    </row>
    <row r="74" spans="1:12" ht="23">
      <c r="A74" s="304" t="s">
        <v>156</v>
      </c>
      <c r="B74" s="331">
        <f t="shared" ref="B74:G74" si="12">MIN(B12:B68)</f>
        <v>695963</v>
      </c>
      <c r="C74" s="331">
        <f t="shared" si="12"/>
        <v>2872197.1546765822</v>
      </c>
      <c r="D74" s="331">
        <f t="shared" si="12"/>
        <v>-16121971.683181897</v>
      </c>
      <c r="E74" s="331">
        <f t="shared" si="12"/>
        <v>1.3509782142937183</v>
      </c>
      <c r="F74" s="332">
        <f t="shared" si="12"/>
        <v>-0.77522022822729464</v>
      </c>
      <c r="G74" s="332">
        <f t="shared" si="12"/>
        <v>2.8949704793829527E-7</v>
      </c>
      <c r="H74" s="333"/>
      <c r="I74" s="287"/>
      <c r="J74" s="287"/>
    </row>
    <row r="75" spans="1:12" ht="23">
      <c r="A75" s="304" t="s">
        <v>157</v>
      </c>
      <c r="B75" s="331">
        <f t="shared" ref="B75:G75" si="13">MAX(B12:B68)</f>
        <v>21965453</v>
      </c>
      <c r="C75" s="331">
        <f t="shared" si="13"/>
        <v>17485050.369618066</v>
      </c>
      <c r="D75" s="331">
        <f t="shared" si="13"/>
        <v>11921093.369618066</v>
      </c>
      <c r="E75" s="331">
        <f>MAX(E12:E68)</f>
        <v>16121971.683181897</v>
      </c>
      <c r="F75" s="332">
        <f t="shared" si="13"/>
        <v>7.2180983053982919</v>
      </c>
      <c r="G75" s="332">
        <f t="shared" si="13"/>
        <v>7.2180983053982919</v>
      </c>
      <c r="H75" s="333"/>
      <c r="I75" s="287"/>
      <c r="J75" s="287"/>
    </row>
    <row r="76" spans="1:12" ht="23">
      <c r="A76" s="334" t="s">
        <v>119</v>
      </c>
      <c r="B76" s="335">
        <f t="shared" ref="B76:G76" si="14">STDEV(B12:B68)</f>
        <v>5702441.7840149077</v>
      </c>
      <c r="C76" s="335">
        <f t="shared" si="14"/>
        <v>3503768.3321663244</v>
      </c>
      <c r="D76" s="335">
        <f t="shared" si="14"/>
        <v>5603878.1309391484</v>
      </c>
      <c r="E76" s="335">
        <f t="shared" si="14"/>
        <v>3696758.7712691575</v>
      </c>
      <c r="F76" s="336">
        <f t="shared" si="14"/>
        <v>1.8812775742265531</v>
      </c>
      <c r="G76" s="336">
        <f t="shared" si="14"/>
        <v>1.7015308742180115</v>
      </c>
      <c r="H76" s="333"/>
      <c r="I76" s="287"/>
      <c r="J76" s="287"/>
    </row>
  </sheetData>
  <phoneticPr fontId="30" type="noConversion"/>
  <pageMargins left="0.75" right="0.75" top="1" bottom="1" header="0.5" footer="0.5"/>
  <pageSetup orientation="portrait"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rgb="FF00B050"/>
  </sheetPr>
  <dimension ref="A1:N47"/>
  <sheetViews>
    <sheetView zoomScaleNormal="100" workbookViewId="0">
      <selection activeCell="B11" sqref="B11"/>
    </sheetView>
  </sheetViews>
  <sheetFormatPr baseColWidth="10" defaultColWidth="8.85546875" defaultRowHeight="16"/>
  <cols>
    <col min="1" max="1" width="8.7109375" style="34" customWidth="1"/>
    <col min="2" max="2" width="11.7109375" style="34" customWidth="1"/>
    <col min="3" max="3" width="13" style="34" customWidth="1"/>
    <col min="4" max="4" width="11.28515625" style="34" customWidth="1"/>
    <col min="5" max="5" width="14.28515625" style="34" customWidth="1"/>
    <col min="6" max="6" width="10.5703125" style="34" customWidth="1"/>
    <col min="7" max="7" width="11.42578125" style="34" customWidth="1"/>
    <col min="8" max="8" width="4.7109375" style="34" customWidth="1"/>
    <col min="9" max="9" width="12.42578125" style="34" customWidth="1"/>
    <col min="10" max="10" width="16.28515625" style="34" customWidth="1"/>
    <col min="11" max="11" width="5.5703125" style="34" customWidth="1"/>
    <col min="12" max="16384" width="8.85546875" style="34"/>
  </cols>
  <sheetData>
    <row r="1" spans="1:14" ht="17" thickBot="1">
      <c r="A1" s="33" t="str">
        <f ca="1">CELL("filename",A1)</f>
        <v>/Users/janohlberger/Work/UW/Thresholds/Data/Rich/[2018_PWS_Wild_Pink_forecast_DRAFT.xlsm]Exp_smoothing damp_Tot odd</v>
      </c>
    </row>
    <row r="2" spans="1:14">
      <c r="I2" s="48" t="s">
        <v>125</v>
      </c>
      <c r="J2" s="49"/>
    </row>
    <row r="3" spans="1:14">
      <c r="A3" s="33"/>
      <c r="I3" s="50" t="s">
        <v>126</v>
      </c>
      <c r="J3" s="51">
        <f>1-SUM(J4:J6)</f>
        <v>0.62422063128244987</v>
      </c>
      <c r="L3" s="34" t="s">
        <v>162</v>
      </c>
      <c r="M3" s="198">
        <f>G43</f>
        <v>0.75892056654926343</v>
      </c>
      <c r="N3" s="34" t="s">
        <v>163</v>
      </c>
    </row>
    <row r="4" spans="1:14">
      <c r="A4" s="33"/>
      <c r="I4" s="50" t="s">
        <v>127</v>
      </c>
      <c r="J4" s="53">
        <v>0.37577936871755008</v>
      </c>
      <c r="N4" s="34" t="s">
        <v>164</v>
      </c>
    </row>
    <row r="5" spans="1:14" ht="16.5" customHeight="1">
      <c r="A5" s="35" t="s">
        <v>122</v>
      </c>
      <c r="B5" s="35" t="s">
        <v>166</v>
      </c>
      <c r="I5" s="50" t="s">
        <v>128</v>
      </c>
      <c r="J5" s="53">
        <v>0</v>
      </c>
      <c r="N5" s="34" t="s">
        <v>165</v>
      </c>
    </row>
    <row r="6" spans="1:14" ht="17" thickBot="1">
      <c r="A6" s="35"/>
      <c r="B6" s="35" t="s">
        <v>170</v>
      </c>
      <c r="I6" s="56" t="s">
        <v>129</v>
      </c>
      <c r="J6" s="57">
        <v>0</v>
      </c>
    </row>
    <row r="7" spans="1:14">
      <c r="B7" s="199" t="s">
        <v>169</v>
      </c>
      <c r="J7" s="64">
        <f>SUM(J3:J6)</f>
        <v>1</v>
      </c>
    </row>
    <row r="8" spans="1:14">
      <c r="A8" s="36"/>
      <c r="B8" s="36"/>
      <c r="C8" s="37" t="s">
        <v>123</v>
      </c>
      <c r="D8" s="36"/>
      <c r="E8" s="36"/>
      <c r="F8" s="36"/>
      <c r="G8" s="38" t="s">
        <v>1</v>
      </c>
      <c r="I8" s="65" t="s">
        <v>136</v>
      </c>
    </row>
    <row r="9" spans="1:14">
      <c r="A9" s="39" t="s">
        <v>3</v>
      </c>
      <c r="B9" s="158" t="s">
        <v>133</v>
      </c>
      <c r="C9" s="42" t="s">
        <v>124</v>
      </c>
      <c r="D9" s="41"/>
      <c r="E9" s="39" t="s">
        <v>1</v>
      </c>
      <c r="F9" s="39" t="s">
        <v>151</v>
      </c>
      <c r="G9" s="39" t="s">
        <v>88</v>
      </c>
      <c r="I9" s="66" t="s">
        <v>4</v>
      </c>
      <c r="J9" s="65" t="s">
        <v>137</v>
      </c>
    </row>
    <row r="10" spans="1:14">
      <c r="A10" s="43" t="s">
        <v>7</v>
      </c>
      <c r="B10" s="159" t="s">
        <v>134</v>
      </c>
      <c r="C10" s="46" t="s">
        <v>46</v>
      </c>
      <c r="D10" s="43" t="s">
        <v>8</v>
      </c>
      <c r="E10" s="43" t="s">
        <v>8</v>
      </c>
      <c r="F10" s="43" t="s">
        <v>8</v>
      </c>
      <c r="G10" s="43" t="s">
        <v>8</v>
      </c>
      <c r="I10" s="67" t="s">
        <v>116</v>
      </c>
      <c r="J10" s="65" t="s">
        <v>46</v>
      </c>
    </row>
    <row r="11" spans="1:14">
      <c r="A11" s="39">
        <v>1961</v>
      </c>
      <c r="B11" s="154">
        <f>VLOOKUP($A11,Database!$A$74:$J$137,10)</f>
        <v>4497198</v>
      </c>
      <c r="C11" s="165" t="e">
        <f>NA()</f>
        <v>#N/A</v>
      </c>
      <c r="D11" s="165" t="e">
        <f>NA()</f>
        <v>#N/A</v>
      </c>
      <c r="E11" s="165" t="e">
        <f>NA()</f>
        <v>#N/A</v>
      </c>
      <c r="F11" s="55" t="e">
        <f t="shared" ref="F11:F36" si="0">($C11-$B11)/$B11</f>
        <v>#N/A</v>
      </c>
      <c r="G11" s="55" t="e">
        <f t="shared" ref="G11:G36" si="1">ABS($C11-$B11)/$B11</f>
        <v>#N/A</v>
      </c>
      <c r="I11" s="157">
        <f t="shared" ref="I11:I35" si="2">B11</f>
        <v>4497198</v>
      </c>
      <c r="J11" s="160" t="e">
        <f>NA()</f>
        <v>#N/A</v>
      </c>
    </row>
    <row r="12" spans="1:14">
      <c r="A12" s="39">
        <v>1963</v>
      </c>
      <c r="B12" s="154">
        <f>VLOOKUP($A12,Database!$A$74:$J$137,10)</f>
        <v>6651118</v>
      </c>
      <c r="C12" s="144">
        <f>B11</f>
        <v>4497198</v>
      </c>
      <c r="D12" s="165" t="e">
        <f>NA()</f>
        <v>#N/A</v>
      </c>
      <c r="E12" s="165" t="e">
        <f>NA()</f>
        <v>#N/A</v>
      </c>
      <c r="F12" s="55">
        <f t="shared" si="0"/>
        <v>-0.3238432997279555</v>
      </c>
      <c r="G12" s="55">
        <f t="shared" si="1"/>
        <v>0.3238432997279555</v>
      </c>
      <c r="I12" s="157">
        <f t="shared" si="2"/>
        <v>6651118</v>
      </c>
      <c r="J12" s="160" t="e">
        <f>NA()</f>
        <v>#N/A</v>
      </c>
    </row>
    <row r="13" spans="1:14">
      <c r="A13" s="39">
        <v>1965</v>
      </c>
      <c r="B13" s="154">
        <f>VLOOKUP($A13,Database!$A$74:$J$137,10)</f>
        <v>3436427</v>
      </c>
      <c r="C13" s="144">
        <f>0.9*$B12+0.1*C12</f>
        <v>6435726</v>
      </c>
      <c r="D13" s="165" t="e">
        <f>NA()</f>
        <v>#N/A</v>
      </c>
      <c r="E13" s="165" t="e">
        <f>NA()</f>
        <v>#N/A</v>
      </c>
      <c r="F13" s="55">
        <f t="shared" si="0"/>
        <v>0.87279578469148333</v>
      </c>
      <c r="G13" s="55">
        <f t="shared" si="1"/>
        <v>0.87279578469148333</v>
      </c>
      <c r="I13" s="157">
        <f t="shared" si="2"/>
        <v>3436427</v>
      </c>
      <c r="J13" s="160" t="e">
        <f>NA()</f>
        <v>#N/A</v>
      </c>
    </row>
    <row r="14" spans="1:14">
      <c r="A14" s="39">
        <v>1967</v>
      </c>
      <c r="B14" s="154">
        <f>VLOOKUP($A14,Database!$A$74:$J$137,10)</f>
        <v>3468600</v>
      </c>
      <c r="C14" s="144">
        <f>0.5*$B13+0.3*C13+0.2*C12</f>
        <v>4548370.9000000004</v>
      </c>
      <c r="D14" s="165" t="e">
        <f>NA()</f>
        <v>#N/A</v>
      </c>
      <c r="E14" s="165" t="e">
        <f>NA()</f>
        <v>#N/A</v>
      </c>
      <c r="F14" s="55">
        <f t="shared" si="0"/>
        <v>0.31129876607276724</v>
      </c>
      <c r="G14" s="55">
        <f t="shared" si="1"/>
        <v>0.31129876607276724</v>
      </c>
      <c r="I14" s="157">
        <f t="shared" si="2"/>
        <v>3468600</v>
      </c>
      <c r="J14" s="52">
        <f>C14</f>
        <v>4548370.9000000004</v>
      </c>
    </row>
    <row r="15" spans="1:14">
      <c r="A15" s="39">
        <v>1969</v>
      </c>
      <c r="B15" s="154">
        <f>VLOOKUP($A15,Database!$A$74:$J$137,10)</f>
        <v>5233149</v>
      </c>
      <c r="C15" s="62">
        <f>$J$3*$B14+$J$4*C14+$J$5*C13+$J$6*C12</f>
        <v>3874355.6271615811</v>
      </c>
      <c r="D15" s="54">
        <f>C15-B15</f>
        <v>-1358793.3728384189</v>
      </c>
      <c r="E15" s="52">
        <f t="shared" ref="E15:E34" si="3">ABS(C15-$B15)</f>
        <v>1358793.3728384189</v>
      </c>
      <c r="F15" s="55">
        <f t="shared" si="0"/>
        <v>-0.259651191441027</v>
      </c>
      <c r="G15" s="55">
        <f t="shared" si="1"/>
        <v>0.259651191441027</v>
      </c>
      <c r="I15" s="157">
        <f t="shared" si="2"/>
        <v>5233149</v>
      </c>
      <c r="J15" s="52">
        <f t="shared" ref="J15:J37" si="4">C15</f>
        <v>3874355.6271615811</v>
      </c>
    </row>
    <row r="16" spans="1:14">
      <c r="A16" s="39">
        <v>1971</v>
      </c>
      <c r="B16" s="154">
        <f>VLOOKUP($A16,Database!$A$74:$J$137,10)</f>
        <v>8423514</v>
      </c>
      <c r="C16" s="62">
        <f t="shared" ref="C16:C38" si="5">$J$3*$B15+$J$4*C15+$J$5*C14+$J$6*C13</f>
        <v>4722542.4841371877</v>
      </c>
      <c r="D16" s="54">
        <f>C16-B16</f>
        <v>-3700971.5158628123</v>
      </c>
      <c r="E16" s="52">
        <f t="shared" si="3"/>
        <v>3700971.5158628123</v>
      </c>
      <c r="F16" s="55">
        <f t="shared" si="0"/>
        <v>-0.43936194750347801</v>
      </c>
      <c r="G16" s="55">
        <f t="shared" si="1"/>
        <v>0.43936194750347801</v>
      </c>
      <c r="I16" s="157">
        <f t="shared" si="2"/>
        <v>8423514</v>
      </c>
      <c r="J16" s="52">
        <f t="shared" si="4"/>
        <v>4722542.4841371877</v>
      </c>
    </row>
    <row r="17" spans="1:13">
      <c r="A17" s="39">
        <v>1973</v>
      </c>
      <c r="B17" s="154">
        <f>VLOOKUP($A17,Database!$A$74:$J$137,10)</f>
        <v>8535974</v>
      </c>
      <c r="C17" s="62">
        <f t="shared" si="5"/>
        <v>7032765.2601274382</v>
      </c>
      <c r="D17" s="54">
        <f t="shared" ref="D17:D35" si="6">C17-B17</f>
        <v>-1503208.7398725618</v>
      </c>
      <c r="E17" s="52">
        <f t="shared" si="3"/>
        <v>1503208.7398725618</v>
      </c>
      <c r="F17" s="55">
        <f t="shared" si="0"/>
        <v>-0.17610277864864182</v>
      </c>
      <c r="G17" s="55">
        <f t="shared" si="1"/>
        <v>0.17610277864864182</v>
      </c>
      <c r="I17" s="157">
        <f t="shared" si="2"/>
        <v>8535974</v>
      </c>
      <c r="J17" s="52">
        <f t="shared" si="4"/>
        <v>7032765.2601274382</v>
      </c>
    </row>
    <row r="18" spans="1:13">
      <c r="A18" s="39">
        <v>1975</v>
      </c>
      <c r="B18" s="154">
        <f>VLOOKUP($A18,Database!$A$74:$J$137,10)</f>
        <v>3322438</v>
      </c>
      <c r="C18" s="62">
        <f t="shared" si="5"/>
        <v>7971099.1686799843</v>
      </c>
      <c r="D18" s="54">
        <f t="shared" si="6"/>
        <v>4648661.1686799843</v>
      </c>
      <c r="E18" s="52">
        <f t="shared" si="3"/>
        <v>4648661.1686799843</v>
      </c>
      <c r="F18" s="55">
        <f t="shared" si="0"/>
        <v>1.3991716831675969</v>
      </c>
      <c r="G18" s="55">
        <f t="shared" si="1"/>
        <v>1.3991716831675969</v>
      </c>
      <c r="I18" s="157">
        <f t="shared" si="2"/>
        <v>3322438</v>
      </c>
      <c r="J18" s="52">
        <f t="shared" si="4"/>
        <v>7971099.1686799843</v>
      </c>
    </row>
    <row r="19" spans="1:13">
      <c r="A19" s="39">
        <v>1977</v>
      </c>
      <c r="B19" s="154">
        <f>VLOOKUP($A19,Database!$A$74:$J$137,10)</f>
        <v>5816401</v>
      </c>
      <c r="C19" s="62">
        <f t="shared" si="5"/>
        <v>5069308.9593483526</v>
      </c>
      <c r="D19" s="54">
        <f t="shared" si="6"/>
        <v>-747092.04065164737</v>
      </c>
      <c r="E19" s="52">
        <f t="shared" si="3"/>
        <v>747092.04065164737</v>
      </c>
      <c r="F19" s="55">
        <f t="shared" si="0"/>
        <v>-0.12844575892405757</v>
      </c>
      <c r="G19" s="55">
        <f t="shared" si="1"/>
        <v>0.12844575892405757</v>
      </c>
      <c r="I19" s="157">
        <f t="shared" si="2"/>
        <v>5816401</v>
      </c>
      <c r="J19" s="52">
        <f t="shared" si="4"/>
        <v>5069308.9593483526</v>
      </c>
    </row>
    <row r="20" spans="1:13">
      <c r="A20" s="39">
        <v>1979</v>
      </c>
      <c r="B20" s="154">
        <f>VLOOKUP($A20,Database!$A$74:$J$137,10)</f>
        <v>17335503</v>
      </c>
      <c r="C20" s="62">
        <f t="shared" si="5"/>
        <v>5535659.2245900175</v>
      </c>
      <c r="D20" s="54">
        <f t="shared" si="6"/>
        <v>-11799843.775409982</v>
      </c>
      <c r="E20" s="52">
        <f t="shared" si="3"/>
        <v>11799843.775409982</v>
      </c>
      <c r="F20" s="55">
        <f t="shared" si="0"/>
        <v>-0.68067501562602373</v>
      </c>
      <c r="G20" s="55">
        <f t="shared" si="1"/>
        <v>0.68067501562602373</v>
      </c>
      <c r="I20" s="157">
        <f t="shared" si="2"/>
        <v>17335503</v>
      </c>
      <c r="J20" s="52">
        <f t="shared" si="4"/>
        <v>5535659.2245900175</v>
      </c>
    </row>
    <row r="21" spans="1:13" ht="13.5" customHeight="1">
      <c r="A21" s="39">
        <v>1981</v>
      </c>
      <c r="B21" s="154">
        <f>VLOOKUP($A21,Database!$A$74:$J$137,10)</f>
        <v>19568866</v>
      </c>
      <c r="C21" s="62">
        <f t="shared" si="5"/>
        <v>12901365.155110722</v>
      </c>
      <c r="D21" s="54">
        <f t="shared" si="6"/>
        <v>-6667500.8448892776</v>
      </c>
      <c r="E21" s="52">
        <f t="shared" si="3"/>
        <v>6667500.8448892776</v>
      </c>
      <c r="F21" s="55">
        <f t="shared" si="0"/>
        <v>-0.34071983756694318</v>
      </c>
      <c r="G21" s="55">
        <f t="shared" si="1"/>
        <v>0.34071983756694318</v>
      </c>
      <c r="I21" s="157">
        <f t="shared" si="2"/>
        <v>19568866</v>
      </c>
      <c r="J21" s="52">
        <f t="shared" si="4"/>
        <v>12901365.155110722</v>
      </c>
      <c r="K21" s="58"/>
      <c r="L21" s="58"/>
      <c r="M21" s="58"/>
    </row>
    <row r="22" spans="1:13">
      <c r="A22" s="39">
        <v>1983</v>
      </c>
      <c r="B22" s="154">
        <f>VLOOKUP($A22,Database!$A$74:$J$137,10)</f>
        <v>11567348</v>
      </c>
      <c r="C22" s="62">
        <f t="shared" si="5"/>
        <v>17063356.741583772</v>
      </c>
      <c r="D22" s="54">
        <f t="shared" si="6"/>
        <v>5496008.741583772</v>
      </c>
      <c r="E22" s="52">
        <f t="shared" si="3"/>
        <v>5496008.741583772</v>
      </c>
      <c r="F22" s="55">
        <f t="shared" si="0"/>
        <v>0.47513126963793012</v>
      </c>
      <c r="G22" s="55">
        <f t="shared" si="1"/>
        <v>0.47513126963793012</v>
      </c>
      <c r="I22" s="157">
        <f t="shared" si="2"/>
        <v>11567348</v>
      </c>
      <c r="J22" s="52">
        <f t="shared" si="4"/>
        <v>17063356.741583772</v>
      </c>
      <c r="K22" s="58"/>
      <c r="L22" s="58"/>
      <c r="M22" s="58"/>
    </row>
    <row r="23" spans="1:13">
      <c r="A23" s="39">
        <v>1985</v>
      </c>
      <c r="B23" s="154">
        <f>VLOOKUP($A23,Database!$A$74:$J$137,10)</f>
        <v>19938105</v>
      </c>
      <c r="C23" s="62">
        <f t="shared" si="5"/>
        <v>13632634.695378486</v>
      </c>
      <c r="D23" s="54">
        <f t="shared" si="6"/>
        <v>-6305470.3046215139</v>
      </c>
      <c r="E23" s="52">
        <f t="shared" si="3"/>
        <v>6305470.3046215139</v>
      </c>
      <c r="F23" s="55">
        <f t="shared" si="0"/>
        <v>-0.31625223684103948</v>
      </c>
      <c r="G23" s="55">
        <f t="shared" si="1"/>
        <v>0.31625223684103948</v>
      </c>
      <c r="I23" s="157">
        <f t="shared" si="2"/>
        <v>19938105</v>
      </c>
      <c r="J23" s="52">
        <f t="shared" si="4"/>
        <v>13632634.695378486</v>
      </c>
      <c r="K23" s="58"/>
      <c r="L23" s="58"/>
      <c r="M23" s="58"/>
    </row>
    <row r="24" spans="1:13">
      <c r="A24" s="39">
        <v>1987</v>
      </c>
      <c r="B24" s="154">
        <f>VLOOKUP($A24,Database!$A$74:$J$137,10)</f>
        <v>13066944</v>
      </c>
      <c r="C24" s="62">
        <f t="shared" si="5"/>
        <v>17568639.34946207</v>
      </c>
      <c r="D24" s="54">
        <f t="shared" si="6"/>
        <v>4501695.3494620696</v>
      </c>
      <c r="E24" s="52">
        <f t="shared" si="3"/>
        <v>4501695.3494620696</v>
      </c>
      <c r="F24" s="55">
        <f t="shared" si="0"/>
        <v>0.34451018918134718</v>
      </c>
      <c r="G24" s="55">
        <f t="shared" si="1"/>
        <v>0.34451018918134718</v>
      </c>
      <c r="I24" s="157">
        <f t="shared" si="2"/>
        <v>13066944</v>
      </c>
      <c r="J24" s="52">
        <f t="shared" si="4"/>
        <v>17568639.34946207</v>
      </c>
      <c r="K24" s="58"/>
      <c r="L24" s="58"/>
      <c r="M24" s="58"/>
    </row>
    <row r="25" spans="1:13">
      <c r="A25" s="39">
        <v>1989</v>
      </c>
      <c r="B25" s="154">
        <f>VLOOKUP($A25,Database!$A$74:$J$137,10)</f>
        <v>4743750</v>
      </c>
      <c r="C25" s="62">
        <f t="shared" si="5"/>
        <v>14758588.236579586</v>
      </c>
      <c r="D25" s="54">
        <f t="shared" si="6"/>
        <v>10014838.236579586</v>
      </c>
      <c r="E25" s="52">
        <f t="shared" si="3"/>
        <v>10014838.236579586</v>
      </c>
      <c r="F25" s="55">
        <f t="shared" si="0"/>
        <v>2.1111648456557757</v>
      </c>
      <c r="G25" s="55">
        <f t="shared" si="1"/>
        <v>2.1111648456557757</v>
      </c>
      <c r="I25" s="157">
        <f t="shared" si="2"/>
        <v>4743750</v>
      </c>
      <c r="J25" s="52">
        <f t="shared" si="4"/>
        <v>14758588.236579586</v>
      </c>
      <c r="K25" s="58"/>
      <c r="L25" s="58"/>
      <c r="M25" s="58"/>
    </row>
    <row r="26" spans="1:13">
      <c r="A26" s="39">
        <v>1991</v>
      </c>
      <c r="B26" s="154">
        <f>VLOOKUP($A26,Database!$A$74:$J$137,10)</f>
        <v>7544776</v>
      </c>
      <c r="C26" s="62">
        <f t="shared" si="5"/>
        <v>8507119.5903502591</v>
      </c>
      <c r="D26" s="54">
        <f t="shared" si="6"/>
        <v>962343.5903502591</v>
      </c>
      <c r="E26" s="52">
        <f t="shared" si="3"/>
        <v>962343.5903502591</v>
      </c>
      <c r="F26" s="55">
        <f t="shared" si="0"/>
        <v>0.12755098234198856</v>
      </c>
      <c r="G26" s="55">
        <f t="shared" si="1"/>
        <v>0.12755098234198856</v>
      </c>
      <c r="I26" s="157">
        <f t="shared" si="2"/>
        <v>7544776</v>
      </c>
      <c r="J26" s="52">
        <f t="shared" si="4"/>
        <v>8507119.5903502591</v>
      </c>
      <c r="K26" s="58"/>
      <c r="L26" s="58"/>
      <c r="M26" s="58"/>
    </row>
    <row r="27" spans="1:13">
      <c r="A27" s="39">
        <v>1993</v>
      </c>
      <c r="B27" s="154">
        <f>VLOOKUP($A27,Database!$A$74:$J$137,10)</f>
        <v>1542942</v>
      </c>
      <c r="C27" s="62">
        <f t="shared" si="5"/>
        <v>7906404.8668712005</v>
      </c>
      <c r="D27" s="54">
        <f t="shared" si="6"/>
        <v>6363462.8668712005</v>
      </c>
      <c r="E27" s="52">
        <f t="shared" si="3"/>
        <v>6363462.8668712005</v>
      </c>
      <c r="F27" s="55">
        <f t="shared" si="0"/>
        <v>4.1242398397808868</v>
      </c>
      <c r="G27" s="55">
        <f t="shared" si="1"/>
        <v>4.1242398397808868</v>
      </c>
      <c r="I27" s="157">
        <f t="shared" si="2"/>
        <v>1542942</v>
      </c>
      <c r="J27" s="52">
        <f t="shared" si="4"/>
        <v>7906404.8668712005</v>
      </c>
      <c r="K27" s="58"/>
      <c r="L27" s="58"/>
      <c r="M27" s="58"/>
    </row>
    <row r="28" spans="1:13">
      <c r="A28" s="39">
        <v>1995</v>
      </c>
      <c r="B28" s="154">
        <f>VLOOKUP($A28,Database!$A$74:$J$137,10)</f>
        <v>3934208</v>
      </c>
      <c r="C28" s="62">
        <f t="shared" si="5"/>
        <v>3934200.0589704313</v>
      </c>
      <c r="D28" s="54">
        <f t="shared" si="6"/>
        <v>-7.9410295686684549</v>
      </c>
      <c r="E28" s="52">
        <f t="shared" si="3"/>
        <v>7.9410295686684549</v>
      </c>
      <c r="F28" s="55">
        <f t="shared" si="0"/>
        <v>-2.018456972449971E-6</v>
      </c>
      <c r="G28" s="55">
        <f t="shared" si="1"/>
        <v>2.018456972449971E-6</v>
      </c>
      <c r="I28" s="157">
        <f t="shared" si="2"/>
        <v>3934208</v>
      </c>
      <c r="J28" s="52">
        <f t="shared" si="4"/>
        <v>3934200.0589704313</v>
      </c>
      <c r="K28" s="58"/>
      <c r="L28" s="58"/>
      <c r="M28" s="58"/>
    </row>
    <row r="29" spans="1:13">
      <c r="A29" s="39">
        <v>1997</v>
      </c>
      <c r="B29" s="154">
        <f>VLOOKUP($A29,Database!$A$74:$J$137,10)</f>
        <v>2588682</v>
      </c>
      <c r="C29" s="62">
        <f t="shared" si="5"/>
        <v>3934205.0159249213</v>
      </c>
      <c r="D29" s="54">
        <f t="shared" si="6"/>
        <v>1345523.0159249213</v>
      </c>
      <c r="E29" s="52">
        <f t="shared" si="3"/>
        <v>1345523.0159249213</v>
      </c>
      <c r="F29" s="55">
        <f t="shared" si="0"/>
        <v>0.51977145741536479</v>
      </c>
      <c r="G29" s="55">
        <f t="shared" si="1"/>
        <v>0.51977145741536479</v>
      </c>
      <c r="I29" s="157">
        <f t="shared" si="2"/>
        <v>2588682</v>
      </c>
      <c r="J29" s="52">
        <f t="shared" si="4"/>
        <v>3934205.0159249213</v>
      </c>
    </row>
    <row r="30" spans="1:13">
      <c r="A30" s="39">
        <v>1999</v>
      </c>
      <c r="B30" s="154">
        <f>VLOOKUP($A30,Database!$A$74:$J$137,10)</f>
        <v>9405198</v>
      </c>
      <c r="C30" s="62">
        <f t="shared" si="5"/>
        <v>3094301.789519201</v>
      </c>
      <c r="D30" s="54">
        <f t="shared" si="6"/>
        <v>-6310896.210480799</v>
      </c>
      <c r="E30" s="52">
        <f t="shared" si="3"/>
        <v>6310896.210480799</v>
      </c>
      <c r="F30" s="55">
        <f t="shared" si="0"/>
        <v>-0.67100088807070291</v>
      </c>
      <c r="G30" s="55">
        <f t="shared" si="1"/>
        <v>0.67100088807070291</v>
      </c>
      <c r="I30" s="157">
        <f t="shared" si="2"/>
        <v>9405198</v>
      </c>
      <c r="J30" s="52">
        <f t="shared" si="4"/>
        <v>3094301.789519201</v>
      </c>
    </row>
    <row r="31" spans="1:13">
      <c r="A31" s="39">
        <v>2001</v>
      </c>
      <c r="B31" s="154">
        <f>VLOOKUP($A31,Database!$A$74:$J$137,10)</f>
        <v>8854676.9808041956</v>
      </c>
      <c r="C31" s="62">
        <f t="shared" si="5"/>
        <v>7033693.4059835449</v>
      </c>
      <c r="D31" s="54">
        <f t="shared" si="6"/>
        <v>-1820983.5748206507</v>
      </c>
      <c r="E31" s="52">
        <f t="shared" si="3"/>
        <v>1820983.5748206507</v>
      </c>
      <c r="F31" s="55">
        <f t="shared" si="0"/>
        <v>-0.20565217441226932</v>
      </c>
      <c r="G31" s="55">
        <f t="shared" si="1"/>
        <v>0.20565217441226932</v>
      </c>
      <c r="I31" s="157">
        <f t="shared" si="2"/>
        <v>8854676.9808041956</v>
      </c>
      <c r="J31" s="52">
        <f t="shared" si="4"/>
        <v>7033693.4059835449</v>
      </c>
    </row>
    <row r="32" spans="1:13">
      <c r="A32" s="39">
        <v>2003</v>
      </c>
      <c r="B32" s="154">
        <f>VLOOKUP($A32,Database!$A$74:$J$137,10)</f>
        <v>7344511.9398193061</v>
      </c>
      <c r="C32" s="62">
        <f t="shared" si="5"/>
        <v>8170388.9226130638</v>
      </c>
      <c r="D32" s="54">
        <f t="shared" si="6"/>
        <v>825876.98279375769</v>
      </c>
      <c r="E32" s="52">
        <f t="shared" si="3"/>
        <v>825876.98279375769</v>
      </c>
      <c r="F32" s="55">
        <f t="shared" si="0"/>
        <v>0.1124481775727192</v>
      </c>
      <c r="G32" s="55">
        <f t="shared" si="1"/>
        <v>0.1124481775727192</v>
      </c>
      <c r="I32" s="157">
        <f t="shared" si="2"/>
        <v>7344511.9398193061</v>
      </c>
      <c r="J32" s="52">
        <f t="shared" si="4"/>
        <v>8170388.9226130638</v>
      </c>
    </row>
    <row r="33" spans="1:11">
      <c r="A33" s="39">
        <v>2005</v>
      </c>
      <c r="B33" s="154">
        <f>VLOOKUP($A33,Database!$A$74:$J$137,10)</f>
        <v>17032487.685321052</v>
      </c>
      <c r="C33" s="62">
        <f t="shared" si="5"/>
        <v>7654859.4710518997</v>
      </c>
      <c r="D33" s="54">
        <f t="shared" si="6"/>
        <v>-9377628.2142691519</v>
      </c>
      <c r="E33" s="52">
        <f t="shared" si="3"/>
        <v>9377628.2142691519</v>
      </c>
      <c r="F33" s="55">
        <f t="shared" si="0"/>
        <v>-0.55057302183467804</v>
      </c>
      <c r="G33" s="55">
        <f t="shared" si="1"/>
        <v>0.55057302183467804</v>
      </c>
      <c r="I33" s="157">
        <f t="shared" si="2"/>
        <v>17032487.685321052</v>
      </c>
      <c r="J33" s="52">
        <f t="shared" si="4"/>
        <v>7654859.4710518997</v>
      </c>
    </row>
    <row r="34" spans="1:11">
      <c r="A34" s="39">
        <v>2007</v>
      </c>
      <c r="B34" s="154">
        <f>VLOOKUP($A34,Database!$A$74:$J$137,10)</f>
        <v>11526987.795003444</v>
      </c>
      <c r="C34" s="62">
        <f t="shared" si="5"/>
        <v>13508568.474895101</v>
      </c>
      <c r="D34" s="54">
        <f t="shared" si="6"/>
        <v>1981580.6798916571</v>
      </c>
      <c r="E34" s="52">
        <f t="shared" si="3"/>
        <v>1981580.6798916571</v>
      </c>
      <c r="F34" s="55">
        <f t="shared" si="0"/>
        <v>0.17190793597878232</v>
      </c>
      <c r="G34" s="55">
        <f t="shared" si="1"/>
        <v>0.17190793597878232</v>
      </c>
      <c r="I34" s="157">
        <f t="shared" si="2"/>
        <v>11526987.795003444</v>
      </c>
      <c r="J34" s="52">
        <f t="shared" si="4"/>
        <v>13508568.474895101</v>
      </c>
    </row>
    <row r="35" spans="1:11" s="61" customFormat="1">
      <c r="A35" s="60">
        <v>2009</v>
      </c>
      <c r="B35" s="397">
        <f>VLOOKUP($A35,Database!$A$74:$J$137,10)</f>
        <v>2824330.6070667375</v>
      </c>
      <c r="C35" s="62">
        <f t="shared" si="5"/>
        <v>12271624.931956023</v>
      </c>
      <c r="D35" s="341">
        <f t="shared" si="6"/>
        <v>9447294.3248892855</v>
      </c>
      <c r="E35" s="62">
        <f>ABS(C35-$B35)</f>
        <v>9447294.3248892855</v>
      </c>
      <c r="F35" s="342">
        <f>($C35-$B35)/$B35</f>
        <v>3.344967583204062</v>
      </c>
      <c r="G35" s="342">
        <f>ABS($C35-$B35)/$B35</f>
        <v>3.344967583204062</v>
      </c>
      <c r="I35" s="398">
        <f t="shared" si="2"/>
        <v>2824330.6070667375</v>
      </c>
      <c r="J35" s="62">
        <f t="shared" si="4"/>
        <v>12271624.931956023</v>
      </c>
    </row>
    <row r="36" spans="1:11" s="61" customFormat="1">
      <c r="A36" s="399">
        <v>2011</v>
      </c>
      <c r="B36" s="154">
        <f>VLOOKUP($A36,Database!$A$74:$J$137,10)</f>
        <v>9643099</v>
      </c>
      <c r="C36" s="62">
        <f t="shared" si="5"/>
        <v>6374428.9045625264</v>
      </c>
      <c r="D36" s="54">
        <f>C36-B36</f>
        <v>-3268670.0954374736</v>
      </c>
      <c r="E36" s="52">
        <f>ABS(C36-$B36)</f>
        <v>3268670.0954374736</v>
      </c>
      <c r="F36" s="55">
        <f t="shared" si="0"/>
        <v>-0.33896469334572565</v>
      </c>
      <c r="G36" s="55">
        <f t="shared" si="1"/>
        <v>0.33896469334572565</v>
      </c>
      <c r="H36" s="34"/>
      <c r="I36" s="157">
        <f>B36</f>
        <v>9643099</v>
      </c>
      <c r="J36" s="62">
        <f t="shared" si="4"/>
        <v>6374428.9045625264</v>
      </c>
    </row>
    <row r="37" spans="1:11" s="61" customFormat="1">
      <c r="A37" s="39">
        <v>2013</v>
      </c>
      <c r="B37" s="397">
        <f>VLOOKUP($A37,Database!$A$74:$J$137,10)</f>
        <v>21965453</v>
      </c>
      <c r="C37" s="62">
        <f t="shared" si="5"/>
        <v>8414800.2149905711</v>
      </c>
      <c r="D37" s="341">
        <f>C37-B37</f>
        <v>-13550652.785009429</v>
      </c>
      <c r="E37" s="62">
        <f>ABS(C37-$B37)</f>
        <v>13550652.785009429</v>
      </c>
      <c r="F37" s="342">
        <f>($C37-$B37)/$B37</f>
        <v>-0.61690750402504468</v>
      </c>
      <c r="G37" s="342">
        <f>ABS($C37-$B37)/$B37</f>
        <v>0.61690750402504468</v>
      </c>
      <c r="I37" s="398">
        <f>B37</f>
        <v>21965453</v>
      </c>
      <c r="J37" s="52">
        <f t="shared" si="4"/>
        <v>8414800.2149905711</v>
      </c>
    </row>
    <row r="38" spans="1:11" s="61" customFormat="1">
      <c r="A38" s="60">
        <v>2015</v>
      </c>
      <c r="B38" s="397"/>
      <c r="C38" s="62">
        <f t="shared" si="5"/>
        <v>16873397.250738446</v>
      </c>
      <c r="D38" s="341"/>
      <c r="E38" s="62"/>
      <c r="F38" s="342"/>
      <c r="G38" s="342"/>
      <c r="I38" s="398"/>
      <c r="J38" s="62"/>
    </row>
    <row r="39" spans="1:11">
      <c r="A39" s="39"/>
      <c r="B39" s="156"/>
      <c r="C39" s="52"/>
      <c r="D39" s="52"/>
      <c r="E39" s="52"/>
      <c r="F39" s="52"/>
      <c r="I39" s="47"/>
      <c r="J39" s="47"/>
    </row>
    <row r="40" spans="1:11" ht="20">
      <c r="A40" s="41"/>
      <c r="B40" s="155"/>
      <c r="C40" s="155"/>
      <c r="D40" s="196"/>
      <c r="E40" s="197"/>
      <c r="F40" s="197"/>
      <c r="G40" s="197"/>
      <c r="H40" s="195"/>
      <c r="I40" s="47"/>
      <c r="J40" s="63"/>
    </row>
    <row r="41" spans="1:11">
      <c r="A41" s="36" t="s">
        <v>121</v>
      </c>
      <c r="B41" s="179">
        <f>COUNT(B11:B40)</f>
        <v>27</v>
      </c>
      <c r="C41" s="179">
        <f>COUNT(C15:C40)</f>
        <v>24</v>
      </c>
      <c r="D41" s="191">
        <f>COUNT(D15:D40)</f>
        <v>23</v>
      </c>
      <c r="E41" s="179">
        <f>COUNT(E15:E40)</f>
        <v>23</v>
      </c>
      <c r="F41" s="179">
        <f>COUNT(F15:F40)</f>
        <v>23</v>
      </c>
      <c r="G41" s="179">
        <f>COUNT(G15:G40)</f>
        <v>23</v>
      </c>
      <c r="H41" s="195"/>
      <c r="I41" s="61"/>
      <c r="J41" s="61"/>
      <c r="K41" s="61"/>
    </row>
    <row r="42" spans="1:11">
      <c r="A42" s="41" t="s">
        <v>158</v>
      </c>
      <c r="B42" s="155"/>
      <c r="C42" s="155"/>
      <c r="D42" s="192"/>
      <c r="E42" s="155"/>
      <c r="F42" s="155"/>
      <c r="G42" s="155"/>
      <c r="H42" s="195"/>
      <c r="I42" s="61"/>
      <c r="J42" s="61"/>
    </row>
    <row r="43" spans="1:11">
      <c r="A43" s="41" t="s">
        <v>56</v>
      </c>
      <c r="B43" s="177">
        <f>AVERAGE(B11:B40)</f>
        <v>8881951.4077042509</v>
      </c>
      <c r="C43" s="177">
        <f>AVERAGE(C15:C40)</f>
        <v>9075346.1583577637</v>
      </c>
      <c r="D43" s="193">
        <f>AVERAGE(D15:D40)</f>
        <v>-905410.1938333388</v>
      </c>
      <c r="E43" s="177">
        <f>AVERAGE(E15:E40)</f>
        <v>4869521.929226947</v>
      </c>
      <c r="F43" s="178">
        <f>AVERAGE(F15:F40)</f>
        <v>0.34811108248868905</v>
      </c>
      <c r="G43" s="166">
        <f>AVERAGE(G15:G40)</f>
        <v>0.75892056654926343</v>
      </c>
      <c r="H43" s="195"/>
    </row>
    <row r="44" spans="1:11">
      <c r="A44" s="41" t="s">
        <v>141</v>
      </c>
      <c r="B44" s="177">
        <f>MEDIAN(B11:B40)</f>
        <v>7544776</v>
      </c>
      <c r="C44" s="177">
        <f>MEDIAN(C15:C40)</f>
        <v>7938752.0177755924</v>
      </c>
      <c r="D44" s="193">
        <f>MEDIAN(D15:D40)</f>
        <v>-747092.04065164737</v>
      </c>
      <c r="E44" s="177">
        <f>MEDIAN(E15:E40)</f>
        <v>4501695.3494620696</v>
      </c>
      <c r="F44" s="178">
        <f>MEDIAN(F15:F40)</f>
        <v>-0.12844575892405757</v>
      </c>
      <c r="G44" s="178">
        <f>MEDIAN(G15:G40)</f>
        <v>0.34451018918134718</v>
      </c>
      <c r="H44" s="195"/>
    </row>
    <row r="45" spans="1:11">
      <c r="A45" s="41" t="s">
        <v>156</v>
      </c>
      <c r="B45" s="177">
        <f>MIN(B11:B40)</f>
        <v>1542942</v>
      </c>
      <c r="C45" s="177">
        <f>MIN(C15:C40)</f>
        <v>3094301.789519201</v>
      </c>
      <c r="D45" s="193">
        <f>MIN(D15:D40)</f>
        <v>-13550652.785009429</v>
      </c>
      <c r="E45" s="177">
        <f>MIN(E15:E40)</f>
        <v>7.9410295686684549</v>
      </c>
      <c r="F45" s="178">
        <f>MIN(F15:F40)</f>
        <v>-0.68067501562602373</v>
      </c>
      <c r="G45" s="178">
        <f>MIN(G15:G40)</f>
        <v>2.018456972449971E-6</v>
      </c>
      <c r="H45" s="195"/>
    </row>
    <row r="46" spans="1:11">
      <c r="A46" s="41" t="s">
        <v>157</v>
      </c>
      <c r="B46" s="177">
        <f>MAX(B11:B40)</f>
        <v>21965453</v>
      </c>
      <c r="C46" s="177">
        <f>MAX(C15:C40)</f>
        <v>17568639.34946207</v>
      </c>
      <c r="D46" s="193">
        <f>MAX(D15:D40)</f>
        <v>10014838.236579586</v>
      </c>
      <c r="E46" s="177">
        <f>MAX(E15:E40)</f>
        <v>13550652.785009429</v>
      </c>
      <c r="F46" s="178">
        <f>MAX(F15:F40)</f>
        <v>4.1242398397808868</v>
      </c>
      <c r="G46" s="178">
        <f>MAX(G15:G40)</f>
        <v>4.1242398397808868</v>
      </c>
      <c r="H46" s="195"/>
    </row>
    <row r="47" spans="1:11">
      <c r="A47" s="45" t="s">
        <v>119</v>
      </c>
      <c r="B47" s="180">
        <f>STDEV(B11:B40)</f>
        <v>5854399.998309087</v>
      </c>
      <c r="C47" s="180">
        <f>STDEV(C15:C40)</f>
        <v>4565264.9971670546</v>
      </c>
      <c r="D47" s="194">
        <f>STDEV(D15:D40)</f>
        <v>6244320.6287105912</v>
      </c>
      <c r="E47" s="180">
        <f>STDEV(E15:E40)</f>
        <v>3880527.9040370476</v>
      </c>
      <c r="F47" s="181">
        <f>STDEV(F15:F40)</f>
        <v>1.2572930078232105</v>
      </c>
      <c r="G47" s="181">
        <f>STDEV(G15:G40)</f>
        <v>1.0513490522381406</v>
      </c>
    </row>
  </sheetData>
  <pageMargins left="0.75" right="0.75" top="1" bottom="1" header="0.5" footer="0.5"/>
  <pageSetup orientation="portrait"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tabColor rgb="FFFFFF00"/>
  </sheetPr>
  <dimension ref="A1:N49"/>
  <sheetViews>
    <sheetView topLeftCell="A23" zoomScale="75" zoomScaleNormal="75" workbookViewId="0">
      <selection activeCell="A5" sqref="A5"/>
    </sheetView>
  </sheetViews>
  <sheetFormatPr baseColWidth="10" defaultColWidth="8.85546875" defaultRowHeight="16"/>
  <cols>
    <col min="1" max="1" width="8.7109375" style="34" customWidth="1"/>
    <col min="2" max="2" width="11.7109375" style="34" customWidth="1"/>
    <col min="3" max="3" width="13" style="34" customWidth="1"/>
    <col min="4" max="4" width="12.7109375" style="34" customWidth="1"/>
    <col min="5" max="5" width="12.5703125" style="34" customWidth="1"/>
    <col min="6" max="6" width="11.28515625" style="34" customWidth="1"/>
    <col min="7" max="7" width="11.42578125" style="34" customWidth="1"/>
    <col min="8" max="8" width="9.7109375" style="34" customWidth="1"/>
    <col min="9" max="9" width="12.42578125" style="34" customWidth="1"/>
    <col min="10" max="10" width="13.28515625" style="34" customWidth="1"/>
    <col min="11" max="11" width="5.7109375" style="34" customWidth="1"/>
    <col min="12" max="16384" width="8.85546875" style="34"/>
  </cols>
  <sheetData>
    <row r="1" spans="1:14" ht="17" thickBot="1">
      <c r="A1" s="33" t="str">
        <f ca="1">CELL("filename",A1)</f>
        <v>/Users/janohlberger/Work/UW/Thresholds/Data/Rich/[2018_PWS_Wild_Pink_forecast_DRAFT.xlsm]Exp_smoothing damp_Tot_even</v>
      </c>
    </row>
    <row r="2" spans="1:14">
      <c r="A2" s="33"/>
      <c r="I2" s="48" t="s">
        <v>125</v>
      </c>
      <c r="J2" s="49"/>
    </row>
    <row r="3" spans="1:14">
      <c r="A3" s="33"/>
      <c r="I3" s="50" t="s">
        <v>126</v>
      </c>
      <c r="J3" s="51">
        <f>1-SUM(J4:J6)</f>
        <v>0.85931260230778239</v>
      </c>
      <c r="L3" s="34" t="s">
        <v>162</v>
      </c>
      <c r="M3" s="198">
        <f>G45</f>
        <v>1.2772932939525947</v>
      </c>
      <c r="N3" s="34" t="s">
        <v>163</v>
      </c>
    </row>
    <row r="4" spans="1:14" ht="16.5" customHeight="1">
      <c r="I4" s="50" t="s">
        <v>127</v>
      </c>
      <c r="J4" s="53">
        <v>0.14068739769221755</v>
      </c>
      <c r="N4" s="34" t="s">
        <v>164</v>
      </c>
    </row>
    <row r="5" spans="1:14">
      <c r="A5" s="35" t="s">
        <v>122</v>
      </c>
      <c r="B5" s="35" t="s">
        <v>166</v>
      </c>
      <c r="I5" s="50" t="s">
        <v>128</v>
      </c>
      <c r="J5" s="53">
        <v>0</v>
      </c>
      <c r="N5" s="34" t="s">
        <v>165</v>
      </c>
    </row>
    <row r="6" spans="1:14" ht="17" thickBot="1">
      <c r="A6" s="35"/>
      <c r="B6" s="35" t="s">
        <v>168</v>
      </c>
      <c r="I6" s="56" t="s">
        <v>129</v>
      </c>
      <c r="J6" s="57">
        <v>0</v>
      </c>
    </row>
    <row r="7" spans="1:14">
      <c r="A7" s="35"/>
      <c r="B7" s="199" t="s">
        <v>167</v>
      </c>
      <c r="J7" s="64">
        <f>SUM(J3:J6)</f>
        <v>1</v>
      </c>
    </row>
    <row r="8" spans="1:14">
      <c r="A8" s="36"/>
      <c r="B8" s="36"/>
      <c r="C8" s="37" t="s">
        <v>123</v>
      </c>
      <c r="D8" s="36"/>
      <c r="E8" s="36"/>
      <c r="F8" s="36"/>
      <c r="G8" s="164" t="s">
        <v>1</v>
      </c>
      <c r="I8" s="65" t="s">
        <v>136</v>
      </c>
    </row>
    <row r="9" spans="1:14">
      <c r="A9" s="39" t="s">
        <v>3</v>
      </c>
      <c r="B9" s="40" t="s">
        <v>133</v>
      </c>
      <c r="C9" s="42" t="s">
        <v>124</v>
      </c>
      <c r="D9" s="41"/>
      <c r="E9" s="163" t="s">
        <v>1</v>
      </c>
      <c r="F9" s="163" t="s">
        <v>151</v>
      </c>
      <c r="G9" s="163" t="s">
        <v>88</v>
      </c>
      <c r="I9" s="66" t="s">
        <v>4</v>
      </c>
      <c r="J9" s="65" t="s">
        <v>137</v>
      </c>
    </row>
    <row r="10" spans="1:14">
      <c r="A10" s="43" t="s">
        <v>7</v>
      </c>
      <c r="B10" s="44" t="s">
        <v>134</v>
      </c>
      <c r="C10" s="46" t="s">
        <v>46</v>
      </c>
      <c r="D10" s="43" t="s">
        <v>8</v>
      </c>
      <c r="E10" s="59" t="s">
        <v>8</v>
      </c>
      <c r="F10" s="59" t="s">
        <v>8</v>
      </c>
      <c r="G10" s="59" t="s">
        <v>8</v>
      </c>
      <c r="I10" s="67" t="s">
        <v>116</v>
      </c>
      <c r="J10" s="65" t="s">
        <v>46</v>
      </c>
    </row>
    <row r="11" spans="1:14">
      <c r="A11" s="39">
        <v>1962</v>
      </c>
      <c r="B11" s="154">
        <f>VLOOKUP($A11,Database!$A$74:$J$137,10)</f>
        <v>8760326</v>
      </c>
      <c r="C11" s="165" t="e">
        <f>NA()</f>
        <v>#N/A</v>
      </c>
      <c r="D11" s="54" t="e">
        <f t="shared" ref="D11:D34" si="0">C11-B11</f>
        <v>#N/A</v>
      </c>
      <c r="E11" s="165" t="e">
        <f>NA()</f>
        <v>#N/A</v>
      </c>
      <c r="F11" s="55" t="e">
        <f t="shared" ref="F11:F34" si="1">($C11-$B11)/$B11</f>
        <v>#N/A</v>
      </c>
      <c r="G11" s="55" t="e">
        <f t="shared" ref="G11:G34" si="2">ABS($C11-$B11)/$B11</f>
        <v>#N/A</v>
      </c>
      <c r="I11" s="161">
        <f t="shared" ref="I11:I35" si="3">B11</f>
        <v>8760326</v>
      </c>
      <c r="J11" s="160" t="e">
        <f>NA()</f>
        <v>#N/A</v>
      </c>
    </row>
    <row r="12" spans="1:14">
      <c r="A12" s="39">
        <v>1964</v>
      </c>
      <c r="B12" s="154">
        <f>VLOOKUP($A12,Database!$A$74:$J$137,10)</f>
        <v>6048576</v>
      </c>
      <c r="C12" s="144">
        <f>B11</f>
        <v>8760326</v>
      </c>
      <c r="D12" s="54">
        <f t="shared" si="0"/>
        <v>2711750</v>
      </c>
      <c r="E12" s="52">
        <f>ABS(C12-$B12)</f>
        <v>2711750</v>
      </c>
      <c r="F12" s="55">
        <f t="shared" si="1"/>
        <v>0.44832866446581809</v>
      </c>
      <c r="G12" s="55">
        <f t="shared" si="2"/>
        <v>0.44832866446581809</v>
      </c>
      <c r="I12" s="161">
        <f t="shared" si="3"/>
        <v>6048576</v>
      </c>
      <c r="J12" s="160" t="e">
        <f>NA()</f>
        <v>#N/A</v>
      </c>
    </row>
    <row r="13" spans="1:14">
      <c r="A13" s="39">
        <v>1966</v>
      </c>
      <c r="B13" s="154">
        <f>VLOOKUP($A13,Database!$A$74:$J$137,10)</f>
        <v>4122588</v>
      </c>
      <c r="C13" s="144">
        <f>0.9*$B12+0.1*C12</f>
        <v>6319751</v>
      </c>
      <c r="D13" s="54">
        <f t="shared" si="0"/>
        <v>2197163</v>
      </c>
      <c r="E13" s="52">
        <f>ABS(C13-$B13)</f>
        <v>2197163</v>
      </c>
      <c r="F13" s="55">
        <f t="shared" si="1"/>
        <v>0.53295721037367794</v>
      </c>
      <c r="G13" s="55">
        <f t="shared" si="2"/>
        <v>0.53295721037367794</v>
      </c>
      <c r="I13" s="161">
        <f t="shared" si="3"/>
        <v>4122588</v>
      </c>
      <c r="J13" s="160" t="e">
        <f>NA()</f>
        <v>#N/A</v>
      </c>
    </row>
    <row r="14" spans="1:14">
      <c r="A14" s="39">
        <v>1968</v>
      </c>
      <c r="B14" s="154">
        <f>VLOOKUP($A14,Database!$A$74:$J$137,10)</f>
        <v>3608678</v>
      </c>
      <c r="C14" s="144">
        <f>0.5*$B13+0.3*C13+0.2*C12</f>
        <v>5709284.5</v>
      </c>
      <c r="D14" s="54">
        <f t="shared" si="0"/>
        <v>2100606.5</v>
      </c>
      <c r="E14" s="52">
        <f>ABS(C14-$B14)</f>
        <v>2100606.5</v>
      </c>
      <c r="F14" s="55">
        <f t="shared" si="1"/>
        <v>0.58209862448242822</v>
      </c>
      <c r="G14" s="55">
        <f t="shared" si="2"/>
        <v>0.58209862448242822</v>
      </c>
      <c r="I14" s="161">
        <f t="shared" si="3"/>
        <v>3608678</v>
      </c>
      <c r="J14" s="160" t="e">
        <f>NA()</f>
        <v>#N/A</v>
      </c>
    </row>
    <row r="15" spans="1:14">
      <c r="A15" s="39">
        <v>1970</v>
      </c>
      <c r="B15" s="154">
        <f>VLOOKUP($A15,Database!$A$74:$J$137,10)</f>
        <v>3789216</v>
      </c>
      <c r="C15" s="62">
        <f t="shared" ref="C15:C37" si="4">$J$3*$B14+$J$4*C14+$J$5*C13+$J$6*C12</f>
        <v>3904206.8620603569</v>
      </c>
      <c r="D15" s="54">
        <f t="shared" si="0"/>
        <v>114990.86206035689</v>
      </c>
      <c r="E15" s="52">
        <f t="shared" ref="E15:E34" si="5">ABS(C15-$B15)</f>
        <v>114990.86206035689</v>
      </c>
      <c r="F15" s="55">
        <f t="shared" si="1"/>
        <v>3.0346874408942875E-2</v>
      </c>
      <c r="G15" s="55">
        <f t="shared" si="2"/>
        <v>3.0346874408942875E-2</v>
      </c>
      <c r="I15" s="161">
        <f t="shared" si="3"/>
        <v>3789216</v>
      </c>
      <c r="J15" s="162">
        <f t="shared" ref="J15:J34" si="6">C15</f>
        <v>3904206.8620603569</v>
      </c>
    </row>
    <row r="16" spans="1:14">
      <c r="A16" s="39">
        <v>1972</v>
      </c>
      <c r="B16" s="154">
        <f>VLOOKUP($A16,Database!$A$74:$J$137,10)</f>
        <v>695963</v>
      </c>
      <c r="C16" s="62">
        <f t="shared" si="4"/>
        <v>3805393.7651416562</v>
      </c>
      <c r="D16" s="54">
        <f t="shared" si="0"/>
        <v>3109430.7651416562</v>
      </c>
      <c r="E16" s="52">
        <f t="shared" si="5"/>
        <v>3109430.7651416562</v>
      </c>
      <c r="F16" s="55">
        <f t="shared" si="1"/>
        <v>4.4678104513338441</v>
      </c>
      <c r="G16" s="55">
        <f t="shared" si="2"/>
        <v>4.4678104513338441</v>
      </c>
      <c r="I16" s="161">
        <f t="shared" si="3"/>
        <v>695963</v>
      </c>
      <c r="J16" s="162">
        <f t="shared" si="6"/>
        <v>3805393.7651416562</v>
      </c>
    </row>
    <row r="17" spans="1:13">
      <c r="A17" s="39">
        <v>1974</v>
      </c>
      <c r="B17" s="154">
        <f>VLOOKUP($A17,Database!$A$74:$J$137,10)</f>
        <v>1012903</v>
      </c>
      <c r="C17" s="62">
        <f t="shared" si="4"/>
        <v>1133420.7226519005</v>
      </c>
      <c r="D17" s="54">
        <f t="shared" si="0"/>
        <v>120517.72265190049</v>
      </c>
      <c r="E17" s="52">
        <f t="shared" si="5"/>
        <v>120517.72265190049</v>
      </c>
      <c r="F17" s="55">
        <f t="shared" si="1"/>
        <v>0.11898249156325975</v>
      </c>
      <c r="G17" s="55">
        <f t="shared" si="2"/>
        <v>0.11898249156325975</v>
      </c>
      <c r="I17" s="161">
        <f t="shared" si="3"/>
        <v>1012903</v>
      </c>
      <c r="J17" s="162">
        <f t="shared" si="6"/>
        <v>1133420.7226519005</v>
      </c>
    </row>
    <row r="18" spans="1:13">
      <c r="A18" s="39">
        <v>1976</v>
      </c>
      <c r="B18" s="154">
        <f>VLOOKUP($A18,Database!$A$74:$J$137,10)</f>
        <v>1161051</v>
      </c>
      <c r="C18" s="62">
        <f t="shared" si="4"/>
        <v>1029858.3247756882</v>
      </c>
      <c r="D18" s="54">
        <f t="shared" si="0"/>
        <v>-131192.67522431177</v>
      </c>
      <c r="E18" s="52">
        <f t="shared" si="5"/>
        <v>131192.67522431177</v>
      </c>
      <c r="F18" s="55">
        <f t="shared" si="1"/>
        <v>-0.11299475666814961</v>
      </c>
      <c r="G18" s="55">
        <f t="shared" si="2"/>
        <v>0.11299475666814961</v>
      </c>
      <c r="I18" s="161">
        <f t="shared" si="3"/>
        <v>1161051</v>
      </c>
      <c r="J18" s="162">
        <f t="shared" si="6"/>
        <v>1029858.3247756882</v>
      </c>
    </row>
    <row r="19" spans="1:13">
      <c r="A19" s="39">
        <v>1978</v>
      </c>
      <c r="B19" s="154">
        <f>VLOOKUP($A19,Database!$A$74:$J$137,10)</f>
        <v>3925083</v>
      </c>
      <c r="C19" s="62">
        <f t="shared" si="4"/>
        <v>1142593.8439264114</v>
      </c>
      <c r="D19" s="54">
        <f t="shared" si="0"/>
        <v>-2782489.1560735889</v>
      </c>
      <c r="E19" s="52">
        <f t="shared" si="5"/>
        <v>2782489.1560735889</v>
      </c>
      <c r="F19" s="55">
        <f t="shared" si="1"/>
        <v>-0.70889944392859694</v>
      </c>
      <c r="G19" s="55">
        <f t="shared" si="2"/>
        <v>0.70889944392859694</v>
      </c>
      <c r="I19" s="161">
        <f t="shared" si="3"/>
        <v>3925083</v>
      </c>
      <c r="J19" s="162">
        <f t="shared" si="6"/>
        <v>1142593.8439264114</v>
      </c>
    </row>
    <row r="20" spans="1:13">
      <c r="A20" s="39">
        <v>1980</v>
      </c>
      <c r="B20" s="154">
        <f>VLOOKUP($A20,Database!$A$74:$J$137,10)</f>
        <v>14013916</v>
      </c>
      <c r="C20" s="62">
        <f t="shared" si="4"/>
        <v>3533621.8415251919</v>
      </c>
      <c r="D20" s="54">
        <f t="shared" si="0"/>
        <v>-10480294.158474809</v>
      </c>
      <c r="E20" s="52">
        <f t="shared" si="5"/>
        <v>10480294.158474809</v>
      </c>
      <c r="F20" s="55">
        <f t="shared" si="1"/>
        <v>-0.74784907790761757</v>
      </c>
      <c r="G20" s="55">
        <f t="shared" si="2"/>
        <v>0.74784907790761757</v>
      </c>
      <c r="I20" s="161">
        <f t="shared" si="3"/>
        <v>14013916</v>
      </c>
      <c r="J20" s="162">
        <f t="shared" si="6"/>
        <v>3533621.8415251919</v>
      </c>
    </row>
    <row r="21" spans="1:13" ht="13.5" customHeight="1">
      <c r="A21" s="39">
        <v>1982</v>
      </c>
      <c r="B21" s="154">
        <f>VLOOKUP($A21,Database!$A$74:$J$137,10)</f>
        <v>16794317</v>
      </c>
      <c r="C21" s="62">
        <f t="shared" si="4"/>
        <v>12539470.687795229</v>
      </c>
      <c r="D21" s="54">
        <f t="shared" si="0"/>
        <v>-4254846.3122047707</v>
      </c>
      <c r="E21" s="52">
        <f t="shared" si="5"/>
        <v>4254846.3122047707</v>
      </c>
      <c r="F21" s="55">
        <f t="shared" si="1"/>
        <v>-0.25335036323327531</v>
      </c>
      <c r="G21" s="55">
        <f t="shared" si="2"/>
        <v>0.25335036323327531</v>
      </c>
      <c r="I21" s="161">
        <f t="shared" si="3"/>
        <v>16794317</v>
      </c>
      <c r="J21" s="162">
        <f t="shared" si="6"/>
        <v>12539470.687795229</v>
      </c>
      <c r="K21" s="58"/>
      <c r="L21" s="58"/>
      <c r="M21" s="58"/>
    </row>
    <row r="22" spans="1:13">
      <c r="A22" s="39">
        <v>1984</v>
      </c>
      <c r="B22" s="154">
        <f>VLOOKUP($A22,Database!$A$74:$J$137,10)</f>
        <v>21201513</v>
      </c>
      <c r="C22" s="62">
        <f t="shared" si="4"/>
        <v>16195713.744755581</v>
      </c>
      <c r="D22" s="54">
        <f t="shared" si="0"/>
        <v>-5005799.255244419</v>
      </c>
      <c r="E22" s="52">
        <f t="shared" si="5"/>
        <v>5005799.255244419</v>
      </c>
      <c r="F22" s="55">
        <f t="shared" si="1"/>
        <v>-0.23610575600167871</v>
      </c>
      <c r="G22" s="55">
        <f t="shared" si="2"/>
        <v>0.23610575600167871</v>
      </c>
      <c r="I22" s="161">
        <f t="shared" si="3"/>
        <v>21201513</v>
      </c>
      <c r="J22" s="162">
        <f t="shared" si="6"/>
        <v>16195713.744755581</v>
      </c>
      <c r="K22" s="58"/>
      <c r="L22" s="58"/>
      <c r="M22" s="58"/>
    </row>
    <row r="23" spans="1:13">
      <c r="A23" s="39">
        <v>1986</v>
      </c>
      <c r="B23" s="154">
        <f>VLOOKUP($A23,Database!$A$74:$J$137,10)</f>
        <v>5563957</v>
      </c>
      <c r="C23" s="62">
        <f t="shared" si="4"/>
        <v>20497260.129410021</v>
      </c>
      <c r="D23" s="54">
        <f t="shared" si="0"/>
        <v>14933303.129410021</v>
      </c>
      <c r="E23" s="52">
        <f t="shared" si="5"/>
        <v>14933303.129410021</v>
      </c>
      <c r="F23" s="55">
        <f t="shared" si="1"/>
        <v>2.6839357546095379</v>
      </c>
      <c r="G23" s="55">
        <f t="shared" si="2"/>
        <v>2.6839357546095379</v>
      </c>
      <c r="I23" s="161">
        <f t="shared" si="3"/>
        <v>5563957</v>
      </c>
      <c r="J23" s="162">
        <f t="shared" si="6"/>
        <v>20497260.129410021</v>
      </c>
      <c r="K23" s="58"/>
      <c r="L23" s="58"/>
      <c r="M23" s="58"/>
    </row>
    <row r="24" spans="1:13">
      <c r="A24" s="39">
        <v>1988</v>
      </c>
      <c r="B24" s="154">
        <f>VLOOKUP($A24,Database!$A$74:$J$137,10)</f>
        <v>1766936</v>
      </c>
      <c r="C24" s="62">
        <f t="shared" si="4"/>
        <v>7664884.556225745</v>
      </c>
      <c r="D24" s="54">
        <f t="shared" si="0"/>
        <v>5897948.556225745</v>
      </c>
      <c r="E24" s="52">
        <f t="shared" si="5"/>
        <v>5897948.556225745</v>
      </c>
      <c r="F24" s="55">
        <f t="shared" si="1"/>
        <v>3.3379525666044185</v>
      </c>
      <c r="G24" s="55">
        <f t="shared" si="2"/>
        <v>3.3379525666044185</v>
      </c>
      <c r="I24" s="161">
        <f t="shared" si="3"/>
        <v>1766936</v>
      </c>
      <c r="J24" s="162">
        <f t="shared" si="6"/>
        <v>7664884.556225745</v>
      </c>
      <c r="K24" s="58"/>
      <c r="L24" s="58"/>
      <c r="M24" s="58"/>
    </row>
    <row r="25" spans="1:13">
      <c r="A25" s="39">
        <v>1990</v>
      </c>
      <c r="B25" s="154">
        <f>VLOOKUP($A25,Database!$A$74:$J$137,10)</f>
        <v>12923662</v>
      </c>
      <c r="C25" s="62">
        <f t="shared" si="4"/>
        <v>2596703.0340979714</v>
      </c>
      <c r="D25" s="54">
        <f t="shared" si="0"/>
        <v>-10326958.965902029</v>
      </c>
      <c r="E25" s="52">
        <f t="shared" si="5"/>
        <v>10326958.965902029</v>
      </c>
      <c r="F25" s="55">
        <f>($C25-$B25)/$B25</f>
        <v>-0.79907374286808408</v>
      </c>
      <c r="G25" s="55">
        <f t="shared" si="2"/>
        <v>0.79907374286808408</v>
      </c>
      <c r="I25" s="161">
        <f t="shared" si="3"/>
        <v>12923662</v>
      </c>
      <c r="J25" s="162">
        <f t="shared" si="6"/>
        <v>2596703.0340979714</v>
      </c>
      <c r="K25" s="58"/>
      <c r="L25" s="58"/>
      <c r="M25" s="58"/>
    </row>
    <row r="26" spans="1:13">
      <c r="A26" s="39">
        <v>1992</v>
      </c>
      <c r="B26" s="154">
        <f>VLOOKUP($A26,Database!$A$74:$J$137,10)</f>
        <v>1405383</v>
      </c>
      <c r="C26" s="62">
        <f t="shared" si="4"/>
        <v>11470789.017012928</v>
      </c>
      <c r="D26" s="54">
        <f t="shared" si="0"/>
        <v>10065406.017012928</v>
      </c>
      <c r="E26" s="52">
        <f t="shared" si="5"/>
        <v>10065406.017012928</v>
      </c>
      <c r="F26" s="55">
        <f t="shared" si="1"/>
        <v>7.1620376915139348</v>
      </c>
      <c r="G26" s="55">
        <f t="shared" si="2"/>
        <v>7.1620376915139348</v>
      </c>
      <c r="I26" s="161">
        <f t="shared" si="3"/>
        <v>1405383</v>
      </c>
      <c r="J26" s="162">
        <f t="shared" si="6"/>
        <v>11470789.017012928</v>
      </c>
      <c r="K26" s="58"/>
      <c r="L26" s="58"/>
      <c r="M26" s="58"/>
    </row>
    <row r="27" spans="1:13">
      <c r="A27" s="39">
        <v>1994</v>
      </c>
      <c r="B27" s="154">
        <f>VLOOKUP($A27,Database!$A$74:$J$137,10)</f>
        <v>4666639</v>
      </c>
      <c r="C27" s="62">
        <f t="shared" si="4"/>
        <v>2821458.7792491373</v>
      </c>
      <c r="D27" s="54">
        <f t="shared" si="0"/>
        <v>-1845180.2207508627</v>
      </c>
      <c r="E27" s="52">
        <f t="shared" si="5"/>
        <v>1845180.2207508627</v>
      </c>
      <c r="F27" s="55">
        <f t="shared" si="1"/>
        <v>-0.39539810573538314</v>
      </c>
      <c r="G27" s="55">
        <f t="shared" si="2"/>
        <v>0.39539810573538314</v>
      </c>
      <c r="I27" s="161">
        <f t="shared" si="3"/>
        <v>4666639</v>
      </c>
      <c r="J27" s="162">
        <f t="shared" si="6"/>
        <v>2821458.7792491373</v>
      </c>
      <c r="K27" s="58"/>
      <c r="L27" s="58"/>
      <c r="M27" s="58"/>
    </row>
    <row r="28" spans="1:13">
      <c r="A28" s="39">
        <v>1996</v>
      </c>
      <c r="B28" s="154">
        <f>VLOOKUP($A28,Database!$A$74:$J$137,10)</f>
        <v>4500085</v>
      </c>
      <c r="C28" s="62">
        <f t="shared" si="4"/>
        <v>4407045.3964694096</v>
      </c>
      <c r="D28" s="54">
        <f t="shared" si="0"/>
        <v>-93039.603530590422</v>
      </c>
      <c r="E28" s="52">
        <f t="shared" si="5"/>
        <v>93039.603530590422</v>
      </c>
      <c r="F28" s="55">
        <f t="shared" si="1"/>
        <v>-2.0675076922011568E-2</v>
      </c>
      <c r="G28" s="55">
        <f t="shared" si="2"/>
        <v>2.0675076922011568E-2</v>
      </c>
      <c r="I28" s="161">
        <f t="shared" si="3"/>
        <v>4500085</v>
      </c>
      <c r="J28" s="162">
        <f t="shared" si="6"/>
        <v>4407045.3964694096</v>
      </c>
      <c r="K28" s="58"/>
      <c r="L28" s="58"/>
      <c r="M28" s="58"/>
    </row>
    <row r="29" spans="1:13">
      <c r="A29" s="39">
        <v>1998</v>
      </c>
      <c r="B29" s="154">
        <f>VLOOKUP($A29,Database!$A$74:$J$137,10)</f>
        <v>5274275.5</v>
      </c>
      <c r="C29" s="62">
        <f t="shared" si="4"/>
        <v>4486995.5002969652</v>
      </c>
      <c r="D29" s="54">
        <f t="shared" si="0"/>
        <v>-787279.99970303476</v>
      </c>
      <c r="E29" s="52">
        <f t="shared" si="5"/>
        <v>787279.99970303476</v>
      </c>
      <c r="F29" s="55">
        <f t="shared" si="1"/>
        <v>-0.14926789465264656</v>
      </c>
      <c r="G29" s="55">
        <f t="shared" si="2"/>
        <v>0.14926789465264656</v>
      </c>
      <c r="I29" s="161">
        <f t="shared" si="3"/>
        <v>5274275.5</v>
      </c>
      <c r="J29" s="162">
        <f t="shared" si="6"/>
        <v>4486995.5002969652</v>
      </c>
    </row>
    <row r="30" spans="1:13">
      <c r="A30" s="39">
        <v>2000</v>
      </c>
      <c r="B30" s="154">
        <f>VLOOKUP($A30,Database!$A$74:$J$137,10)</f>
        <v>7389941</v>
      </c>
      <c r="C30" s="62">
        <f t="shared" si="4"/>
        <v>5163515.1255866494</v>
      </c>
      <c r="D30" s="54">
        <f t="shared" si="0"/>
        <v>-2226425.8744133506</v>
      </c>
      <c r="E30" s="52">
        <f t="shared" si="5"/>
        <v>2226425.8744133506</v>
      </c>
      <c r="F30" s="55">
        <f t="shared" si="1"/>
        <v>-0.30127789577932362</v>
      </c>
      <c r="G30" s="55">
        <f t="shared" si="2"/>
        <v>0.30127789577932362</v>
      </c>
      <c r="I30" s="161">
        <f t="shared" si="3"/>
        <v>7389941</v>
      </c>
      <c r="J30" s="162">
        <f t="shared" si="6"/>
        <v>5163515.1255866494</v>
      </c>
    </row>
    <row r="31" spans="1:13">
      <c r="A31" s="39">
        <v>2002</v>
      </c>
      <c r="B31" s="154">
        <f>VLOOKUP($A31,Database!$A$74:$J$137,10)</f>
        <v>1264645.3102025923</v>
      </c>
      <c r="C31" s="62">
        <f t="shared" si="4"/>
        <v>7076710.9375741649</v>
      </c>
      <c r="D31" s="54">
        <f t="shared" si="0"/>
        <v>5812065.6273715729</v>
      </c>
      <c r="E31" s="52">
        <f t="shared" si="5"/>
        <v>5812065.6273715729</v>
      </c>
      <c r="F31" s="55">
        <f t="shared" si="1"/>
        <v>4.595806887893727</v>
      </c>
      <c r="G31" s="55">
        <f t="shared" si="2"/>
        <v>4.595806887893727</v>
      </c>
      <c r="I31" s="161">
        <f t="shared" si="3"/>
        <v>1264645.3102025923</v>
      </c>
      <c r="J31" s="162">
        <f t="shared" si="6"/>
        <v>7076710.9375741649</v>
      </c>
    </row>
    <row r="32" spans="1:13">
      <c r="A32" s="39">
        <v>2004</v>
      </c>
      <c r="B32" s="154">
        <f>VLOOKUP($A32,Database!$A$74:$J$137,10)</f>
        <v>4939431.0563474381</v>
      </c>
      <c r="C32" s="62">
        <f t="shared" si="4"/>
        <v>2082329.6985338847</v>
      </c>
      <c r="D32" s="54">
        <f t="shared" si="0"/>
        <v>-2857101.3578135534</v>
      </c>
      <c r="E32" s="52">
        <f t="shared" si="5"/>
        <v>2857101.3578135534</v>
      </c>
      <c r="F32" s="55">
        <f t="shared" si="1"/>
        <v>-0.57842721666132424</v>
      </c>
      <c r="G32" s="55">
        <f t="shared" si="2"/>
        <v>0.57842721666132424</v>
      </c>
      <c r="I32" s="161">
        <f t="shared" si="3"/>
        <v>4939431.0563474381</v>
      </c>
      <c r="J32" s="162">
        <f>C32</f>
        <v>2082329.6985338847</v>
      </c>
    </row>
    <row r="33" spans="1:11">
      <c r="A33" s="39">
        <v>2006</v>
      </c>
      <c r="B33" s="154">
        <f>VLOOKUP($A33,Database!$A$74:$J$137,10)</f>
        <v>3314702.7753436686</v>
      </c>
      <c r="C33" s="62">
        <f t="shared" si="4"/>
        <v>4537472.9013737477</v>
      </c>
      <c r="D33" s="54">
        <f t="shared" si="0"/>
        <v>1222770.1260300791</v>
      </c>
      <c r="E33" s="52">
        <f t="shared" si="5"/>
        <v>1222770.1260300791</v>
      </c>
      <c r="F33" s="55">
        <f t="shared" si="1"/>
        <v>0.36889284165253766</v>
      </c>
      <c r="G33" s="55">
        <f t="shared" si="2"/>
        <v>0.36889284165253766</v>
      </c>
      <c r="I33" s="161">
        <f t="shared" si="3"/>
        <v>3314702.7753436686</v>
      </c>
      <c r="J33" s="162">
        <f t="shared" si="6"/>
        <v>4537472.9013737477</v>
      </c>
    </row>
    <row r="34" spans="1:11">
      <c r="A34" s="39">
        <v>2008</v>
      </c>
      <c r="B34" s="154">
        <f>VLOOKUP($A34,Database!$A$74:$J$137,10)</f>
        <v>2290691.6775990888</v>
      </c>
      <c r="C34" s="62">
        <f t="shared" si="4"/>
        <v>3486731.1223506248</v>
      </c>
      <c r="D34" s="54">
        <f t="shared" si="0"/>
        <v>1196039.444751536</v>
      </c>
      <c r="E34" s="52">
        <f t="shared" si="5"/>
        <v>1196039.444751536</v>
      </c>
      <c r="F34" s="55">
        <f t="shared" si="1"/>
        <v>0.52213026154839159</v>
      </c>
      <c r="G34" s="55">
        <f t="shared" si="2"/>
        <v>0.52213026154839159</v>
      </c>
      <c r="I34" s="161">
        <f t="shared" si="3"/>
        <v>2290691.6775990888</v>
      </c>
      <c r="J34" s="162">
        <f t="shared" si="6"/>
        <v>3486731.1223506248</v>
      </c>
    </row>
    <row r="35" spans="1:11">
      <c r="A35" s="67">
        <v>2010</v>
      </c>
      <c r="B35" s="154">
        <f>VLOOKUP($A35,Database!$A$74:$J$137,10)</f>
        <v>4399390.7272172375</v>
      </c>
      <c r="C35" s="62">
        <f t="shared" si="4"/>
        <v>2458959.3546184273</v>
      </c>
      <c r="D35" s="54">
        <f>C35-B35</f>
        <v>-1940431.3725988101</v>
      </c>
      <c r="E35" s="52">
        <f>ABS(C35-$B35)</f>
        <v>1940431.3725988101</v>
      </c>
      <c r="F35" s="55">
        <f>($C35-$B35)/$B35</f>
        <v>-0.44106820532992264</v>
      </c>
      <c r="G35" s="55">
        <f>ABS($C35-$B35)/$B35</f>
        <v>0.44106820532992264</v>
      </c>
      <c r="I35" s="161">
        <f t="shared" si="3"/>
        <v>4399390.7272172375</v>
      </c>
      <c r="J35" s="162">
        <f>C35</f>
        <v>2458959.3546184273</v>
      </c>
    </row>
    <row r="36" spans="1:11">
      <c r="A36" s="39">
        <v>2012</v>
      </c>
      <c r="B36" s="154">
        <f>VLOOKUP($A36,Database!$A$74:$J$137,10)</f>
        <v>4428267.5450134957</v>
      </c>
      <c r="C36" s="62">
        <f t="shared" si="4"/>
        <v>4126396.4870059732</v>
      </c>
      <c r="D36" s="54">
        <f>C36-B36</f>
        <v>-301871.05800752249</v>
      </c>
      <c r="E36" s="52">
        <f>ABS(C36-$B36)</f>
        <v>301871.05800752249</v>
      </c>
      <c r="F36" s="55">
        <f>($C36-$B36)/$B36</f>
        <v>-6.816911014047651E-2</v>
      </c>
      <c r="G36" s="55">
        <f>ABS($C36-$B36)/$B36</f>
        <v>6.816911014047651E-2</v>
      </c>
      <c r="I36" s="161">
        <f>B36</f>
        <v>4428267.5450134957</v>
      </c>
      <c r="J36" s="162">
        <f>C36</f>
        <v>4126396.4870059732</v>
      </c>
    </row>
    <row r="37" spans="1:11">
      <c r="A37" s="39">
        <v>2014</v>
      </c>
      <c r="B37" s="156"/>
      <c r="C37" s="62">
        <f t="shared" si="4"/>
        <v>4385798.0914238207</v>
      </c>
      <c r="D37" s="54"/>
      <c r="E37" s="52"/>
      <c r="F37" s="52"/>
      <c r="G37" s="55"/>
      <c r="I37" s="160"/>
      <c r="J37" s="162">
        <f>C37</f>
        <v>4385798.0914238207</v>
      </c>
    </row>
    <row r="38" spans="1:11">
      <c r="A38" s="67"/>
      <c r="B38" s="156"/>
      <c r="C38" s="62"/>
      <c r="D38" s="54"/>
      <c r="E38" s="52"/>
      <c r="F38" s="52"/>
      <c r="G38" s="55"/>
      <c r="I38" s="160"/>
      <c r="J38" s="366"/>
    </row>
    <row r="39" spans="1:11">
      <c r="A39" s="39"/>
      <c r="B39" s="156"/>
      <c r="C39" s="62"/>
      <c r="D39" s="54"/>
      <c r="E39" s="52"/>
      <c r="F39" s="52"/>
      <c r="G39" s="55"/>
      <c r="I39" s="160"/>
      <c r="J39" s="366"/>
    </row>
    <row r="40" spans="1:11">
      <c r="A40" s="39"/>
      <c r="B40" s="156"/>
      <c r="C40" s="62"/>
      <c r="D40" s="54"/>
      <c r="E40" s="52"/>
      <c r="F40" s="52"/>
      <c r="G40" s="55"/>
      <c r="I40" s="160"/>
      <c r="J40" s="366"/>
    </row>
    <row r="41" spans="1:11">
      <c r="A41" s="39"/>
      <c r="B41" s="156"/>
      <c r="C41" s="52"/>
      <c r="D41" s="54"/>
      <c r="E41" s="52"/>
      <c r="F41" s="52"/>
      <c r="I41" s="47"/>
      <c r="J41" s="47"/>
    </row>
    <row r="42" spans="1:11">
      <c r="A42" s="36" t="s">
        <v>121</v>
      </c>
      <c r="B42" s="179">
        <f>COUNT(B11:B41)</f>
        <v>26</v>
      </c>
      <c r="C42" s="179">
        <f>COUNT(C15:C41)</f>
        <v>23</v>
      </c>
      <c r="D42" s="191">
        <f>COUNT(D15:D41)</f>
        <v>22</v>
      </c>
      <c r="E42" s="179">
        <f>COUNT(E15:E41)</f>
        <v>22</v>
      </c>
      <c r="F42" s="179">
        <f>COUNT(F15:F41)</f>
        <v>22</v>
      </c>
      <c r="G42" s="179">
        <f>COUNT(G15:G41)</f>
        <v>22</v>
      </c>
    </row>
    <row r="43" spans="1:11" ht="23">
      <c r="A43" s="41" t="s">
        <v>46</v>
      </c>
      <c r="B43" s="177"/>
      <c r="C43" s="367">
        <f>VLOOKUP(Forecast_Year,A11:C37,3)</f>
        <v>4385798.0914238207</v>
      </c>
      <c r="D43" s="193"/>
      <c r="E43" s="177"/>
      <c r="F43" s="177"/>
      <c r="G43" s="177"/>
    </row>
    <row r="44" spans="1:11">
      <c r="A44" s="41" t="s">
        <v>158</v>
      </c>
      <c r="B44" s="155"/>
      <c r="C44" s="155"/>
      <c r="D44" s="192"/>
      <c r="E44" s="155"/>
      <c r="F44" s="155"/>
      <c r="G44" s="155"/>
      <c r="I44" s="61"/>
      <c r="J44" s="61"/>
      <c r="K44" s="61"/>
    </row>
    <row r="45" spans="1:11">
      <c r="A45" s="41" t="s">
        <v>56</v>
      </c>
      <c r="B45" s="177">
        <f>AVERAGE(B11:B41)</f>
        <v>5740851.4458355196</v>
      </c>
      <c r="C45" s="177">
        <f>AVERAGE(C15:C41)</f>
        <v>5675970.8662548456</v>
      </c>
      <c r="D45" s="193">
        <f>AVERAGE(D15:D41)</f>
        <v>-25474.443603902633</v>
      </c>
      <c r="E45" s="177">
        <f>AVERAGE(E15:E41)</f>
        <v>3886608.2845726116</v>
      </c>
      <c r="F45" s="178">
        <f>AVERAGE(F15:F41)</f>
        <v>0.83978814433182269</v>
      </c>
      <c r="G45" s="166">
        <f>AVERAGE(G15:G41)</f>
        <v>1.2772932939525947</v>
      </c>
    </row>
    <row r="46" spans="1:11">
      <c r="A46" s="41" t="s">
        <v>141</v>
      </c>
      <c r="B46" s="177">
        <f>MEDIAN(B11:B41)</f>
        <v>4413829.1361153666</v>
      </c>
      <c r="C46" s="177">
        <f>MEDIAN(C15:C41)</f>
        <v>4126396.4870059732</v>
      </c>
      <c r="D46" s="193">
        <f>MEDIAN(D15:D41)</f>
        <v>-216531.86661591713</v>
      </c>
      <c r="E46" s="177">
        <f>MEDIAN(E15:E41)</f>
        <v>2504457.5152434697</v>
      </c>
      <c r="F46" s="178">
        <f>MEDIAN(F15:F41)</f>
        <v>-9.0581933404313059E-2</v>
      </c>
      <c r="G46" s="178">
        <f>MEDIAN(G15:G41)</f>
        <v>0.41823315553265289</v>
      </c>
    </row>
    <row r="47" spans="1:11">
      <c r="A47" s="41" t="s">
        <v>156</v>
      </c>
      <c r="B47" s="177">
        <f>MIN(B11:B41)</f>
        <v>695963</v>
      </c>
      <c r="C47" s="177">
        <f>MIN(C15:C41)</f>
        <v>1029858.3247756882</v>
      </c>
      <c r="D47" s="193">
        <f>MIN(D15:D41)</f>
        <v>-10480294.158474809</v>
      </c>
      <c r="E47" s="177">
        <f>MIN(E15:E41)</f>
        <v>93039.603530590422</v>
      </c>
      <c r="F47" s="178">
        <f>MIN(F15:F41)</f>
        <v>-0.79907374286808408</v>
      </c>
      <c r="G47" s="178">
        <f>MIN(G15:G41)</f>
        <v>2.0675076922011568E-2</v>
      </c>
    </row>
    <row r="48" spans="1:11">
      <c r="A48" s="41" t="s">
        <v>157</v>
      </c>
      <c r="B48" s="177">
        <f>MAX(B11:B41)</f>
        <v>21201513</v>
      </c>
      <c r="C48" s="177">
        <f>MAX(C15:C41)</f>
        <v>20497260.129410021</v>
      </c>
      <c r="D48" s="193">
        <f>MAX(D15:D41)</f>
        <v>14933303.129410021</v>
      </c>
      <c r="E48" s="177">
        <f>MAX(E15:E41)</f>
        <v>14933303.129410021</v>
      </c>
      <c r="F48" s="178">
        <f>MAX(F15:F41)</f>
        <v>7.1620376915139348</v>
      </c>
      <c r="G48" s="178">
        <f>MAX(G15:G41)</f>
        <v>7.1620376915139348</v>
      </c>
    </row>
    <row r="49" spans="1:7">
      <c r="A49" s="45" t="s">
        <v>119</v>
      </c>
      <c r="B49" s="180">
        <f>STDEV(B11:B41)</f>
        <v>5121524.5420153616</v>
      </c>
      <c r="C49" s="180">
        <f>STDEV(C15:C41)</f>
        <v>4978481.7386597749</v>
      </c>
      <c r="D49" s="194">
        <f>STDEV(D15:D41)</f>
        <v>5748303.9177585077</v>
      </c>
      <c r="E49" s="180">
        <f>STDEV(E15:E41)</f>
        <v>4149534.1466573393</v>
      </c>
      <c r="F49" s="181">
        <f>STDEV(F15:F41)</f>
        <v>2.1631989180506515</v>
      </c>
      <c r="G49" s="181">
        <f>STDEV(G15:G41)</f>
        <v>1.9258995677841422</v>
      </c>
    </row>
  </sheetData>
  <phoneticPr fontId="30" type="noConversion"/>
  <pageMargins left="0.75" right="0.75" top="1" bottom="1" header="0.5" footer="0.5"/>
  <pageSetup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tabColor rgb="FFFFFF00"/>
    <pageSetUpPr fitToPage="1"/>
  </sheetPr>
  <dimension ref="A1:O71"/>
  <sheetViews>
    <sheetView zoomScale="75" workbookViewId="0"/>
  </sheetViews>
  <sheetFormatPr baseColWidth="10" defaultColWidth="8.85546875" defaultRowHeight="16"/>
  <cols>
    <col min="1" max="1" width="8.85546875" style="34"/>
    <col min="2" max="2" width="11.5703125" style="34" customWidth="1"/>
    <col min="3" max="3" width="10.7109375" style="34" customWidth="1"/>
    <col min="4" max="4" width="11.28515625" style="34" customWidth="1"/>
    <col min="5" max="6" width="10.7109375" style="34" customWidth="1"/>
    <col min="7" max="7" width="11.42578125" style="34" customWidth="1"/>
    <col min="8" max="8" width="2.7109375" style="34" customWidth="1"/>
    <col min="9" max="10" width="8.85546875" style="34"/>
    <col min="11" max="11" width="7.28515625" style="34" customWidth="1"/>
    <col min="12" max="12" width="11.42578125" style="34" customWidth="1"/>
    <col min="13" max="16384" width="8.85546875" style="34"/>
  </cols>
  <sheetData>
    <row r="1" spans="1:15">
      <c r="A1" s="33" t="str">
        <f ca="1">CELL("filename",A1)</f>
        <v>/Users/janohlberger/Work/UW/Thresholds/Data/Rich/[2018_PWS_Wild_Pink_forecast_DRAFT.xlsm]Lag1_Exp_smoothing_Harvest</v>
      </c>
    </row>
    <row r="2" spans="1:15" ht="17" thickBot="1"/>
    <row r="3" spans="1:15">
      <c r="A3" s="35" t="s">
        <v>122</v>
      </c>
      <c r="B3" s="35" t="s">
        <v>161</v>
      </c>
      <c r="J3" s="41"/>
      <c r="L3" s="48"/>
      <c r="M3" s="182"/>
      <c r="N3" s="183" t="s">
        <v>214</v>
      </c>
      <c r="O3" s="184">
        <v>0.2605029537197216</v>
      </c>
    </row>
    <row r="4" spans="1:15" ht="17" thickBot="1">
      <c r="A4" s="35"/>
      <c r="B4" s="35" t="s">
        <v>153</v>
      </c>
      <c r="J4" s="41"/>
      <c r="L4" s="185"/>
      <c r="M4" s="186"/>
      <c r="N4" s="187" t="s">
        <v>159</v>
      </c>
      <c r="O4" s="188">
        <f>G65</f>
        <v>5.0762648516225664</v>
      </c>
    </row>
    <row r="5" spans="1:15">
      <c r="A5" s="45"/>
      <c r="B5" s="45"/>
    </row>
    <row r="6" spans="1:15" ht="54.75" customHeight="1">
      <c r="A6" s="38" t="s">
        <v>3</v>
      </c>
      <c r="B6" s="189" t="s">
        <v>57</v>
      </c>
      <c r="C6" s="171" t="s">
        <v>130</v>
      </c>
      <c r="D6" s="171" t="s">
        <v>154</v>
      </c>
      <c r="E6" s="171" t="s">
        <v>131</v>
      </c>
      <c r="F6" s="170" t="s">
        <v>155</v>
      </c>
      <c r="G6" s="169" t="s">
        <v>132</v>
      </c>
    </row>
    <row r="7" spans="1:15">
      <c r="A7" s="43" t="s">
        <v>7</v>
      </c>
      <c r="B7" s="44" t="s">
        <v>134</v>
      </c>
      <c r="C7" s="174"/>
      <c r="D7" s="168"/>
      <c r="E7" s="45"/>
      <c r="F7" s="45"/>
      <c r="G7" s="45"/>
    </row>
    <row r="8" spans="1:15">
      <c r="A8" s="39">
        <v>1962</v>
      </c>
      <c r="B8" s="154">
        <f>VLOOKUP($A8,Database!$A$74:$J$137,3)</f>
        <v>6742316</v>
      </c>
      <c r="C8" s="155"/>
      <c r="D8" s="155"/>
      <c r="E8" s="155"/>
      <c r="F8" s="155"/>
      <c r="G8" s="155"/>
    </row>
    <row r="9" spans="1:15">
      <c r="A9" s="39">
        <v>1963</v>
      </c>
      <c r="B9" s="154">
        <f>VLOOKUP($A9,Database!$A$74:$J$137,3)</f>
        <v>5295378</v>
      </c>
      <c r="C9" s="144">
        <f>$B8</f>
        <v>6742316</v>
      </c>
      <c r="D9" s="144"/>
      <c r="E9" s="52">
        <f>ABS(C9-$B9)</f>
        <v>1446938</v>
      </c>
      <c r="F9" s="155"/>
      <c r="G9" s="155"/>
    </row>
    <row r="10" spans="1:15">
      <c r="A10" s="39">
        <v>1964</v>
      </c>
      <c r="B10" s="154">
        <f>VLOOKUP($A10,Database!$A$74:$J$137,3)</f>
        <v>4206896</v>
      </c>
      <c r="C10" s="52">
        <f t="shared" ref="C10:C60" si="0">$O$3*$B9+(1-$O$3)*$C9</f>
        <v>6365384.3771506939</v>
      </c>
      <c r="D10" s="54">
        <f t="shared" ref="D10:D55" si="1">C10-B10</f>
        <v>2158488.3771506939</v>
      </c>
      <c r="E10" s="52">
        <f t="shared" ref="E10:E55" si="2">ABS(C10-$B10)</f>
        <v>2158488.3771506939</v>
      </c>
      <c r="F10" s="55">
        <f>($C10-$B10)/$B10</f>
        <v>0.51308337005495119</v>
      </c>
      <c r="G10" s="55">
        <f t="shared" ref="G10:G59" si="3">ABS($C10-$B10)/$B10</f>
        <v>0.51308337005495119</v>
      </c>
    </row>
    <row r="11" spans="1:15">
      <c r="A11" s="39">
        <v>1965</v>
      </c>
      <c r="B11" s="154">
        <f>VLOOKUP($A11,Database!$A$74:$J$137,3)</f>
        <v>2460471</v>
      </c>
      <c r="C11" s="52">
        <f t="shared" si="0"/>
        <v>5803091.7793332497</v>
      </c>
      <c r="D11" s="54">
        <f t="shared" si="1"/>
        <v>3342620.7793332497</v>
      </c>
      <c r="E11" s="52">
        <f t="shared" si="2"/>
        <v>3342620.7793332497</v>
      </c>
      <c r="F11" s="55">
        <f t="shared" ref="F11:F56" si="4">(C11-B11)/B11</f>
        <v>1.3585288261203849</v>
      </c>
      <c r="G11" s="55">
        <f t="shared" si="3"/>
        <v>1.3585288261203849</v>
      </c>
    </row>
    <row r="12" spans="1:15">
      <c r="A12" s="39">
        <v>1966</v>
      </c>
      <c r="B12" s="154">
        <f>VLOOKUP($A12,Database!$A$74:$J$137,3)</f>
        <v>2699418</v>
      </c>
      <c r="C12" s="52">
        <f t="shared" si="0"/>
        <v>4932329.1931520198</v>
      </c>
      <c r="D12" s="54">
        <f t="shared" si="1"/>
        <v>2232911.1931520198</v>
      </c>
      <c r="E12" s="52">
        <f t="shared" si="2"/>
        <v>2232911.1931520198</v>
      </c>
      <c r="F12" s="55">
        <f t="shared" si="4"/>
        <v>0.82718244938428198</v>
      </c>
      <c r="G12" s="55">
        <f t="shared" si="3"/>
        <v>0.82718244938428198</v>
      </c>
    </row>
    <row r="13" spans="1:15">
      <c r="A13" s="39">
        <v>1967</v>
      </c>
      <c r="B13" s="154">
        <f>VLOOKUP($A13,Database!$A$74:$J$137,3)</f>
        <v>2626340</v>
      </c>
      <c r="C13" s="52">
        <f t="shared" si="0"/>
        <v>4350649.2319420911</v>
      </c>
      <c r="D13" s="54">
        <f t="shared" si="1"/>
        <v>1724309.2319420911</v>
      </c>
      <c r="E13" s="52">
        <f t="shared" si="2"/>
        <v>1724309.2319420911</v>
      </c>
      <c r="F13" s="55">
        <f t="shared" si="4"/>
        <v>0.6565445570421542</v>
      </c>
      <c r="G13" s="55">
        <f t="shared" si="3"/>
        <v>0.6565445570421542</v>
      </c>
    </row>
    <row r="14" spans="1:15">
      <c r="A14" s="39">
        <v>1968</v>
      </c>
      <c r="B14" s="154">
        <f>VLOOKUP($A14,Database!$A$74:$J$137,3)</f>
        <v>2452168</v>
      </c>
      <c r="C14" s="52">
        <f t="shared" si="0"/>
        <v>3901461.5838949918</v>
      </c>
      <c r="D14" s="54">
        <f t="shared" si="1"/>
        <v>1449293.5838949918</v>
      </c>
      <c r="E14" s="52">
        <f t="shared" si="2"/>
        <v>1449293.5838949918</v>
      </c>
      <c r="F14" s="55">
        <f t="shared" si="4"/>
        <v>0.59102540441559948</v>
      </c>
      <c r="G14" s="55">
        <f t="shared" si="3"/>
        <v>0.59102540441559948</v>
      </c>
    </row>
    <row r="15" spans="1:15">
      <c r="A15" s="39">
        <v>1969</v>
      </c>
      <c r="B15" s="154">
        <f>VLOOKUP($A15,Database!$A$74:$J$137,3)</f>
        <v>4828579</v>
      </c>
      <c r="C15" s="52">
        <f t="shared" si="0"/>
        <v>3523916.3244833052</v>
      </c>
      <c r="D15" s="54">
        <f t="shared" si="1"/>
        <v>-1304662.6755166948</v>
      </c>
      <c r="E15" s="52">
        <f t="shared" si="2"/>
        <v>1304662.6755166948</v>
      </c>
      <c r="F15" s="55">
        <f t="shared" si="4"/>
        <v>-0.27019598840915615</v>
      </c>
      <c r="G15" s="55">
        <f t="shared" si="3"/>
        <v>0.27019598840915615</v>
      </c>
    </row>
    <row r="16" spans="1:15">
      <c r="A16" s="39">
        <v>1970</v>
      </c>
      <c r="B16" s="154">
        <f>VLOOKUP($A16,Database!$A$74:$J$137,3)</f>
        <v>2809996</v>
      </c>
      <c r="C16" s="52">
        <f t="shared" si="0"/>
        <v>3863784.8050632789</v>
      </c>
      <c r="D16" s="54">
        <f t="shared" si="1"/>
        <v>1053788.8050632789</v>
      </c>
      <c r="E16" s="52">
        <f t="shared" si="2"/>
        <v>1053788.8050632789</v>
      </c>
      <c r="F16" s="55">
        <f t="shared" si="4"/>
        <v>0.37501434345930701</v>
      </c>
      <c r="G16" s="55">
        <f t="shared" si="3"/>
        <v>0.37501434345930701</v>
      </c>
    </row>
    <row r="17" spans="1:7">
      <c r="A17" s="39">
        <v>1971</v>
      </c>
      <c r="B17" s="154">
        <f>VLOOKUP($A17,Database!$A$74:$J$137,3)</f>
        <v>7310964</v>
      </c>
      <c r="C17" s="52">
        <f t="shared" si="0"/>
        <v>3589269.7087475187</v>
      </c>
      <c r="D17" s="54">
        <f t="shared" si="1"/>
        <v>-3721694.2912524813</v>
      </c>
      <c r="E17" s="52">
        <f t="shared" si="2"/>
        <v>3721694.2912524813</v>
      </c>
      <c r="F17" s="55">
        <f t="shared" si="4"/>
        <v>-0.50905657465314846</v>
      </c>
      <c r="G17" s="55">
        <f t="shared" si="3"/>
        <v>0.50905657465314846</v>
      </c>
    </row>
    <row r="18" spans="1:7">
      <c r="A18" s="39">
        <v>1972</v>
      </c>
      <c r="B18" s="154">
        <f>VLOOKUP($A18,Database!$A$74:$J$137,3)</f>
        <v>54783</v>
      </c>
      <c r="C18" s="52">
        <f t="shared" si="0"/>
        <v>4558782.0644606156</v>
      </c>
      <c r="D18" s="54">
        <f t="shared" si="1"/>
        <v>4503999.0644606156</v>
      </c>
      <c r="E18" s="52">
        <f t="shared" si="2"/>
        <v>4503999.0644606156</v>
      </c>
      <c r="F18" s="55">
        <f t="shared" si="4"/>
        <v>82.215268686647605</v>
      </c>
      <c r="G18" s="55">
        <f t="shared" si="3"/>
        <v>82.215268686647605</v>
      </c>
    </row>
    <row r="19" spans="1:7">
      <c r="A19" s="39">
        <v>1973</v>
      </c>
      <c r="B19" s="154">
        <f>VLOOKUP($A19,Database!$A$74:$J$137,3)</f>
        <v>7310964</v>
      </c>
      <c r="C19" s="52">
        <f t="shared" si="0"/>
        <v>3385477.0046177623</v>
      </c>
      <c r="D19" s="54">
        <f t="shared" si="1"/>
        <v>-3925486.9953822377</v>
      </c>
      <c r="E19" s="52">
        <f t="shared" si="2"/>
        <v>3925486.9953822377</v>
      </c>
      <c r="F19" s="55">
        <f t="shared" si="4"/>
        <v>-0.53693151756488444</v>
      </c>
      <c r="G19" s="55">
        <f t="shared" si="3"/>
        <v>0.53693151756488444</v>
      </c>
    </row>
    <row r="20" spans="1:7">
      <c r="A20" s="39">
        <v>1974</v>
      </c>
      <c r="B20" s="154">
        <f>VLOOKUP($A20,Database!$A$74:$J$137,3)</f>
        <v>54783</v>
      </c>
      <c r="C20" s="52">
        <f t="shared" si="0"/>
        <v>4408077.9617031906</v>
      </c>
      <c r="D20" s="54">
        <f t="shared" si="1"/>
        <v>4353294.9617031906</v>
      </c>
      <c r="E20" s="52">
        <f t="shared" si="2"/>
        <v>4353294.9617031906</v>
      </c>
      <c r="F20" s="55">
        <f t="shared" si="4"/>
        <v>79.46434042865836</v>
      </c>
      <c r="G20" s="55">
        <f t="shared" si="3"/>
        <v>79.46434042865836</v>
      </c>
    </row>
    <row r="21" spans="1:7">
      <c r="A21" s="39">
        <v>1975</v>
      </c>
      <c r="B21" s="154">
        <f>VLOOKUP($A21,Database!$A$74:$J$137,3)</f>
        <v>2056878</v>
      </c>
      <c r="C21" s="52">
        <f t="shared" si="0"/>
        <v>3274031.7657663268</v>
      </c>
      <c r="D21" s="54">
        <f t="shared" si="1"/>
        <v>1217153.7657663268</v>
      </c>
      <c r="E21" s="52">
        <f t="shared" si="2"/>
        <v>1217153.7657663268</v>
      </c>
      <c r="F21" s="55">
        <f t="shared" si="4"/>
        <v>0.59174815704496175</v>
      </c>
      <c r="G21" s="55">
        <f t="shared" si="3"/>
        <v>0.59174815704496175</v>
      </c>
    </row>
    <row r="22" spans="1:7">
      <c r="A22" s="39">
        <v>1976</v>
      </c>
      <c r="B22" s="154">
        <f>VLOOKUP($A22,Database!$A$74:$J$137,3)</f>
        <v>448773</v>
      </c>
      <c r="C22" s="52">
        <f t="shared" si="0"/>
        <v>2956959.6146531161</v>
      </c>
      <c r="D22" s="54">
        <f t="shared" si="1"/>
        <v>2508186.6146531161</v>
      </c>
      <c r="E22" s="52">
        <f t="shared" si="2"/>
        <v>2508186.6146531161</v>
      </c>
      <c r="F22" s="55">
        <f t="shared" si="4"/>
        <v>5.588987338037529</v>
      </c>
      <c r="G22" s="55">
        <f t="shared" si="3"/>
        <v>5.588987338037529</v>
      </c>
    </row>
    <row r="23" spans="1:7">
      <c r="A23" s="39">
        <v>1977</v>
      </c>
      <c r="B23" s="154">
        <f>VLOOKUP($A23,Database!$A$74:$J$137,3)</f>
        <v>4298734</v>
      </c>
      <c r="C23" s="52">
        <f t="shared" si="0"/>
        <v>2303569.5930557102</v>
      </c>
      <c r="D23" s="54">
        <f t="shared" si="1"/>
        <v>-1995164.4069442898</v>
      </c>
      <c r="E23" s="52">
        <f t="shared" si="2"/>
        <v>1995164.4069442898</v>
      </c>
      <c r="F23" s="55">
        <f t="shared" si="4"/>
        <v>-0.46412837057242662</v>
      </c>
      <c r="G23" s="55">
        <f t="shared" si="3"/>
        <v>0.46412837057242662</v>
      </c>
    </row>
    <row r="24" spans="1:7">
      <c r="A24" s="39">
        <v>1978</v>
      </c>
      <c r="B24" s="154">
        <f>VLOOKUP($A24,Database!$A$74:$J$137,3)</f>
        <v>3169697</v>
      </c>
      <c r="C24" s="52">
        <f t="shared" si="0"/>
        <v>2823315.814221154</v>
      </c>
      <c r="D24" s="54">
        <f t="shared" si="1"/>
        <v>-346381.18577884603</v>
      </c>
      <c r="E24" s="52">
        <f t="shared" si="2"/>
        <v>346381.18577884603</v>
      </c>
      <c r="F24" s="55">
        <f t="shared" si="4"/>
        <v>-0.10927895813979886</v>
      </c>
      <c r="G24" s="55">
        <f t="shared" si="3"/>
        <v>0.10927895813979886</v>
      </c>
    </row>
    <row r="25" spans="1:7">
      <c r="A25" s="39">
        <v>1979</v>
      </c>
      <c r="B25" s="154">
        <f>VLOOKUP($A25,Database!$A$74:$J$137,3)</f>
        <v>14433526</v>
      </c>
      <c r="C25" s="52">
        <f t="shared" si="0"/>
        <v>2913549.1362294829</v>
      </c>
      <c r="D25" s="54">
        <f t="shared" si="1"/>
        <v>-11519976.863770517</v>
      </c>
      <c r="E25" s="52">
        <f t="shared" si="2"/>
        <v>11519976.863770517</v>
      </c>
      <c r="F25" s="55">
        <f t="shared" si="4"/>
        <v>-0.79814016781280728</v>
      </c>
      <c r="G25" s="55">
        <f t="shared" si="3"/>
        <v>0.79814016781280728</v>
      </c>
    </row>
    <row r="26" spans="1:7">
      <c r="A26" s="39">
        <v>1980</v>
      </c>
      <c r="B26" s="154">
        <f>VLOOKUP($A26,Database!$A$74:$J$137,3)</f>
        <v>12918874</v>
      </c>
      <c r="C26" s="52">
        <f t="shared" si="0"/>
        <v>5914537.1360245571</v>
      </c>
      <c r="D26" s="54">
        <f t="shared" si="1"/>
        <v>-7004336.8639754429</v>
      </c>
      <c r="E26" s="52">
        <f t="shared" si="2"/>
        <v>7004336.8639754429</v>
      </c>
      <c r="F26" s="55">
        <f t="shared" si="4"/>
        <v>-0.54217858800816876</v>
      </c>
      <c r="G26" s="55">
        <f t="shared" si="3"/>
        <v>0.54217858800816876</v>
      </c>
    </row>
    <row r="27" spans="1:7">
      <c r="A27" s="39">
        <v>1981</v>
      </c>
      <c r="B27" s="154">
        <f>VLOOKUP($A27,Database!$A$74:$J$137,3)</f>
        <v>17402547</v>
      </c>
      <c r="C27" s="52">
        <f t="shared" si="0"/>
        <v>7739187.577938091</v>
      </c>
      <c r="D27" s="54">
        <f t="shared" si="1"/>
        <v>-9663359.422061909</v>
      </c>
      <c r="E27" s="52">
        <f t="shared" si="2"/>
        <v>9663359.422061909</v>
      </c>
      <c r="F27" s="55">
        <f t="shared" si="4"/>
        <v>-0.55528420190802585</v>
      </c>
      <c r="G27" s="55">
        <f t="shared" si="3"/>
        <v>0.55528420190802585</v>
      </c>
    </row>
    <row r="28" spans="1:7">
      <c r="A28" s="39">
        <v>1982</v>
      </c>
      <c r="B28" s="154">
        <f>VLOOKUP($A28,Database!$A$74:$J$137,3)</f>
        <v>14945199</v>
      </c>
      <c r="C28" s="52">
        <f t="shared" si="0"/>
        <v>10256521.25024052</v>
      </c>
      <c r="D28" s="54">
        <f t="shared" si="1"/>
        <v>-4688677.7497594804</v>
      </c>
      <c r="E28" s="52">
        <f t="shared" si="2"/>
        <v>4688677.7497594804</v>
      </c>
      <c r="F28" s="55">
        <f t="shared" si="4"/>
        <v>-0.31372467839066448</v>
      </c>
      <c r="G28" s="55">
        <f t="shared" si="3"/>
        <v>0.31372467839066448</v>
      </c>
    </row>
    <row r="29" spans="1:7">
      <c r="A29" s="39">
        <v>1983</v>
      </c>
      <c r="B29" s="154">
        <f>VLOOKUP($A29,Database!$A$74:$J$137,3)</f>
        <v>9564242</v>
      </c>
      <c r="C29" s="52">
        <f t="shared" si="0"/>
        <v>11477935.653092802</v>
      </c>
      <c r="D29" s="54">
        <f t="shared" si="1"/>
        <v>1913693.6530928016</v>
      </c>
      <c r="E29" s="52">
        <f t="shared" si="2"/>
        <v>1913693.6530928016</v>
      </c>
      <c r="F29" s="55">
        <f t="shared" si="4"/>
        <v>0.20008837638077345</v>
      </c>
      <c r="G29" s="55">
        <f t="shared" si="3"/>
        <v>0.20008837638077345</v>
      </c>
    </row>
    <row r="30" spans="1:7">
      <c r="A30" s="39">
        <v>1984</v>
      </c>
      <c r="B30" s="154">
        <f>VLOOKUP($A30,Database!$A$74:$J$137,3)</f>
        <v>17631675</v>
      </c>
      <c r="C30" s="52">
        <f t="shared" si="0"/>
        <v>10979412.803947441</v>
      </c>
      <c r="D30" s="54">
        <f t="shared" si="1"/>
        <v>-6652262.1960525587</v>
      </c>
      <c r="E30" s="52">
        <f t="shared" si="2"/>
        <v>6652262.1960525587</v>
      </c>
      <c r="F30" s="55">
        <f t="shared" si="4"/>
        <v>-0.37729042737304075</v>
      </c>
      <c r="G30" s="55">
        <f t="shared" si="3"/>
        <v>0.37729042737304075</v>
      </c>
    </row>
    <row r="31" spans="1:7">
      <c r="A31" s="39">
        <v>1985</v>
      </c>
      <c r="B31" s="154">
        <f>VLOOKUP($A31,Database!$A$74:$J$137,3)</f>
        <v>17590108</v>
      </c>
      <c r="C31" s="52">
        <f t="shared" si="0"/>
        <v>12712346.754937174</v>
      </c>
      <c r="D31" s="54">
        <f t="shared" si="1"/>
        <v>-4877761.2450628262</v>
      </c>
      <c r="E31" s="52">
        <f t="shared" si="2"/>
        <v>4877761.2450628262</v>
      </c>
      <c r="F31" s="55">
        <f t="shared" si="4"/>
        <v>-0.27730138126854176</v>
      </c>
      <c r="G31" s="55">
        <f t="shared" si="3"/>
        <v>0.27730138126854176</v>
      </c>
    </row>
    <row r="32" spans="1:7">
      <c r="A32" s="39">
        <v>1986</v>
      </c>
      <c r="B32" s="154">
        <f>VLOOKUP($A32,Database!$A$74:$J$137,3)</f>
        <v>4578023</v>
      </c>
      <c r="C32" s="52">
        <f t="shared" si="0"/>
        <v>13983017.966815624</v>
      </c>
      <c r="D32" s="54">
        <f t="shared" si="1"/>
        <v>9404994.9668156244</v>
      </c>
      <c r="E32" s="52">
        <f t="shared" si="2"/>
        <v>9404994.9668156244</v>
      </c>
      <c r="F32" s="55">
        <f t="shared" si="4"/>
        <v>2.0543791428779681</v>
      </c>
      <c r="G32" s="55">
        <f t="shared" si="3"/>
        <v>2.0543791428779681</v>
      </c>
    </row>
    <row r="33" spans="1:7">
      <c r="A33" s="39">
        <v>1987</v>
      </c>
      <c r="B33" s="154">
        <f>VLOOKUP($A33,Database!$A$74:$J$137,3)</f>
        <v>11694727</v>
      </c>
      <c r="C33" s="52">
        <f t="shared" si="0"/>
        <v>11532988.998241039</v>
      </c>
      <c r="D33" s="54">
        <f t="shared" si="1"/>
        <v>-161738.00175896101</v>
      </c>
      <c r="E33" s="52">
        <f t="shared" si="2"/>
        <v>161738.00175896101</v>
      </c>
      <c r="F33" s="55">
        <f t="shared" si="4"/>
        <v>-1.3829993787709709E-2</v>
      </c>
      <c r="G33" s="55">
        <f t="shared" si="3"/>
        <v>1.3829993787709709E-2</v>
      </c>
    </row>
    <row r="34" spans="1:7">
      <c r="A34" s="39">
        <v>1988</v>
      </c>
      <c r="B34" s="154">
        <f>VLOOKUP($A34,Database!$A$74:$J$137,3)</f>
        <v>795772</v>
      </c>
      <c r="C34" s="52">
        <f t="shared" si="0"/>
        <v>11575122.225427974</v>
      </c>
      <c r="D34" s="54">
        <f t="shared" si="1"/>
        <v>10779350.225427974</v>
      </c>
      <c r="E34" s="52">
        <f t="shared" si="2"/>
        <v>10779350.225427974</v>
      </c>
      <c r="F34" s="55">
        <f t="shared" si="4"/>
        <v>13.545777214362875</v>
      </c>
      <c r="G34" s="55">
        <f t="shared" si="3"/>
        <v>13.545777214362875</v>
      </c>
    </row>
    <row r="35" spans="1:7">
      <c r="A35" s="39">
        <v>1989</v>
      </c>
      <c r="B35" s="154">
        <f>VLOOKUP($A35,Database!$A$74:$J$137,3)</f>
        <v>3510074</v>
      </c>
      <c r="C35" s="52">
        <f t="shared" si="0"/>
        <v>8767069.6525246389</v>
      </c>
      <c r="D35" s="54">
        <f t="shared" si="1"/>
        <v>5256995.6525246389</v>
      </c>
      <c r="E35" s="52">
        <f t="shared" si="2"/>
        <v>5256995.6525246389</v>
      </c>
      <c r="F35" s="55">
        <f t="shared" si="4"/>
        <v>1.4976879839355635</v>
      </c>
      <c r="G35" s="55">
        <f t="shared" si="3"/>
        <v>1.4976879839355635</v>
      </c>
    </row>
    <row r="36" spans="1:7">
      <c r="A36" s="39">
        <v>1990</v>
      </c>
      <c r="B36" s="154">
        <f>VLOOKUP($A36,Database!$A$74:$J$137,3)</f>
        <v>11687757</v>
      </c>
      <c r="C36" s="52">
        <f t="shared" si="0"/>
        <v>7397606.7573502352</v>
      </c>
      <c r="D36" s="54">
        <f t="shared" si="1"/>
        <v>-4290150.2426497648</v>
      </c>
      <c r="E36" s="52">
        <f t="shared" si="2"/>
        <v>4290150.2426497648</v>
      </c>
      <c r="F36" s="55">
        <f t="shared" si="4"/>
        <v>-0.36706360704194696</v>
      </c>
      <c r="G36" s="55">
        <f t="shared" si="3"/>
        <v>0.36706360704194696</v>
      </c>
    </row>
    <row r="37" spans="1:7">
      <c r="A37" s="39">
        <v>1991</v>
      </c>
      <c r="B37" s="154">
        <f>VLOOKUP($A37,Database!$A$74:$J$137,3)</f>
        <v>5818984</v>
      </c>
      <c r="C37" s="52">
        <f t="shared" si="0"/>
        <v>8515203.5674618781</v>
      </c>
      <c r="D37" s="54">
        <f t="shared" si="1"/>
        <v>2696219.5674618781</v>
      </c>
      <c r="E37" s="52">
        <f t="shared" si="2"/>
        <v>2696219.5674618781</v>
      </c>
      <c r="F37" s="55">
        <f t="shared" si="4"/>
        <v>0.46334885393427411</v>
      </c>
      <c r="G37" s="55">
        <f t="shared" si="3"/>
        <v>0.46334885393427411</v>
      </c>
    </row>
    <row r="38" spans="1:7">
      <c r="A38" s="39">
        <v>1992</v>
      </c>
      <c r="B38" s="154">
        <f>VLOOKUP($A38,Database!$A$74:$J$137,3)</f>
        <v>862846</v>
      </c>
      <c r="C38" s="52">
        <f t="shared" si="0"/>
        <v>7812830.4062611479</v>
      </c>
      <c r="D38" s="54">
        <f t="shared" si="1"/>
        <v>6949984.4062611479</v>
      </c>
      <c r="E38" s="52">
        <f t="shared" si="2"/>
        <v>6949984.4062611479</v>
      </c>
      <c r="F38" s="55">
        <f t="shared" si="4"/>
        <v>8.0547217073048358</v>
      </c>
      <c r="G38" s="55">
        <f t="shared" si="3"/>
        <v>8.0547217073048358</v>
      </c>
    </row>
    <row r="39" spans="1:7">
      <c r="A39" s="39">
        <v>1993</v>
      </c>
      <c r="B39" s="154">
        <f>VLOOKUP($A39,Database!$A$74:$J$137,3)</f>
        <v>477302</v>
      </c>
      <c r="C39" s="52">
        <f t="shared" si="0"/>
        <v>6002338.9401241131</v>
      </c>
      <c r="D39" s="54">
        <f t="shared" si="1"/>
        <v>5525036.9401241131</v>
      </c>
      <c r="E39" s="52">
        <f t="shared" si="2"/>
        <v>5525036.9401241131</v>
      </c>
      <c r="F39" s="55">
        <f t="shared" si="4"/>
        <v>11.575557906994131</v>
      </c>
      <c r="G39" s="55">
        <f t="shared" si="3"/>
        <v>11.575557906994131</v>
      </c>
    </row>
    <row r="40" spans="1:7">
      <c r="A40" s="39">
        <v>1994</v>
      </c>
      <c r="B40" s="154">
        <f>VLOOKUP($A40,Database!$A$74:$J$137,3)</f>
        <v>3257358</v>
      </c>
      <c r="C40" s="52">
        <f t="shared" si="0"/>
        <v>4563050.4978112085</v>
      </c>
      <c r="D40" s="54">
        <f t="shared" si="1"/>
        <v>1305692.4978112085</v>
      </c>
      <c r="E40" s="52">
        <f t="shared" si="2"/>
        <v>1305692.4978112085</v>
      </c>
      <c r="F40" s="55">
        <f t="shared" si="4"/>
        <v>0.40084402691113735</v>
      </c>
      <c r="G40" s="55">
        <f t="shared" si="3"/>
        <v>0.40084402691113735</v>
      </c>
    </row>
    <row r="41" spans="1:7">
      <c r="A41" s="39">
        <v>1995</v>
      </c>
      <c r="B41" s="154">
        <f>VLOOKUP($A41,Database!$A$74:$J$137,3)</f>
        <v>2744024</v>
      </c>
      <c r="C41" s="52">
        <f t="shared" si="0"/>
        <v>4222913.7454817072</v>
      </c>
      <c r="D41" s="54">
        <f t="shared" si="1"/>
        <v>1478889.7454817072</v>
      </c>
      <c r="E41" s="52">
        <f t="shared" si="2"/>
        <v>1478889.7454817072</v>
      </c>
      <c r="F41" s="55">
        <f t="shared" si="4"/>
        <v>0.53894927503611745</v>
      </c>
      <c r="G41" s="55">
        <f t="shared" si="3"/>
        <v>0.53894927503611745</v>
      </c>
    </row>
    <row r="42" spans="1:7">
      <c r="A42" s="39">
        <v>1996</v>
      </c>
      <c r="B42" s="154">
        <f>VLOOKUP($A42,Database!$A$74:$J$137,3)</f>
        <v>3016749</v>
      </c>
      <c r="C42" s="52">
        <f t="shared" si="0"/>
        <v>3837658.5985579151</v>
      </c>
      <c r="D42" s="54">
        <f t="shared" si="1"/>
        <v>820909.59855791507</v>
      </c>
      <c r="E42" s="52">
        <f t="shared" si="2"/>
        <v>820909.59855791507</v>
      </c>
      <c r="F42" s="55">
        <f t="shared" si="4"/>
        <v>0.27211730195581901</v>
      </c>
      <c r="G42" s="55">
        <f t="shared" si="3"/>
        <v>0.27211730195581901</v>
      </c>
    </row>
    <row r="43" spans="1:7">
      <c r="A43" s="39">
        <v>1997</v>
      </c>
      <c r="B43" s="154">
        <f>VLOOKUP($A43,Database!$A$74:$J$137,3)</f>
        <v>1088828</v>
      </c>
      <c r="C43" s="52">
        <f t="shared" si="0"/>
        <v>3623809.2233967073</v>
      </c>
      <c r="D43" s="54">
        <f t="shared" si="1"/>
        <v>2534981.2233967073</v>
      </c>
      <c r="E43" s="52">
        <f t="shared" si="2"/>
        <v>2534981.2233967073</v>
      </c>
      <c r="F43" s="55">
        <f t="shared" si="4"/>
        <v>2.3281741683688399</v>
      </c>
      <c r="G43" s="55">
        <f t="shared" si="3"/>
        <v>2.3281741683688399</v>
      </c>
    </row>
    <row r="44" spans="1:7">
      <c r="A44" s="39">
        <v>1998</v>
      </c>
      <c r="B44" s="154">
        <f>VLOOKUP($A44,Database!$A$74:$J$137,3)</f>
        <v>3692143</v>
      </c>
      <c r="C44" s="52">
        <f t="shared" si="0"/>
        <v>2963439.1270778314</v>
      </c>
      <c r="D44" s="54">
        <f t="shared" si="1"/>
        <v>-728703.87292216858</v>
      </c>
      <c r="E44" s="52">
        <f t="shared" si="2"/>
        <v>728703.87292216858</v>
      </c>
      <c r="F44" s="55">
        <f t="shared" si="4"/>
        <v>-0.19736610226694051</v>
      </c>
      <c r="G44" s="55">
        <f t="shared" si="3"/>
        <v>0.19736610226694051</v>
      </c>
    </row>
    <row r="45" spans="1:7">
      <c r="A45" s="39">
        <v>1999</v>
      </c>
      <c r="B45" s="154">
        <f>VLOOKUP($A45,Database!$A$74:$J$137,3)</f>
        <v>6793207</v>
      </c>
      <c r="C45" s="52">
        <f t="shared" si="0"/>
        <v>3153268.6383610568</v>
      </c>
      <c r="D45" s="54">
        <f t="shared" si="1"/>
        <v>-3639938.3616389432</v>
      </c>
      <c r="E45" s="52">
        <f t="shared" si="2"/>
        <v>3639938.3616389432</v>
      </c>
      <c r="F45" s="55">
        <f t="shared" si="4"/>
        <v>-0.53582032192437878</v>
      </c>
      <c r="G45" s="55">
        <f t="shared" si="3"/>
        <v>0.53582032192437878</v>
      </c>
    </row>
    <row r="46" spans="1:7">
      <c r="A46" s="39">
        <v>2000</v>
      </c>
      <c r="B46" s="154">
        <f>VLOOKUP($A46,Database!$A$74:$J$137,3)</f>
        <v>5660513</v>
      </c>
      <c r="C46" s="52">
        <f t="shared" si="0"/>
        <v>4101483.3329257257</v>
      </c>
      <c r="D46" s="54">
        <f t="shared" si="1"/>
        <v>-1559029.6670742743</v>
      </c>
      <c r="E46" s="52">
        <f t="shared" si="2"/>
        <v>1559029.6670742743</v>
      </c>
      <c r="F46" s="55">
        <f t="shared" si="4"/>
        <v>-0.27542197448787314</v>
      </c>
      <c r="G46" s="55">
        <f t="shared" si="3"/>
        <v>0.27542197448787314</v>
      </c>
    </row>
    <row r="47" spans="1:7">
      <c r="A47" s="39">
        <v>2001</v>
      </c>
      <c r="B47" s="154">
        <f>VLOOKUP($A47,Database!$A$74:$J$137,3)</f>
        <v>6705936.700407384</v>
      </c>
      <c r="C47" s="52">
        <f t="shared" si="0"/>
        <v>4507615.1661352478</v>
      </c>
      <c r="D47" s="54">
        <f t="shared" si="1"/>
        <v>-2198321.5342721362</v>
      </c>
      <c r="E47" s="52">
        <f t="shared" si="2"/>
        <v>2198321.5342721362</v>
      </c>
      <c r="F47" s="55">
        <f t="shared" si="4"/>
        <v>-0.32781722114057366</v>
      </c>
      <c r="G47" s="55">
        <f t="shared" si="3"/>
        <v>0.32781722114057366</v>
      </c>
    </row>
    <row r="48" spans="1:7">
      <c r="A48" s="60">
        <v>2002</v>
      </c>
      <c r="B48" s="154">
        <f>VLOOKUP($A48,Database!$A$74:$J$137,3)</f>
        <v>236842.54556606748</v>
      </c>
      <c r="C48" s="52">
        <f t="shared" si="0"/>
        <v>5080284.4190388098</v>
      </c>
      <c r="D48" s="54">
        <f t="shared" si="1"/>
        <v>4843441.8734727427</v>
      </c>
      <c r="E48" s="52">
        <f t="shared" si="2"/>
        <v>4843441.8734727427</v>
      </c>
      <c r="F48" s="55">
        <f t="shared" si="4"/>
        <v>20.450049892415379</v>
      </c>
      <c r="G48" s="55">
        <f t="shared" si="3"/>
        <v>20.450049892415379</v>
      </c>
    </row>
    <row r="49" spans="1:9">
      <c r="A49" s="39">
        <v>2003</v>
      </c>
      <c r="B49" s="154">
        <f>VLOOKUP($A49,Database!$A$74:$J$137,3)</f>
        <v>4493948.7314859722</v>
      </c>
      <c r="C49" s="52">
        <f t="shared" si="0"/>
        <v>3818553.5048293779</v>
      </c>
      <c r="D49" s="54">
        <f t="shared" si="1"/>
        <v>-675395.22665659431</v>
      </c>
      <c r="E49" s="52">
        <f t="shared" si="2"/>
        <v>675395.22665659431</v>
      </c>
      <c r="F49" s="55">
        <f t="shared" si="4"/>
        <v>-0.15028992696880805</v>
      </c>
      <c r="G49" s="55">
        <f t="shared" si="3"/>
        <v>0.15028992696880805</v>
      </c>
    </row>
    <row r="50" spans="1:9">
      <c r="A50" s="39">
        <v>2004</v>
      </c>
      <c r="B50" s="154">
        <f>VLOOKUP($A50,Database!$A$74:$J$137,3)</f>
        <v>2870874.2919837157</v>
      </c>
      <c r="C50" s="52">
        <f t="shared" si="0"/>
        <v>3994495.9563016212</v>
      </c>
      <c r="D50" s="54">
        <f t="shared" si="1"/>
        <v>1123621.6643179054</v>
      </c>
      <c r="E50" s="52">
        <f t="shared" si="2"/>
        <v>1123621.6643179054</v>
      </c>
      <c r="F50" s="55">
        <f t="shared" si="4"/>
        <v>0.39138657775973384</v>
      </c>
      <c r="G50" s="55">
        <f t="shared" si="3"/>
        <v>0.39138657775973384</v>
      </c>
    </row>
    <row r="51" spans="1:9">
      <c r="A51" s="39">
        <v>2005</v>
      </c>
      <c r="B51" s="154">
        <f>VLOOKUP($A51,Database!$A$74:$J$137,3)</f>
        <v>12256106.828178193</v>
      </c>
      <c r="C51" s="52">
        <f t="shared" si="0"/>
        <v>3701789.1938833371</v>
      </c>
      <c r="D51" s="54">
        <f t="shared" si="1"/>
        <v>-8554317.6342948563</v>
      </c>
      <c r="E51" s="52">
        <f t="shared" si="2"/>
        <v>8554317.6342948563</v>
      </c>
      <c r="F51" s="55">
        <f t="shared" si="4"/>
        <v>-0.69796369713647566</v>
      </c>
      <c r="G51" s="55">
        <f t="shared" si="3"/>
        <v>0.69796369713647566</v>
      </c>
    </row>
    <row r="52" spans="1:9">
      <c r="A52" s="60">
        <v>2006</v>
      </c>
      <c r="B52" s="154">
        <f>VLOOKUP($A52,Database!$A$74:$J$137,3)</f>
        <v>1983120.7161293393</v>
      </c>
      <c r="C52" s="52">
        <f t="shared" si="0"/>
        <v>5930214.204673849</v>
      </c>
      <c r="D52" s="54">
        <f t="shared" si="1"/>
        <v>3947093.4885445097</v>
      </c>
      <c r="E52" s="52">
        <f t="shared" si="2"/>
        <v>3947093.4885445097</v>
      </c>
      <c r="F52" s="55">
        <f t="shared" si="4"/>
        <v>1.9903445395136903</v>
      </c>
      <c r="G52" s="55">
        <f t="shared" si="3"/>
        <v>1.9903445395136903</v>
      </c>
    </row>
    <row r="53" spans="1:9">
      <c r="A53" s="39">
        <v>2007</v>
      </c>
      <c r="B53" s="154">
        <f>VLOOKUP($A53,Database!$A$74:$J$137,3)</f>
        <v>9967663.2895603608</v>
      </c>
      <c r="C53" s="52">
        <f t="shared" si="0"/>
        <v>4901984.6923001232</v>
      </c>
      <c r="D53" s="54">
        <f t="shared" si="1"/>
        <v>-5065678.5972602377</v>
      </c>
      <c r="E53" s="52">
        <f t="shared" si="2"/>
        <v>5065678.5972602377</v>
      </c>
      <c r="F53" s="55">
        <f t="shared" si="4"/>
        <v>-0.50821124772199922</v>
      </c>
      <c r="G53" s="55">
        <f t="shared" si="3"/>
        <v>0.50821124772199922</v>
      </c>
    </row>
    <row r="54" spans="1:9">
      <c r="A54" s="39">
        <v>2008</v>
      </c>
      <c r="B54" s="154">
        <f>VLOOKUP($A54,Database!$A$74:$J$137,3)</f>
        <v>1371156.4260196264</v>
      </c>
      <c r="C54" s="52">
        <f t="shared" si="0"/>
        <v>6221608.9294811906</v>
      </c>
      <c r="D54" s="54">
        <f t="shared" si="1"/>
        <v>4850452.503461564</v>
      </c>
      <c r="E54" s="52">
        <f t="shared" si="2"/>
        <v>4850452.503461564</v>
      </c>
      <c r="F54" s="55">
        <f t="shared" si="4"/>
        <v>3.5374902610799097</v>
      </c>
      <c r="G54" s="55">
        <f t="shared" si="3"/>
        <v>3.5374902610799097</v>
      </c>
    </row>
    <row r="55" spans="1:9">
      <c r="A55" s="39">
        <v>2009</v>
      </c>
      <c r="B55" s="154">
        <f>VLOOKUP($A55,Database!$A$74:$J$137,3)</f>
        <v>910000.69957974285</v>
      </c>
      <c r="C55" s="52">
        <f t="shared" si="0"/>
        <v>4958051.725452234</v>
      </c>
      <c r="D55" s="54">
        <f t="shared" si="1"/>
        <v>4048051.0258724913</v>
      </c>
      <c r="E55" s="52">
        <f t="shared" si="2"/>
        <v>4048051.0258724913</v>
      </c>
      <c r="F55" s="55">
        <f t="shared" si="4"/>
        <v>4.4484043009439063</v>
      </c>
      <c r="G55" s="55">
        <f t="shared" si="3"/>
        <v>4.4484043009439063</v>
      </c>
    </row>
    <row r="56" spans="1:9">
      <c r="A56" s="39">
        <v>2010</v>
      </c>
      <c r="B56" s="154">
        <f>VLOOKUP($A56,Database!$A$74:$J$137,3)</f>
        <v>2325412.6096819355</v>
      </c>
      <c r="C56" s="52">
        <f t="shared" si="0"/>
        <v>3903522.4764043004</v>
      </c>
      <c r="D56" s="54">
        <f>C56-B56</f>
        <v>1578109.8667223649</v>
      </c>
      <c r="E56" s="52">
        <f>ABS(C56-$B56)</f>
        <v>1578109.8667223649</v>
      </c>
      <c r="F56" s="55">
        <f t="shared" si="4"/>
        <v>0.6786364966594961</v>
      </c>
      <c r="G56" s="55">
        <f t="shared" si="3"/>
        <v>0.6786364966594961</v>
      </c>
    </row>
    <row r="57" spans="1:9">
      <c r="A57" s="60">
        <v>2011</v>
      </c>
      <c r="B57" s="154">
        <f>VLOOKUP($A57,Database!$A$74:$J$137,3)</f>
        <v>5564873</v>
      </c>
      <c r="C57" s="52">
        <f t="shared" si="0"/>
        <v>3492420.1948288875</v>
      </c>
      <c r="D57" s="54">
        <f>C57-B57</f>
        <v>-2072452.8051711125</v>
      </c>
      <c r="E57" s="52">
        <f>ABS(C57-$B57)</f>
        <v>2072452.8051711125</v>
      </c>
      <c r="F57" s="55">
        <f>(C57-B57)/B57</f>
        <v>-0.37241690963497504</v>
      </c>
      <c r="G57" s="55">
        <f t="shared" si="3"/>
        <v>0.37241690963497504</v>
      </c>
    </row>
    <row r="58" spans="1:9">
      <c r="A58" s="39">
        <v>2012</v>
      </c>
      <c r="B58" s="154">
        <f>VLOOKUP($A58,Database!$A$74:$J$137,3)</f>
        <v>3288580.30084719</v>
      </c>
      <c r="C58" s="52">
        <f t="shared" si="0"/>
        <v>4032300.2720206846</v>
      </c>
      <c r="D58" s="54">
        <f>C58-B58</f>
        <v>743719.97117349459</v>
      </c>
      <c r="E58" s="52">
        <f>ABS(C58-$B58)</f>
        <v>743719.97117349459</v>
      </c>
      <c r="F58" s="55">
        <f>(C58-B58)/B58</f>
        <v>0.22615229160799286</v>
      </c>
      <c r="G58" s="55">
        <f t="shared" si="3"/>
        <v>0.22615229160799286</v>
      </c>
    </row>
    <row r="59" spans="1:9">
      <c r="A59" s="39">
        <v>2013</v>
      </c>
      <c r="B59" s="154">
        <f>VLOOKUP($A59,Database!$A$74:$J$137,3)</f>
        <v>17267227</v>
      </c>
      <c r="C59" s="52">
        <f t="shared" si="0"/>
        <v>3838559.0227896427</v>
      </c>
      <c r="D59" s="54">
        <f>C59-B59</f>
        <v>-13428667.977210358</v>
      </c>
      <c r="E59" s="52">
        <f>ABS(C59-$B59)</f>
        <v>13428667.977210358</v>
      </c>
      <c r="F59" s="55">
        <f>(C59-B59)/B59</f>
        <v>-0.77769684600835776</v>
      </c>
      <c r="G59" s="55">
        <f t="shared" si="3"/>
        <v>0.77769684600835776</v>
      </c>
    </row>
    <row r="60" spans="1:9">
      <c r="A60" s="60">
        <v>2014</v>
      </c>
      <c r="B60" s="343"/>
      <c r="C60" s="52">
        <f t="shared" si="0"/>
        <v>7336766.6953743789</v>
      </c>
      <c r="D60" s="341"/>
      <c r="E60" s="62"/>
      <c r="F60" s="61"/>
      <c r="G60" s="342"/>
    </row>
    <row r="61" spans="1:9">
      <c r="A61" s="39"/>
      <c r="B61" s="156"/>
      <c r="C61" s="52"/>
      <c r="D61" s="52"/>
      <c r="E61" s="52"/>
      <c r="G61" s="55"/>
    </row>
    <row r="62" spans="1:9">
      <c r="A62" s="39"/>
      <c r="B62" s="175"/>
      <c r="C62" s="176"/>
      <c r="D62" s="176"/>
      <c r="E62" s="177"/>
      <c r="F62" s="41"/>
      <c r="G62" s="178"/>
      <c r="H62" s="41"/>
      <c r="I62" s="41"/>
    </row>
    <row r="63" spans="1:9">
      <c r="A63" s="36" t="s">
        <v>121</v>
      </c>
      <c r="B63" s="179">
        <f t="shared" ref="B63:G63" si="5">COUNT(B8:B62)</f>
        <v>52</v>
      </c>
      <c r="C63" s="179">
        <f t="shared" si="5"/>
        <v>52</v>
      </c>
      <c r="D63" s="179">
        <f t="shared" si="5"/>
        <v>50</v>
      </c>
      <c r="E63" s="179">
        <f t="shared" si="5"/>
        <v>51</v>
      </c>
      <c r="F63" s="179">
        <f t="shared" si="5"/>
        <v>50</v>
      </c>
      <c r="G63" s="179">
        <f t="shared" si="5"/>
        <v>50</v>
      </c>
      <c r="H63" s="41"/>
      <c r="I63" s="41"/>
    </row>
    <row r="64" spans="1:9">
      <c r="A64" s="41" t="s">
        <v>158</v>
      </c>
      <c r="B64" s="155"/>
      <c r="C64" s="155"/>
      <c r="D64" s="176">
        <f>SUM(D10:D62)</f>
        <v>-3728872.568826329</v>
      </c>
      <c r="E64" s="155"/>
      <c r="F64" s="345">
        <f>SUM(F10:F62)</f>
        <v>235.85842517668684</v>
      </c>
      <c r="G64" s="155"/>
      <c r="H64" s="41"/>
      <c r="I64" s="41"/>
    </row>
    <row r="65" spans="1:9">
      <c r="A65" s="41" t="s">
        <v>56</v>
      </c>
      <c r="B65" s="177">
        <f>AVERAGE(B8:B62)</f>
        <v>5735256.9065276831</v>
      </c>
      <c r="C65" s="177">
        <f>AVERAGE(C10:C62)</f>
        <v>5682422.7307056384</v>
      </c>
      <c r="D65" s="177">
        <f>AVERAGE(D8:D62)</f>
        <v>-74577.451376526573</v>
      </c>
      <c r="E65" s="190">
        <f>AVERAGE(E8:E62)</f>
        <v>3801301.5894922954</v>
      </c>
      <c r="F65" s="178">
        <f>AVERAGE(F8:F62)</f>
        <v>4.7171685035337365</v>
      </c>
      <c r="G65" s="166">
        <f>AVERAGE(G8:G62)</f>
        <v>5.0762648516225664</v>
      </c>
      <c r="H65" s="41"/>
      <c r="I65" s="41"/>
    </row>
    <row r="66" spans="1:9">
      <c r="A66" s="41" t="s">
        <v>141</v>
      </c>
      <c r="B66" s="177">
        <f>MEDIAN(B8:B62)</f>
        <v>3949519.5</v>
      </c>
      <c r="C66" s="177">
        <f>MEDIAN(C10:C62)</f>
        <v>4507615.1661352478</v>
      </c>
      <c r="D66" s="177">
        <f>MEDIAN(D8:D62)</f>
        <v>1088705.2346905922</v>
      </c>
      <c r="E66" s="177">
        <f>MEDIAN(E8:E62)</f>
        <v>2696219.5674618781</v>
      </c>
      <c r="F66" s="178">
        <f>MEDIAN(F8:F62)</f>
        <v>0.32356582270756301</v>
      </c>
      <c r="G66" s="178">
        <f>MEDIAN(G8:G62)</f>
        <v>0.53794039630050094</v>
      </c>
      <c r="H66" s="41"/>
      <c r="I66" s="41"/>
    </row>
    <row r="67" spans="1:9">
      <c r="A67" s="41" t="s">
        <v>156</v>
      </c>
      <c r="B67" s="177">
        <f>MIN(B8:B62)</f>
        <v>54783</v>
      </c>
      <c r="C67" s="177">
        <f>MIN(C10:C62)</f>
        <v>2303569.5930557102</v>
      </c>
      <c r="D67" s="177">
        <f>MIN(D8:D62)</f>
        <v>-13428667.977210358</v>
      </c>
      <c r="E67" s="177">
        <f>MIN(E8:E62)</f>
        <v>161738.00175896101</v>
      </c>
      <c r="F67" s="178">
        <f>MIN(F8:F62)</f>
        <v>-0.79814016781280728</v>
      </c>
      <c r="G67" s="178">
        <f>MIN(G8:G62)</f>
        <v>1.3829993787709709E-2</v>
      </c>
      <c r="H67" s="41"/>
      <c r="I67" s="41"/>
    </row>
    <row r="68" spans="1:9">
      <c r="A68" s="41" t="s">
        <v>157</v>
      </c>
      <c r="B68" s="177">
        <f>MAX(B8:B62)</f>
        <v>17631675</v>
      </c>
      <c r="C68" s="177">
        <f>MAX(C10:C62)</f>
        <v>13983017.966815624</v>
      </c>
      <c r="D68" s="177">
        <f>MAX(D8:D62)</f>
        <v>10779350.225427974</v>
      </c>
      <c r="E68" s="177">
        <f>MAX(E8:E62)</f>
        <v>13428667.977210358</v>
      </c>
      <c r="F68" s="178">
        <f>MAX(F8:F62)</f>
        <v>82.215268686647605</v>
      </c>
      <c r="G68" s="178">
        <f>MAX(G8:G62)</f>
        <v>82.215268686647605</v>
      </c>
      <c r="H68" s="41"/>
      <c r="I68" s="41"/>
    </row>
    <row r="69" spans="1:9">
      <c r="A69" s="45" t="s">
        <v>119</v>
      </c>
      <c r="B69" s="180">
        <f>STDEV(B8:B62)</f>
        <v>5104121.8849669732</v>
      </c>
      <c r="C69" s="180">
        <f>STDEV(C10:C62)</f>
        <v>2911499.8436615989</v>
      </c>
      <c r="D69" s="180">
        <f>STDEV(D8:D62)</f>
        <v>4976812.1775149386</v>
      </c>
      <c r="E69" s="180">
        <f>STDEV(E8:E62)</f>
        <v>3095452.9554274101</v>
      </c>
      <c r="F69" s="181">
        <f>STDEV(F8:F62)</f>
        <v>16.194838283755288</v>
      </c>
      <c r="G69" s="181">
        <f>STDEV(G8:G62)</f>
        <v>16.083663442696029</v>
      </c>
      <c r="H69" s="41"/>
      <c r="I69" s="41"/>
    </row>
    <row r="70" spans="1:9">
      <c r="A70" s="41"/>
      <c r="B70" s="41"/>
      <c r="C70" s="41"/>
      <c r="D70" s="41"/>
      <c r="E70" s="41"/>
      <c r="F70" s="41"/>
      <c r="G70" s="41"/>
      <c r="H70" s="41"/>
      <c r="I70" s="41"/>
    </row>
    <row r="71" spans="1:9">
      <c r="A71" s="41"/>
      <c r="B71" s="41"/>
      <c r="C71" s="41"/>
      <c r="D71" s="41"/>
      <c r="E71" s="41"/>
      <c r="F71" s="41"/>
      <c r="G71" s="41"/>
      <c r="H71" s="41"/>
      <c r="I71" s="41"/>
    </row>
  </sheetData>
  <pageMargins left="1" right="1" top="1" bottom="1" header="0.5" footer="0.5"/>
  <pageSetup scale="46"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rgb="FF0070C0"/>
  </sheetPr>
  <dimension ref="A2:I31"/>
  <sheetViews>
    <sheetView workbookViewId="0"/>
  </sheetViews>
  <sheetFormatPr baseColWidth="10" defaultColWidth="8.7109375" defaultRowHeight="16"/>
  <cols>
    <col min="1" max="1" width="17.7109375" customWidth="1"/>
    <col min="2" max="2" width="10.7109375" customWidth="1"/>
    <col min="3" max="3" width="10.42578125" bestFit="1" customWidth="1"/>
    <col min="4" max="4" width="9.42578125" bestFit="1" customWidth="1"/>
    <col min="5" max="5" width="10.42578125" bestFit="1" customWidth="1"/>
    <col min="6" max="6" width="11.85546875" customWidth="1"/>
    <col min="7" max="7" width="10.42578125" bestFit="1" customWidth="1"/>
  </cols>
  <sheetData>
    <row r="2" spans="1:9" ht="18">
      <c r="A2" s="620" t="s">
        <v>333</v>
      </c>
    </row>
    <row r="3" spans="1:9" ht="20">
      <c r="A3" s="959" t="s">
        <v>334</v>
      </c>
    </row>
    <row r="5" spans="1:9" ht="17">
      <c r="A5" s="960" t="s">
        <v>35</v>
      </c>
      <c r="B5" s="4" t="s">
        <v>58</v>
      </c>
      <c r="C5" s="5" t="s">
        <v>59</v>
      </c>
      <c r="D5" s="6" t="s">
        <v>60</v>
      </c>
      <c r="E5" s="7" t="s">
        <v>61</v>
      </c>
      <c r="F5" s="5" t="s">
        <v>62</v>
      </c>
      <c r="G5" s="4" t="s">
        <v>63</v>
      </c>
      <c r="H5" s="4" t="s">
        <v>64</v>
      </c>
    </row>
    <row r="6" spans="1:9">
      <c r="A6" s="1">
        <f>B16</f>
        <v>27</v>
      </c>
      <c r="B6" s="1">
        <f>B21</f>
        <v>25</v>
      </c>
      <c r="C6" s="1">
        <f>B25</f>
        <v>4.6319175316853265</v>
      </c>
      <c r="D6" s="1">
        <f>B26</f>
        <v>0.78248970470548063</v>
      </c>
      <c r="E6" s="1">
        <f>C26</f>
        <v>0.22903347316091066</v>
      </c>
      <c r="G6" s="1">
        <f>B15</f>
        <v>0.63116999078159552</v>
      </c>
      <c r="H6" s="1">
        <f>B13</f>
        <v>0.31828800567287485</v>
      </c>
    </row>
    <row r="7" spans="1:9">
      <c r="A7" s="12"/>
      <c r="B7" s="12"/>
      <c r="C7" s="12"/>
      <c r="D7" s="12"/>
      <c r="E7" s="12"/>
      <c r="F7" s="12"/>
      <c r="G7" s="12"/>
      <c r="H7" s="12"/>
      <c r="I7" s="12"/>
    </row>
    <row r="8" spans="1:9">
      <c r="A8" s="12"/>
      <c r="B8" s="12"/>
      <c r="C8" s="12"/>
      <c r="D8" s="12"/>
      <c r="E8" s="12"/>
      <c r="F8" s="12"/>
      <c r="G8" s="12"/>
      <c r="H8" s="12"/>
      <c r="I8" s="12"/>
    </row>
    <row r="9" spans="1:9">
      <c r="A9" t="s">
        <v>65</v>
      </c>
      <c r="H9" s="12"/>
      <c r="I9" s="12"/>
    </row>
    <row r="10" spans="1:9" ht="17" thickBot="1">
      <c r="H10" s="12"/>
      <c r="I10" s="12"/>
    </row>
    <row r="11" spans="1:9">
      <c r="A11" s="11" t="s">
        <v>66</v>
      </c>
      <c r="B11" s="11"/>
      <c r="H11" s="12"/>
      <c r="I11" s="12"/>
    </row>
    <row r="12" spans="1:9">
      <c r="A12" s="8" t="s">
        <v>67</v>
      </c>
      <c r="B12" s="1065">
        <v>0.56417019211659425</v>
      </c>
      <c r="C12" s="1066"/>
      <c r="D12" s="1066"/>
      <c r="E12" s="1066"/>
      <c r="F12" s="1066"/>
      <c r="G12" s="1066"/>
      <c r="H12" s="12"/>
      <c r="I12" s="12"/>
    </row>
    <row r="13" spans="1:9">
      <c r="A13" s="8" t="s">
        <v>68</v>
      </c>
      <c r="B13" s="1065">
        <v>0.31828800567287485</v>
      </c>
      <c r="C13" s="1066"/>
      <c r="D13" s="1066"/>
      <c r="E13" s="1066"/>
      <c r="F13" s="1066"/>
      <c r="G13" s="1066"/>
      <c r="H13" s="12"/>
      <c r="I13" s="12"/>
    </row>
    <row r="14" spans="1:9">
      <c r="A14" s="8" t="s">
        <v>69</v>
      </c>
      <c r="B14" s="1065">
        <v>0.29101952589978985</v>
      </c>
      <c r="C14" s="1066"/>
      <c r="D14" s="1066"/>
      <c r="E14" s="1066"/>
      <c r="F14" s="1066"/>
      <c r="G14" s="1066"/>
      <c r="H14" s="12"/>
      <c r="I14" s="12"/>
    </row>
    <row r="15" spans="1:9">
      <c r="A15" s="8" t="s">
        <v>70</v>
      </c>
      <c r="B15" s="1065">
        <v>0.63116999078159552</v>
      </c>
      <c r="C15" s="1066"/>
      <c r="D15" s="1066"/>
      <c r="E15" s="1066"/>
      <c r="F15" s="1066"/>
      <c r="G15" s="1066"/>
      <c r="H15" s="12"/>
      <c r="I15" s="12"/>
    </row>
    <row r="16" spans="1:9" ht="17" thickBot="1">
      <c r="A16" s="9" t="s">
        <v>71</v>
      </c>
      <c r="B16" s="1067">
        <v>27</v>
      </c>
      <c r="C16" s="1066"/>
      <c r="D16" s="1066"/>
      <c r="E16" s="1066"/>
      <c r="F16" s="1066"/>
      <c r="G16" s="1066"/>
      <c r="H16" s="12"/>
      <c r="I16" s="12"/>
    </row>
    <row r="17" spans="1:9">
      <c r="B17" s="1066"/>
      <c r="C17" s="1066"/>
      <c r="D17" s="1066"/>
      <c r="E17" s="1066"/>
      <c r="F17" s="1066"/>
      <c r="G17" s="1066"/>
      <c r="H17" s="12"/>
      <c r="I17" s="12"/>
    </row>
    <row r="18" spans="1:9" ht="17" thickBot="1">
      <c r="A18" t="s">
        <v>72</v>
      </c>
      <c r="B18" s="1066"/>
      <c r="C18" s="1066"/>
      <c r="D18" s="1066"/>
      <c r="E18" s="1066"/>
      <c r="F18" s="1066"/>
      <c r="G18" s="1066"/>
      <c r="H18" s="12"/>
      <c r="I18" s="12"/>
    </row>
    <row r="19" spans="1:9">
      <c r="A19" s="10"/>
      <c r="B19" s="1068" t="s">
        <v>73</v>
      </c>
      <c r="C19" s="1068" t="s">
        <v>74</v>
      </c>
      <c r="D19" s="1068" t="s">
        <v>75</v>
      </c>
      <c r="E19" s="1068" t="s">
        <v>76</v>
      </c>
      <c r="F19" s="1068" t="s">
        <v>77</v>
      </c>
      <c r="G19" s="1066"/>
      <c r="H19" s="12"/>
      <c r="I19" s="12"/>
    </row>
    <row r="20" spans="1:9">
      <c r="A20" s="8" t="s">
        <v>78</v>
      </c>
      <c r="B20" s="1065">
        <v>1</v>
      </c>
      <c r="C20" s="1065">
        <v>4.6499901235891805</v>
      </c>
      <c r="D20" s="1065">
        <v>4.6499901235891805</v>
      </c>
      <c r="E20" s="1065">
        <v>11.67237808346899</v>
      </c>
      <c r="F20" s="1065">
        <v>2.1755681915448569E-3</v>
      </c>
      <c r="G20" s="1066"/>
      <c r="H20" s="12"/>
      <c r="I20" s="12"/>
    </row>
    <row r="21" spans="1:9">
      <c r="A21" s="8" t="s">
        <v>79</v>
      </c>
      <c r="B21" s="1065">
        <v>25</v>
      </c>
      <c r="C21" s="1065">
        <v>9.9593889315809836</v>
      </c>
      <c r="D21" s="1065">
        <v>0.39837555726323937</v>
      </c>
      <c r="E21" s="1065"/>
      <c r="F21" s="1065"/>
      <c r="G21" s="1066"/>
      <c r="H21" s="12"/>
      <c r="I21" s="12"/>
    </row>
    <row r="22" spans="1:9" ht="17" thickBot="1">
      <c r="A22" s="9" t="s">
        <v>4</v>
      </c>
      <c r="B22" s="1067">
        <v>26</v>
      </c>
      <c r="C22" s="1067">
        <v>14.609379055170164</v>
      </c>
      <c r="D22" s="1067"/>
      <c r="E22" s="1067"/>
      <c r="F22" s="1067"/>
      <c r="G22" s="1066"/>
      <c r="H22" s="12"/>
      <c r="I22" s="12"/>
    </row>
    <row r="23" spans="1:9" ht="17" thickBot="1">
      <c r="B23" s="1066"/>
      <c r="C23" s="1066"/>
      <c r="D23" s="1066"/>
      <c r="E23" s="1066"/>
      <c r="F23" s="1066"/>
      <c r="G23" s="1066"/>
      <c r="H23" s="12"/>
      <c r="I23" s="12"/>
    </row>
    <row r="24" spans="1:9">
      <c r="A24" s="10"/>
      <c r="B24" s="1068" t="s">
        <v>80</v>
      </c>
      <c r="C24" s="1068" t="s">
        <v>70</v>
      </c>
      <c r="D24" s="1068" t="s">
        <v>81</v>
      </c>
      <c r="E24" s="1068" t="s">
        <v>82</v>
      </c>
      <c r="F24" s="1068" t="s">
        <v>83</v>
      </c>
      <c r="G24" s="1068" t="s">
        <v>84</v>
      </c>
      <c r="H24" s="12"/>
      <c r="I24" s="12"/>
    </row>
    <row r="25" spans="1:9">
      <c r="A25" s="8" t="s">
        <v>59</v>
      </c>
      <c r="B25" s="1065">
        <v>4.6319175316853265</v>
      </c>
      <c r="C25" s="1065">
        <v>3.2862921075713594</v>
      </c>
      <c r="D25" s="1065">
        <v>1.4094661643174542</v>
      </c>
      <c r="E25" s="1065">
        <v>0.17101631907247677</v>
      </c>
      <c r="F25" s="1065">
        <v>-2.1363277594667753</v>
      </c>
      <c r="G25" s="1065">
        <v>11.400162822837428</v>
      </c>
      <c r="H25" s="12"/>
      <c r="I25" s="12"/>
    </row>
    <row r="26" spans="1:9" ht="17" thickBot="1">
      <c r="A26" s="9" t="s">
        <v>85</v>
      </c>
      <c r="B26" s="1067">
        <v>0.78248970470548063</v>
      </c>
      <c r="C26" s="1067">
        <v>0.22903347316091066</v>
      </c>
      <c r="D26" s="1067">
        <v>3.4164862188320027</v>
      </c>
      <c r="E26" s="1067">
        <v>2.1755681915448491E-3</v>
      </c>
      <c r="F26" s="1067">
        <v>0.31078643685959745</v>
      </c>
      <c r="G26" s="1067">
        <v>1.2541929725513639</v>
      </c>
      <c r="H26" s="12"/>
      <c r="I26" s="12"/>
    </row>
    <row r="27" spans="1:9">
      <c r="H27" s="12"/>
      <c r="I27" s="12"/>
    </row>
    <row r="28" spans="1:9">
      <c r="H28" s="12"/>
      <c r="I28" s="12"/>
    </row>
    <row r="29" spans="1:9">
      <c r="H29" s="12"/>
      <c r="I29" s="12"/>
    </row>
    <row r="30" spans="1:9">
      <c r="A30" s="12"/>
      <c r="B30" s="12"/>
      <c r="C30" s="12"/>
      <c r="D30" s="12"/>
      <c r="E30" s="12"/>
      <c r="F30" s="12"/>
      <c r="G30" s="12"/>
      <c r="H30" s="12"/>
      <c r="I30" s="12"/>
    </row>
    <row r="31" spans="1:9">
      <c r="A31" s="12"/>
      <c r="B31" s="12"/>
      <c r="C31" s="12"/>
      <c r="D31" s="12"/>
      <c r="E31" s="12"/>
      <c r="F31" s="12"/>
      <c r="G31" s="12"/>
      <c r="H31" s="12"/>
      <c r="I31" s="12"/>
    </row>
  </sheetData>
  <phoneticPr fontId="15"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rgb="FF00B050"/>
    <pageSetUpPr fitToPage="1"/>
  </sheetPr>
  <dimension ref="A1:N75"/>
  <sheetViews>
    <sheetView zoomScale="75" zoomScaleNormal="75" workbookViewId="0">
      <pane ySplit="7" topLeftCell="A8" activePane="bottomLeft" state="frozen"/>
      <selection pane="bottomLeft" activeCell="A8" sqref="A8"/>
    </sheetView>
  </sheetViews>
  <sheetFormatPr baseColWidth="10" defaultColWidth="8.85546875" defaultRowHeight="16"/>
  <cols>
    <col min="1" max="1" width="8.85546875" style="34"/>
    <col min="2" max="2" width="14.7109375" style="34" customWidth="1"/>
    <col min="3" max="3" width="15.7109375" style="34" customWidth="1"/>
    <col min="4" max="4" width="11.28515625" style="34" customWidth="1"/>
    <col min="5" max="6" width="10.7109375" style="34" customWidth="1"/>
    <col min="7" max="7" width="11.42578125" style="34" customWidth="1"/>
    <col min="8" max="16384" width="8.85546875" style="34"/>
  </cols>
  <sheetData>
    <row r="1" spans="1:14">
      <c r="A1" s="33" t="str">
        <f ca="1">CELL("filename",A1)</f>
        <v>/Users/janohlberger/Work/UW/Thresholds/Data/Rich/[2018_PWS_Wild_Pink_forecast_DRAFT.xlsm]Lag1_Exp_smoothing_Total Run</v>
      </c>
    </row>
    <row r="2" spans="1:14" ht="17" thickBot="1"/>
    <row r="3" spans="1:14">
      <c r="A3" s="35" t="s">
        <v>122</v>
      </c>
      <c r="B3" s="35" t="s">
        <v>152</v>
      </c>
      <c r="J3" s="48"/>
      <c r="K3" s="182"/>
      <c r="L3" s="182"/>
      <c r="M3" s="183" t="s">
        <v>160</v>
      </c>
      <c r="N3" s="184">
        <v>0.48914428140211724</v>
      </c>
    </row>
    <row r="4" spans="1:14" ht="17" thickBot="1">
      <c r="A4" s="35"/>
      <c r="B4" s="35" t="s">
        <v>153</v>
      </c>
      <c r="J4" s="185"/>
      <c r="K4" s="186"/>
      <c r="L4" s="186"/>
      <c r="M4" s="187" t="s">
        <v>159</v>
      </c>
      <c r="N4" s="188">
        <f>G69</f>
        <v>1.1814329911551615</v>
      </c>
    </row>
    <row r="5" spans="1:14">
      <c r="A5" s="45"/>
      <c r="B5" s="45"/>
    </row>
    <row r="6" spans="1:14" ht="54.75" customHeight="1">
      <c r="A6" s="38" t="s">
        <v>3</v>
      </c>
      <c r="B6" s="189" t="s">
        <v>135</v>
      </c>
      <c r="C6" s="171" t="s">
        <v>130</v>
      </c>
      <c r="D6" s="171" t="s">
        <v>154</v>
      </c>
      <c r="E6" s="171" t="s">
        <v>131</v>
      </c>
      <c r="F6" s="170" t="s">
        <v>155</v>
      </c>
      <c r="G6" s="169" t="s">
        <v>132</v>
      </c>
    </row>
    <row r="7" spans="1:14">
      <c r="A7" s="43" t="s">
        <v>7</v>
      </c>
      <c r="B7" s="44" t="s">
        <v>134</v>
      </c>
      <c r="C7" s="174"/>
      <c r="D7" s="168"/>
      <c r="E7" s="45"/>
      <c r="F7" s="45"/>
      <c r="G7" s="45"/>
    </row>
    <row r="8" spans="1:14">
      <c r="A8" s="39">
        <v>1962</v>
      </c>
      <c r="B8" s="167">
        <f>VLOOKUP($A8,Database!$A$74:$J$137,10)</f>
        <v>8760326</v>
      </c>
      <c r="C8" s="155"/>
      <c r="D8" s="155"/>
      <c r="E8" s="155"/>
      <c r="G8" s="41"/>
    </row>
    <row r="9" spans="1:14">
      <c r="A9" s="39">
        <v>1963</v>
      </c>
      <c r="B9" s="167">
        <f>VLOOKUP($A9,Database!$A$74:$J$137,10)</f>
        <v>6651118</v>
      </c>
      <c r="C9" s="144">
        <f>$B8</f>
        <v>8760326</v>
      </c>
      <c r="D9" s="144"/>
      <c r="E9" s="52">
        <f>ABS(C9-$B9)</f>
        <v>2109208</v>
      </c>
      <c r="F9" s="55"/>
      <c r="G9" s="55"/>
    </row>
    <row r="10" spans="1:14">
      <c r="A10" s="39">
        <v>1964</v>
      </c>
      <c r="B10" s="167">
        <f>VLOOKUP($A10,Database!$A$74:$J$137,10)</f>
        <v>6048576</v>
      </c>
      <c r="C10" s="52">
        <f t="shared" ref="C10:C61" si="0">$N$3*$B9+(1-$N$3)*$C9</f>
        <v>7728618.9685124028</v>
      </c>
      <c r="D10" s="54">
        <f t="shared" ref="D10:D54" si="1">C10-B10</f>
        <v>1680042.9685124028</v>
      </c>
      <c r="E10" s="52">
        <f t="shared" ref="E10:E17" si="2">ABS(C10-$B10)</f>
        <v>1680042.9685124028</v>
      </c>
      <c r="F10" s="55">
        <f>($C10-$B10)/$B10</f>
        <v>0.27775842917612392</v>
      </c>
      <c r="G10" s="55">
        <f t="shared" ref="G10:G60" si="3">ABS($C10-$B10)/$B10</f>
        <v>0.27775842917612392</v>
      </c>
    </row>
    <row r="11" spans="1:14">
      <c r="A11" s="39">
        <v>1965</v>
      </c>
      <c r="B11" s="167">
        <f>VLOOKUP($A11,Database!$A$74:$J$137,10)</f>
        <v>3436427</v>
      </c>
      <c r="C11" s="52">
        <f t="shared" si="0"/>
        <v>6906835.5579547249</v>
      </c>
      <c r="D11" s="54">
        <f t="shared" si="1"/>
        <v>3470408.5579547249</v>
      </c>
      <c r="E11" s="52">
        <f t="shared" si="2"/>
        <v>3470408.5579547249</v>
      </c>
      <c r="F11" s="55">
        <f t="shared" ref="F11:F55" si="4">(C11-B11)/B11</f>
        <v>1.0098886308234467</v>
      </c>
      <c r="G11" s="55">
        <f t="shared" si="3"/>
        <v>1.0098886308234467</v>
      </c>
    </row>
    <row r="12" spans="1:14">
      <c r="A12" s="39">
        <v>1966</v>
      </c>
      <c r="B12" s="167">
        <f>VLOOKUP($A12,Database!$A$74:$J$137,10)</f>
        <v>4122588</v>
      </c>
      <c r="C12" s="52">
        <f t="shared" si="0"/>
        <v>5209305.0577022033</v>
      </c>
      <c r="D12" s="54">
        <f t="shared" si="1"/>
        <v>1086717.0577022033</v>
      </c>
      <c r="E12" s="52">
        <f t="shared" si="2"/>
        <v>1086717.0577022033</v>
      </c>
      <c r="F12" s="55">
        <f t="shared" si="4"/>
        <v>0.26360069395782537</v>
      </c>
      <c r="G12" s="55">
        <f t="shared" si="3"/>
        <v>0.26360069395782537</v>
      </c>
    </row>
    <row r="13" spans="1:14">
      <c r="A13" s="39">
        <v>1967</v>
      </c>
      <c r="B13" s="167">
        <f>VLOOKUP($A13,Database!$A$74:$J$137,10)</f>
        <v>3468600</v>
      </c>
      <c r="C13" s="52">
        <f t="shared" si="0"/>
        <v>4677743.6234250367</v>
      </c>
      <c r="D13" s="54">
        <f t="shared" si="1"/>
        <v>1209143.6234250367</v>
      </c>
      <c r="E13" s="52">
        <f t="shared" si="2"/>
        <v>1209143.6234250367</v>
      </c>
      <c r="F13" s="55">
        <f t="shared" si="4"/>
        <v>0.34859701995763037</v>
      </c>
      <c r="G13" s="55">
        <f t="shared" si="3"/>
        <v>0.34859701995763037</v>
      </c>
    </row>
    <row r="14" spans="1:14">
      <c r="A14" s="39">
        <v>1968</v>
      </c>
      <c r="B14" s="167">
        <f>VLOOKUP($A14,Database!$A$74:$J$137,10)</f>
        <v>3608678</v>
      </c>
      <c r="C14" s="52">
        <f t="shared" si="0"/>
        <v>4086297.9346328452</v>
      </c>
      <c r="D14" s="54">
        <f t="shared" si="1"/>
        <v>477619.93463284522</v>
      </c>
      <c r="E14" s="52">
        <f t="shared" si="2"/>
        <v>477619.93463284522</v>
      </c>
      <c r="F14" s="55">
        <f t="shared" si="4"/>
        <v>0.13235315942094175</v>
      </c>
      <c r="G14" s="55">
        <f t="shared" si="3"/>
        <v>0.13235315942094175</v>
      </c>
    </row>
    <row r="15" spans="1:14">
      <c r="A15" s="39">
        <v>1969</v>
      </c>
      <c r="B15" s="167">
        <f>VLOOKUP($A15,Database!$A$74:$J$137,10)</f>
        <v>5233149</v>
      </c>
      <c r="C15" s="52">
        <f t="shared" si="0"/>
        <v>3852672.8749235366</v>
      </c>
      <c r="D15" s="54">
        <f t="shared" si="1"/>
        <v>-1380476.1250764634</v>
      </c>
      <c r="E15" s="52">
        <f t="shared" si="2"/>
        <v>1380476.1250764634</v>
      </c>
      <c r="F15" s="55">
        <f t="shared" si="4"/>
        <v>-0.26379453844644274</v>
      </c>
      <c r="G15" s="55">
        <f t="shared" si="3"/>
        <v>0.26379453844644274</v>
      </c>
    </row>
    <row r="16" spans="1:14">
      <c r="A16" s="39">
        <v>1970</v>
      </c>
      <c r="B16" s="167">
        <f>VLOOKUP($A16,Database!$A$74:$J$137,10)</f>
        <v>3789216</v>
      </c>
      <c r="C16" s="52">
        <f t="shared" si="0"/>
        <v>4527924.8771168431</v>
      </c>
      <c r="D16" s="54">
        <f t="shared" si="1"/>
        <v>738708.87711684313</v>
      </c>
      <c r="E16" s="52">
        <f t="shared" si="2"/>
        <v>738708.87711684313</v>
      </c>
      <c r="F16" s="55">
        <f t="shared" si="4"/>
        <v>0.19495032141657881</v>
      </c>
      <c r="G16" s="55">
        <f t="shared" si="3"/>
        <v>0.19495032141657881</v>
      </c>
    </row>
    <row r="17" spans="1:7">
      <c r="A17" s="39">
        <v>1971</v>
      </c>
      <c r="B17" s="167">
        <f>VLOOKUP($A17,Database!$A$74:$J$137,10)</f>
        <v>8423514</v>
      </c>
      <c r="C17" s="52">
        <f t="shared" si="0"/>
        <v>4166589.6542541599</v>
      </c>
      <c r="D17" s="54">
        <f t="shared" si="1"/>
        <v>-4256924.3457458401</v>
      </c>
      <c r="E17" s="52">
        <f t="shared" si="2"/>
        <v>4256924.3457458401</v>
      </c>
      <c r="F17" s="55">
        <f t="shared" si="4"/>
        <v>-0.50536205504565435</v>
      </c>
      <c r="G17" s="55">
        <f t="shared" si="3"/>
        <v>0.50536205504565435</v>
      </c>
    </row>
    <row r="18" spans="1:7">
      <c r="A18" s="39">
        <v>1972</v>
      </c>
      <c r="B18" s="167">
        <f>VLOOKUP($A18,Database!$A$74:$J$137,10)</f>
        <v>695963</v>
      </c>
      <c r="C18" s="52">
        <f t="shared" si="0"/>
        <v>6248839.8543371875</v>
      </c>
      <c r="D18" s="54">
        <f t="shared" si="1"/>
        <v>5552876.8543371875</v>
      </c>
      <c r="E18" s="52">
        <f t="shared" ref="E18:E55" si="5">ABS(C18-$B18)</f>
        <v>5552876.8543371875</v>
      </c>
      <c r="F18" s="55">
        <f t="shared" si="4"/>
        <v>7.9786954972278519</v>
      </c>
      <c r="G18" s="55">
        <f t="shared" si="3"/>
        <v>7.9786954972278519</v>
      </c>
    </row>
    <row r="19" spans="1:7">
      <c r="A19" s="39">
        <v>1973</v>
      </c>
      <c r="B19" s="167">
        <f>VLOOKUP($A19,Database!$A$74:$J$137,10)</f>
        <v>8535974</v>
      </c>
      <c r="C19" s="52">
        <f t="shared" si="0"/>
        <v>3532681.8957079751</v>
      </c>
      <c r="D19" s="54">
        <f t="shared" si="1"/>
        <v>-5003292.1042920249</v>
      </c>
      <c r="E19" s="52">
        <f t="shared" si="5"/>
        <v>5003292.1042920249</v>
      </c>
      <c r="F19" s="55">
        <f t="shared" si="4"/>
        <v>-0.5861419100259706</v>
      </c>
      <c r="G19" s="55">
        <f t="shared" si="3"/>
        <v>0.5861419100259706</v>
      </c>
    </row>
    <row r="20" spans="1:7">
      <c r="A20" s="39">
        <v>1974</v>
      </c>
      <c r="B20" s="167">
        <f>VLOOKUP($A20,Database!$A$74:$J$137,10)</f>
        <v>1012903</v>
      </c>
      <c r="C20" s="52">
        <f t="shared" si="0"/>
        <v>5980013.6167067848</v>
      </c>
      <c r="D20" s="54">
        <f t="shared" si="1"/>
        <v>4967110.6167067848</v>
      </c>
      <c r="E20" s="52">
        <f t="shared" si="5"/>
        <v>4967110.6167067848</v>
      </c>
      <c r="F20" s="55">
        <f t="shared" si="4"/>
        <v>4.9038364154383833</v>
      </c>
      <c r="G20" s="55">
        <f t="shared" si="3"/>
        <v>4.9038364154383833</v>
      </c>
    </row>
    <row r="21" spans="1:7">
      <c r="A21" s="39">
        <v>1975</v>
      </c>
      <c r="B21" s="167">
        <f>VLOOKUP($A21,Database!$A$74:$J$137,10)</f>
        <v>3322438</v>
      </c>
      <c r="C21" s="52">
        <f t="shared" si="0"/>
        <v>3550379.8634529174</v>
      </c>
      <c r="D21" s="54">
        <f t="shared" si="1"/>
        <v>227941.86345291743</v>
      </c>
      <c r="E21" s="52">
        <f t="shared" si="5"/>
        <v>227941.86345291743</v>
      </c>
      <c r="F21" s="55">
        <f t="shared" si="4"/>
        <v>6.8606807246039639E-2</v>
      </c>
      <c r="G21" s="55">
        <f t="shared" si="3"/>
        <v>6.8606807246039639E-2</v>
      </c>
    </row>
    <row r="22" spans="1:7">
      <c r="A22" s="39">
        <v>1976</v>
      </c>
      <c r="B22" s="167">
        <f>VLOOKUP($A22,Database!$A$74:$J$137,10)</f>
        <v>1161051</v>
      </c>
      <c r="C22" s="52">
        <f t="shared" si="0"/>
        <v>3438883.4044527807</v>
      </c>
      <c r="D22" s="54">
        <f t="shared" si="1"/>
        <v>2277832.4044527807</v>
      </c>
      <c r="E22" s="52">
        <f t="shared" si="5"/>
        <v>2277832.4044527807</v>
      </c>
      <c r="F22" s="55">
        <f t="shared" si="4"/>
        <v>1.9618711016594281</v>
      </c>
      <c r="G22" s="55">
        <f t="shared" si="3"/>
        <v>1.9618711016594281</v>
      </c>
    </row>
    <row r="23" spans="1:7">
      <c r="A23" s="39">
        <v>1977</v>
      </c>
      <c r="B23" s="167">
        <f>VLOOKUP($A23,Database!$A$74:$J$137,10)</f>
        <v>5816401</v>
      </c>
      <c r="C23" s="52">
        <f t="shared" si="0"/>
        <v>2324694.7098222687</v>
      </c>
      <c r="D23" s="54">
        <f t="shared" si="1"/>
        <v>-3491706.2901777313</v>
      </c>
      <c r="E23" s="52">
        <f t="shared" si="5"/>
        <v>3491706.2901777313</v>
      </c>
      <c r="F23" s="55">
        <f t="shared" si="4"/>
        <v>-0.60032076367804266</v>
      </c>
      <c r="G23" s="55">
        <f t="shared" si="3"/>
        <v>0.60032076367804266</v>
      </c>
    </row>
    <row r="24" spans="1:7">
      <c r="A24" s="39">
        <v>1978</v>
      </c>
      <c r="B24" s="167">
        <f>VLOOKUP($A24,Database!$A$74:$J$137,10)</f>
        <v>3925083</v>
      </c>
      <c r="C24" s="52">
        <f t="shared" si="0"/>
        <v>4032642.8739985079</v>
      </c>
      <c r="D24" s="54">
        <f t="shared" si="1"/>
        <v>107559.87399850786</v>
      </c>
      <c r="E24" s="52">
        <f t="shared" si="5"/>
        <v>107559.87399850786</v>
      </c>
      <c r="F24" s="55">
        <f t="shared" si="4"/>
        <v>2.7403210071865452E-2</v>
      </c>
      <c r="G24" s="55">
        <f t="shared" si="3"/>
        <v>2.7403210071865452E-2</v>
      </c>
    </row>
    <row r="25" spans="1:7">
      <c r="A25" s="39">
        <v>1979</v>
      </c>
      <c r="B25" s="167">
        <f>VLOOKUP($A25,Database!$A$74:$J$137,10)</f>
        <v>17335503</v>
      </c>
      <c r="C25" s="52">
        <f t="shared" si="0"/>
        <v>3980030.5767238056</v>
      </c>
      <c r="D25" s="54">
        <f t="shared" si="1"/>
        <v>-13355472.423276193</v>
      </c>
      <c r="E25" s="52">
        <f t="shared" si="5"/>
        <v>13355472.423276193</v>
      </c>
      <c r="F25" s="55">
        <f t="shared" si="4"/>
        <v>-0.77041158963060918</v>
      </c>
      <c r="G25" s="55">
        <f t="shared" si="3"/>
        <v>0.77041158963060918</v>
      </c>
    </row>
    <row r="26" spans="1:7">
      <c r="A26" s="39">
        <v>1980</v>
      </c>
      <c r="B26" s="167">
        <f>VLOOKUP($A26,Database!$A$74:$J$137,10)</f>
        <v>14013916</v>
      </c>
      <c r="C26" s="52">
        <f t="shared" si="0"/>
        <v>10512783.537993032</v>
      </c>
      <c r="D26" s="54">
        <f t="shared" si="1"/>
        <v>-3501132.4620069675</v>
      </c>
      <c r="E26" s="52">
        <f t="shared" si="5"/>
        <v>3501132.4620069675</v>
      </c>
      <c r="F26" s="55">
        <f t="shared" si="4"/>
        <v>-0.2498325565821122</v>
      </c>
      <c r="G26" s="55">
        <f t="shared" si="3"/>
        <v>0.2498325565821122</v>
      </c>
    </row>
    <row r="27" spans="1:7">
      <c r="A27" s="39">
        <v>1981</v>
      </c>
      <c r="B27" s="167">
        <f>VLOOKUP($A27,Database!$A$74:$J$137,10)</f>
        <v>19568866</v>
      </c>
      <c r="C27" s="52">
        <f t="shared" si="0"/>
        <v>12225342.460215058</v>
      </c>
      <c r="D27" s="54">
        <f t="shared" si="1"/>
        <v>-7343523.5397849418</v>
      </c>
      <c r="E27" s="52">
        <f t="shared" si="5"/>
        <v>7343523.5397849418</v>
      </c>
      <c r="F27" s="55">
        <f t="shared" si="4"/>
        <v>-0.37526566637969427</v>
      </c>
      <c r="G27" s="55">
        <f t="shared" si="3"/>
        <v>0.37526566637969427</v>
      </c>
    </row>
    <row r="28" spans="1:7">
      <c r="A28" s="39">
        <v>1982</v>
      </c>
      <c r="B28" s="167">
        <f>VLOOKUP($A28,Database!$A$74:$J$137,10)</f>
        <v>16794317</v>
      </c>
      <c r="C28" s="52">
        <f t="shared" si="0"/>
        <v>15817385.005042698</v>
      </c>
      <c r="D28" s="54">
        <f t="shared" si="1"/>
        <v>-976931.99495730177</v>
      </c>
      <c r="E28" s="52">
        <f t="shared" si="5"/>
        <v>976931.99495730177</v>
      </c>
      <c r="F28" s="55">
        <f t="shared" si="4"/>
        <v>-5.8170391505489728E-2</v>
      </c>
      <c r="G28" s="55">
        <f t="shared" si="3"/>
        <v>5.8170391505489728E-2</v>
      </c>
    </row>
    <row r="29" spans="1:7">
      <c r="A29" s="39">
        <v>1983</v>
      </c>
      <c r="B29" s="167">
        <f>VLOOKUP($A29,Database!$A$74:$J$137,10)</f>
        <v>11567348</v>
      </c>
      <c r="C29" s="52">
        <f t="shared" si="0"/>
        <v>16295245.703694824</v>
      </c>
      <c r="D29" s="54">
        <f t="shared" si="1"/>
        <v>4727897.7036948241</v>
      </c>
      <c r="E29" s="52">
        <f t="shared" si="5"/>
        <v>4727897.7036948241</v>
      </c>
      <c r="F29" s="55">
        <f t="shared" si="4"/>
        <v>0.40872788678051564</v>
      </c>
      <c r="G29" s="55">
        <f t="shared" si="3"/>
        <v>0.40872788678051564</v>
      </c>
    </row>
    <row r="30" spans="1:7">
      <c r="A30" s="39">
        <v>1984</v>
      </c>
      <c r="B30" s="167">
        <f>VLOOKUP($A30,Database!$A$74:$J$137,10)</f>
        <v>21201513</v>
      </c>
      <c r="C30" s="52">
        <f t="shared" si="0"/>
        <v>13982621.5788783</v>
      </c>
      <c r="D30" s="54">
        <f t="shared" si="1"/>
        <v>-7218891.4211216997</v>
      </c>
      <c r="E30" s="52">
        <f t="shared" si="5"/>
        <v>7218891.4211216997</v>
      </c>
      <c r="F30" s="55">
        <f t="shared" si="4"/>
        <v>-0.34048944625422251</v>
      </c>
      <c r="G30" s="55">
        <f t="shared" si="3"/>
        <v>0.34048944625422251</v>
      </c>
    </row>
    <row r="31" spans="1:7">
      <c r="A31" s="39">
        <v>1985</v>
      </c>
      <c r="B31" s="167">
        <f>VLOOKUP($A31,Database!$A$74:$J$137,10)</f>
        <v>19938105</v>
      </c>
      <c r="C31" s="52">
        <f t="shared" si="0"/>
        <v>17513701.035582781</v>
      </c>
      <c r="D31" s="54">
        <f t="shared" si="1"/>
        <v>-2424403.9644172192</v>
      </c>
      <c r="E31" s="52">
        <f t="shared" si="5"/>
        <v>2424403.9644172192</v>
      </c>
      <c r="F31" s="55">
        <f t="shared" si="4"/>
        <v>-0.12159650901714175</v>
      </c>
      <c r="G31" s="55">
        <f t="shared" si="3"/>
        <v>0.12159650901714175</v>
      </c>
    </row>
    <row r="32" spans="1:7">
      <c r="A32" s="39">
        <v>1986</v>
      </c>
      <c r="B32" s="167">
        <f>VLOOKUP($A32,Database!$A$74:$J$137,10)</f>
        <v>5563957</v>
      </c>
      <c r="C32" s="52">
        <f t="shared" si="0"/>
        <v>18699584.370586086</v>
      </c>
      <c r="D32" s="54">
        <f t="shared" si="1"/>
        <v>13135627.370586086</v>
      </c>
      <c r="E32" s="52">
        <f t="shared" si="5"/>
        <v>13135627.370586086</v>
      </c>
      <c r="F32" s="55">
        <f t="shared" si="4"/>
        <v>2.3608427186957206</v>
      </c>
      <c r="G32" s="55">
        <f t="shared" si="3"/>
        <v>2.3608427186957206</v>
      </c>
    </row>
    <row r="33" spans="1:7">
      <c r="A33" s="39">
        <v>1987</v>
      </c>
      <c r="B33" s="167">
        <f>VLOOKUP($A33,Database!$A$74:$J$137,10)</f>
        <v>13066944</v>
      </c>
      <c r="C33" s="52">
        <f t="shared" si="0"/>
        <v>12274367.359634774</v>
      </c>
      <c r="D33" s="54">
        <f t="shared" si="1"/>
        <v>-792576.64036522619</v>
      </c>
      <c r="E33" s="52">
        <f t="shared" si="5"/>
        <v>792576.64036522619</v>
      </c>
      <c r="F33" s="55">
        <f t="shared" si="4"/>
        <v>-6.0655088164855243E-2</v>
      </c>
      <c r="G33" s="55">
        <f t="shared" si="3"/>
        <v>6.0655088164855243E-2</v>
      </c>
    </row>
    <row r="34" spans="1:7">
      <c r="A34" s="39">
        <v>1988</v>
      </c>
      <c r="B34" s="167">
        <f>VLOOKUP($A34,Database!$A$74:$J$137,10)</f>
        <v>1766936</v>
      </c>
      <c r="C34" s="52">
        <f t="shared" si="0"/>
        <v>12662051.690842327</v>
      </c>
      <c r="D34" s="54">
        <f t="shared" si="1"/>
        <v>10895115.690842327</v>
      </c>
      <c r="E34" s="52">
        <f t="shared" si="5"/>
        <v>10895115.690842327</v>
      </c>
      <c r="F34" s="55">
        <f t="shared" si="4"/>
        <v>6.1661065770590033</v>
      </c>
      <c r="G34" s="55">
        <f t="shared" si="3"/>
        <v>6.1661065770590033</v>
      </c>
    </row>
    <row r="35" spans="1:7">
      <c r="A35" s="39">
        <v>1989</v>
      </c>
      <c r="B35" s="167">
        <f>VLOOKUP($A35,Database!$A$74:$J$137,10)</f>
        <v>4743750</v>
      </c>
      <c r="C35" s="52">
        <f t="shared" si="0"/>
        <v>7332768.155452325</v>
      </c>
      <c r="D35" s="54">
        <f t="shared" si="1"/>
        <v>2589018.155452325</v>
      </c>
      <c r="E35" s="52">
        <f t="shared" si="5"/>
        <v>2589018.155452325</v>
      </c>
      <c r="F35" s="55">
        <f t="shared" si="4"/>
        <v>0.54577457822446906</v>
      </c>
      <c r="G35" s="55">
        <f t="shared" si="3"/>
        <v>0.54577457822446906</v>
      </c>
    </row>
    <row r="36" spans="1:7">
      <c r="A36" s="39">
        <v>1990</v>
      </c>
      <c r="B36" s="167">
        <f>VLOOKUP($A36,Database!$A$74:$J$137,10)</f>
        <v>12923662</v>
      </c>
      <c r="C36" s="52">
        <f t="shared" si="0"/>
        <v>6066364.7302665636</v>
      </c>
      <c r="D36" s="54">
        <f t="shared" si="1"/>
        <v>-6857297.2697334364</v>
      </c>
      <c r="E36" s="52">
        <f t="shared" si="5"/>
        <v>6857297.2697334364</v>
      </c>
      <c r="F36" s="55">
        <f t="shared" si="4"/>
        <v>-0.53060017120019365</v>
      </c>
      <c r="G36" s="55">
        <f t="shared" si="3"/>
        <v>0.53060017120019365</v>
      </c>
    </row>
    <row r="37" spans="1:7">
      <c r="A37" s="39">
        <v>1991</v>
      </c>
      <c r="B37" s="167">
        <f>VLOOKUP($A37,Database!$A$74:$J$137,10)</f>
        <v>7544776</v>
      </c>
      <c r="C37" s="52">
        <f t="shared" si="0"/>
        <v>9420572.4756310247</v>
      </c>
      <c r="D37" s="54">
        <f t="shared" si="1"/>
        <v>1875796.4756310247</v>
      </c>
      <c r="E37" s="52">
        <f t="shared" si="5"/>
        <v>1875796.4756310247</v>
      </c>
      <c r="F37" s="55">
        <f t="shared" si="4"/>
        <v>0.24862189091247039</v>
      </c>
      <c r="G37" s="55">
        <f t="shared" si="3"/>
        <v>0.24862189091247039</v>
      </c>
    </row>
    <row r="38" spans="1:7">
      <c r="A38" s="39">
        <v>1992</v>
      </c>
      <c r="B38" s="167">
        <f>VLOOKUP($A38,Database!$A$74:$J$137,10)</f>
        <v>1405383</v>
      </c>
      <c r="C38" s="52">
        <f t="shared" si="0"/>
        <v>8503037.3565018624</v>
      </c>
      <c r="D38" s="54">
        <f t="shared" si="1"/>
        <v>7097654.3565018624</v>
      </c>
      <c r="E38" s="52">
        <f t="shared" si="5"/>
        <v>7097654.3565018624</v>
      </c>
      <c r="F38" s="55">
        <f t="shared" si="4"/>
        <v>5.0503345753448441</v>
      </c>
      <c r="G38" s="55">
        <f t="shared" si="3"/>
        <v>5.0503345753448441</v>
      </c>
    </row>
    <row r="39" spans="1:7">
      <c r="A39" s="39">
        <v>1993</v>
      </c>
      <c r="B39" s="167">
        <f>VLOOKUP($A39,Database!$A$74:$J$137,10)</f>
        <v>1542942</v>
      </c>
      <c r="C39" s="52">
        <f t="shared" si="0"/>
        <v>5031260.3166501531</v>
      </c>
      <c r="D39" s="54">
        <f t="shared" si="1"/>
        <v>3488318.3166501531</v>
      </c>
      <c r="E39" s="52">
        <f t="shared" si="5"/>
        <v>3488318.3166501531</v>
      </c>
      <c r="F39" s="55">
        <f t="shared" si="4"/>
        <v>2.260822711838911</v>
      </c>
      <c r="G39" s="55">
        <f t="shared" si="3"/>
        <v>2.260822711838911</v>
      </c>
    </row>
    <row r="40" spans="1:7">
      <c r="A40" s="39">
        <v>1994</v>
      </c>
      <c r="B40" s="167">
        <f>VLOOKUP($A40,Database!$A$74:$J$137,10)</f>
        <v>4666639</v>
      </c>
      <c r="C40" s="52">
        <f t="shared" si="0"/>
        <v>3324969.360350471</v>
      </c>
      <c r="D40" s="54">
        <f t="shared" si="1"/>
        <v>-1341669.639649529</v>
      </c>
      <c r="E40" s="52">
        <f t="shared" si="5"/>
        <v>1341669.639649529</v>
      </c>
      <c r="F40" s="55">
        <f t="shared" si="4"/>
        <v>-0.28750234154592397</v>
      </c>
      <c r="G40" s="55">
        <f t="shared" si="3"/>
        <v>0.28750234154592397</v>
      </c>
    </row>
    <row r="41" spans="1:7">
      <c r="A41" s="39">
        <v>1995</v>
      </c>
      <c r="B41" s="167">
        <f>VLOOKUP($A41,Database!$A$74:$J$137,10)</f>
        <v>3934208</v>
      </c>
      <c r="C41" s="52">
        <f t="shared" si="0"/>
        <v>3981239.3921158779</v>
      </c>
      <c r="D41" s="54">
        <f t="shared" si="1"/>
        <v>47031.392115877941</v>
      </c>
      <c r="E41" s="52">
        <f t="shared" si="5"/>
        <v>47031.392115877941</v>
      </c>
      <c r="F41" s="55">
        <f t="shared" si="4"/>
        <v>1.1954475237678827E-2</v>
      </c>
      <c r="G41" s="55">
        <f t="shared" si="3"/>
        <v>1.1954475237678827E-2</v>
      </c>
    </row>
    <row r="42" spans="1:7">
      <c r="A42" s="39">
        <v>1996</v>
      </c>
      <c r="B42" s="167">
        <f>VLOOKUP($A42,Database!$A$74:$J$137,10)</f>
        <v>4500085</v>
      </c>
      <c r="C42" s="52">
        <f t="shared" si="0"/>
        <v>3958234.2556160158</v>
      </c>
      <c r="D42" s="54">
        <f t="shared" si="1"/>
        <v>-541850.74438398425</v>
      </c>
      <c r="E42" s="52">
        <f t="shared" si="5"/>
        <v>541850.74438398425</v>
      </c>
      <c r="F42" s="55">
        <f t="shared" si="4"/>
        <v>-0.12040900213751168</v>
      </c>
      <c r="G42" s="55">
        <f t="shared" si="3"/>
        <v>0.12040900213751168</v>
      </c>
    </row>
    <row r="43" spans="1:7">
      <c r="A43" s="39">
        <v>1997</v>
      </c>
      <c r="B43" s="167">
        <f>VLOOKUP($A43,Database!$A$74:$J$137,10)</f>
        <v>2588682</v>
      </c>
      <c r="C43" s="52">
        <f t="shared" si="0"/>
        <v>4223277.4486049227</v>
      </c>
      <c r="D43" s="54">
        <f t="shared" si="1"/>
        <v>1634595.4486049227</v>
      </c>
      <c r="E43" s="52">
        <f t="shared" si="5"/>
        <v>1634595.4486049227</v>
      </c>
      <c r="F43" s="55">
        <f t="shared" si="4"/>
        <v>0.63143926083038504</v>
      </c>
      <c r="G43" s="55">
        <f t="shared" si="3"/>
        <v>0.63143926083038504</v>
      </c>
    </row>
    <row r="44" spans="1:7">
      <c r="A44" s="39">
        <v>1998</v>
      </c>
      <c r="B44" s="167">
        <f>VLOOKUP($A44,Database!$A$74:$J$137,10)</f>
        <v>5274275.5</v>
      </c>
      <c r="C44" s="52">
        <f t="shared" si="0"/>
        <v>3423724.4325138964</v>
      </c>
      <c r="D44" s="54">
        <f t="shared" si="1"/>
        <v>-1850551.0674861036</v>
      </c>
      <c r="E44" s="52">
        <f t="shared" si="5"/>
        <v>1850551.0674861036</v>
      </c>
      <c r="F44" s="55">
        <f t="shared" si="4"/>
        <v>-0.3508635579400628</v>
      </c>
      <c r="G44" s="55">
        <f t="shared" si="3"/>
        <v>0.3508635579400628</v>
      </c>
    </row>
    <row r="45" spans="1:7">
      <c r="A45" s="39">
        <v>1999</v>
      </c>
      <c r="B45" s="167">
        <f>VLOOKUP($A45,Database!$A$74:$J$137,10)</f>
        <v>9405198</v>
      </c>
      <c r="C45" s="52">
        <f t="shared" si="0"/>
        <v>4328910.9046173077</v>
      </c>
      <c r="D45" s="54">
        <f t="shared" si="1"/>
        <v>-5076287.0953826923</v>
      </c>
      <c r="E45" s="52">
        <f t="shared" si="5"/>
        <v>5076287.0953826923</v>
      </c>
      <c r="F45" s="55">
        <f t="shared" si="4"/>
        <v>-0.53973208170446729</v>
      </c>
      <c r="G45" s="55">
        <f t="shared" si="3"/>
        <v>0.53973208170446729</v>
      </c>
    </row>
    <row r="46" spans="1:7">
      <c r="A46" s="39">
        <v>2000</v>
      </c>
      <c r="B46" s="167">
        <f>VLOOKUP($A46,Database!$A$74:$J$137,10)</f>
        <v>7389941</v>
      </c>
      <c r="C46" s="52">
        <f t="shared" si="0"/>
        <v>6811947.7080791164</v>
      </c>
      <c r="D46" s="54">
        <f t="shared" si="1"/>
        <v>-577993.29192088358</v>
      </c>
      <c r="E46" s="52">
        <f t="shared" si="5"/>
        <v>577993.29192088358</v>
      </c>
      <c r="F46" s="55">
        <f t="shared" si="4"/>
        <v>-7.8213519150001812E-2</v>
      </c>
      <c r="G46" s="55">
        <f t="shared" si="3"/>
        <v>7.8213519150001812E-2</v>
      </c>
    </row>
    <row r="47" spans="1:7">
      <c r="A47" s="39">
        <v>2001</v>
      </c>
      <c r="B47" s="167">
        <f>VLOOKUP($A47,Database!$A$74:$J$137,10)</f>
        <v>8854676.9808041956</v>
      </c>
      <c r="C47" s="52">
        <f t="shared" si="0"/>
        <v>7094669.8215110023</v>
      </c>
      <c r="D47" s="54">
        <f t="shared" si="1"/>
        <v>-1760007.1592931934</v>
      </c>
      <c r="E47" s="52">
        <f t="shared" si="5"/>
        <v>1760007.1592931934</v>
      </c>
      <c r="F47" s="55">
        <f t="shared" si="4"/>
        <v>-0.19876582320378972</v>
      </c>
      <c r="G47" s="55">
        <f t="shared" si="3"/>
        <v>0.19876582320378972</v>
      </c>
    </row>
    <row r="48" spans="1:7">
      <c r="A48" s="60">
        <v>2002</v>
      </c>
      <c r="B48" s="167">
        <f>VLOOKUP($A48,Database!$A$74:$J$137,10)</f>
        <v>1264645.3102025923</v>
      </c>
      <c r="C48" s="52">
        <f t="shared" si="0"/>
        <v>7955567.2587060537</v>
      </c>
      <c r="D48" s="54">
        <f t="shared" si="1"/>
        <v>6690921.9485034617</v>
      </c>
      <c r="E48" s="52">
        <f t="shared" si="5"/>
        <v>6690921.9485034617</v>
      </c>
      <c r="F48" s="55">
        <f t="shared" si="4"/>
        <v>5.2907498209372212</v>
      </c>
      <c r="G48" s="55">
        <f t="shared" si="3"/>
        <v>5.2907498209372212</v>
      </c>
    </row>
    <row r="49" spans="1:7">
      <c r="A49" s="39">
        <v>2003</v>
      </c>
      <c r="B49" s="167">
        <f>VLOOKUP($A49,Database!$A$74:$J$137,10)</f>
        <v>7344511.9398193061</v>
      </c>
      <c r="C49" s="52">
        <f t="shared" si="0"/>
        <v>4682741.0502876742</v>
      </c>
      <c r="D49" s="54">
        <f t="shared" si="1"/>
        <v>-2661770.889531632</v>
      </c>
      <c r="E49" s="52">
        <f t="shared" si="5"/>
        <v>2661770.889531632</v>
      </c>
      <c r="F49" s="55">
        <f t="shared" si="4"/>
        <v>-0.36241630639885902</v>
      </c>
      <c r="G49" s="55">
        <f t="shared" si="3"/>
        <v>0.36241630639885902</v>
      </c>
    </row>
    <row r="50" spans="1:7">
      <c r="A50" s="39">
        <v>2004</v>
      </c>
      <c r="B50" s="167">
        <f>VLOOKUP($A50,Database!$A$74:$J$137,10)</f>
        <v>4939431.0563474381</v>
      </c>
      <c r="C50" s="52">
        <f t="shared" si="0"/>
        <v>5984731.0593046993</v>
      </c>
      <c r="D50" s="54">
        <f t="shared" si="1"/>
        <v>1045300.0029572612</v>
      </c>
      <c r="E50" s="52">
        <f t="shared" si="5"/>
        <v>1045300.0029572612</v>
      </c>
      <c r="F50" s="55">
        <f t="shared" si="4"/>
        <v>0.21162356373291083</v>
      </c>
      <c r="G50" s="55">
        <f t="shared" si="3"/>
        <v>0.21162356373291083</v>
      </c>
    </row>
    <row r="51" spans="1:7">
      <c r="A51" s="39">
        <v>2005</v>
      </c>
      <c r="B51" s="167">
        <f>VLOOKUP($A51,Database!$A$74:$J$137,10)</f>
        <v>17032487.685321052</v>
      </c>
      <c r="C51" s="52">
        <f t="shared" si="0"/>
        <v>5473428.5405085385</v>
      </c>
      <c r="D51" s="54">
        <f t="shared" si="1"/>
        <v>-11559059.144812513</v>
      </c>
      <c r="E51" s="52">
        <f t="shared" si="5"/>
        <v>11559059.144812513</v>
      </c>
      <c r="F51" s="55">
        <f t="shared" si="4"/>
        <v>-0.67864773240225784</v>
      </c>
      <c r="G51" s="55">
        <f t="shared" si="3"/>
        <v>0.67864773240225784</v>
      </c>
    </row>
    <row r="52" spans="1:7">
      <c r="A52" s="60">
        <v>2006</v>
      </c>
      <c r="B52" s="167">
        <f>VLOOKUP($A52,Database!$A$74:$J$137,10)</f>
        <v>3314702.7753436686</v>
      </c>
      <c r="C52" s="52">
        <f t="shared" si="0"/>
        <v>11127476.219582427</v>
      </c>
      <c r="D52" s="54">
        <f t="shared" si="1"/>
        <v>7812773.4442387586</v>
      </c>
      <c r="E52" s="52">
        <f t="shared" si="5"/>
        <v>7812773.4442387586</v>
      </c>
      <c r="F52" s="55">
        <f t="shared" si="4"/>
        <v>2.3570057328680787</v>
      </c>
      <c r="G52" s="55">
        <f t="shared" si="3"/>
        <v>2.3570057328680787</v>
      </c>
    </row>
    <row r="53" spans="1:7">
      <c r="A53" s="39">
        <v>2007</v>
      </c>
      <c r="B53" s="167">
        <f>VLOOKUP($A53,Database!$A$74:$J$137,10)</f>
        <v>11526987.795003444</v>
      </c>
      <c r="C53" s="52">
        <f t="shared" si="0"/>
        <v>7305902.7674427154</v>
      </c>
      <c r="D53" s="54">
        <f t="shared" si="1"/>
        <v>-4221085.0275607286</v>
      </c>
      <c r="E53" s="52">
        <f t="shared" si="5"/>
        <v>4221085.0275607286</v>
      </c>
      <c r="F53" s="55">
        <f t="shared" si="4"/>
        <v>-0.36619150663024252</v>
      </c>
      <c r="G53" s="55">
        <f t="shared" si="3"/>
        <v>0.36619150663024252</v>
      </c>
    </row>
    <row r="54" spans="1:7">
      <c r="A54" s="39">
        <v>2008</v>
      </c>
      <c r="B54" s="167">
        <f>VLOOKUP($A54,Database!$A$74:$J$137,10)</f>
        <v>2290691.6775990888</v>
      </c>
      <c r="C54" s="52">
        <f t="shared" si="0"/>
        <v>9370622.3699861448</v>
      </c>
      <c r="D54" s="54">
        <f t="shared" si="1"/>
        <v>7079930.6923870556</v>
      </c>
      <c r="E54" s="52">
        <f t="shared" si="5"/>
        <v>7079930.6923870556</v>
      </c>
      <c r="F54" s="55">
        <f t="shared" si="4"/>
        <v>3.0907392564535994</v>
      </c>
      <c r="G54" s="55">
        <f t="shared" si="3"/>
        <v>3.0907392564535994</v>
      </c>
    </row>
    <row r="55" spans="1:7">
      <c r="A55" s="39">
        <v>2009</v>
      </c>
      <c r="B55" s="167">
        <f>VLOOKUP($A55,Database!$A$74:$J$137,10)</f>
        <v>2824330.6070667375</v>
      </c>
      <c r="C55" s="52">
        <f t="shared" si="0"/>
        <v>5907514.7590816841</v>
      </c>
      <c r="D55" s="54">
        <f t="shared" ref="D55:D60" si="6">C55-B55</f>
        <v>3083184.1520149466</v>
      </c>
      <c r="E55" s="52">
        <f t="shared" si="5"/>
        <v>3083184.1520149466</v>
      </c>
      <c r="F55" s="55">
        <f t="shared" si="4"/>
        <v>1.0916512905042113</v>
      </c>
      <c r="G55" s="55">
        <f t="shared" si="3"/>
        <v>1.0916512905042113</v>
      </c>
    </row>
    <row r="56" spans="1:7">
      <c r="A56" s="39">
        <v>2010</v>
      </c>
      <c r="B56" s="167">
        <f>VLOOKUP($A56,Database!$A$74:$J$137,10)</f>
        <v>4399390.7272172375</v>
      </c>
      <c r="C56" s="52">
        <f t="shared" si="0"/>
        <v>4399392.8626139369</v>
      </c>
      <c r="D56" s="54">
        <f t="shared" si="6"/>
        <v>2.1353966994211078</v>
      </c>
      <c r="E56" s="52">
        <f>ABS(C56-$B56)</f>
        <v>2.1353966994211078</v>
      </c>
      <c r="F56" s="55">
        <f>(C56-B56)/B56</f>
        <v>4.8538464342579958E-7</v>
      </c>
      <c r="G56" s="55">
        <f t="shared" si="3"/>
        <v>4.8538464342579958E-7</v>
      </c>
    </row>
    <row r="57" spans="1:7">
      <c r="A57" s="39">
        <v>2011</v>
      </c>
      <c r="B57" s="167">
        <f>VLOOKUP($A57,Database!$A$74:$J$137,10)</f>
        <v>9643099</v>
      </c>
      <c r="C57" s="52">
        <f t="shared" si="0"/>
        <v>4399391.8180968538</v>
      </c>
      <c r="D57" s="54">
        <f t="shared" si="6"/>
        <v>-5243707.1819031462</v>
      </c>
      <c r="E57" s="52">
        <f>ABS(C57-$B57)</f>
        <v>5243707.1819031462</v>
      </c>
      <c r="F57" s="55">
        <f>(C57-B57)/B57</f>
        <v>-0.54377821713778385</v>
      </c>
      <c r="G57" s="55">
        <f t="shared" si="3"/>
        <v>0.54377821713778385</v>
      </c>
    </row>
    <row r="58" spans="1:7">
      <c r="A58" s="39">
        <v>2012</v>
      </c>
      <c r="B58" s="167">
        <f>VLOOKUP($A58,Database!$A$74:$J$137,10)</f>
        <v>4428267.5450134957</v>
      </c>
      <c r="C58" s="52">
        <f t="shared" si="0"/>
        <v>6964321.1994719896</v>
      </c>
      <c r="D58" s="54">
        <f t="shared" si="6"/>
        <v>2536053.6544584939</v>
      </c>
      <c r="E58" s="52">
        <f>ABS(C58-$B58)</f>
        <v>2536053.6544584939</v>
      </c>
      <c r="F58" s="55">
        <f>(C58-B58)/B58</f>
        <v>0.57269657460381951</v>
      </c>
      <c r="G58" s="55">
        <f t="shared" si="3"/>
        <v>0.57269657460381951</v>
      </c>
    </row>
    <row r="59" spans="1:7">
      <c r="A59" s="39">
        <v>2013</v>
      </c>
      <c r="B59" s="167">
        <f>VLOOKUP($A59,Database!$A$74:$J$137,10)</f>
        <v>21965453</v>
      </c>
      <c r="C59" s="52">
        <f t="shared" si="0"/>
        <v>5723825.0570646767</v>
      </c>
      <c r="D59" s="54">
        <f t="shared" si="6"/>
        <v>-16241627.942935323</v>
      </c>
      <c r="E59" s="52">
        <f>ABS(C59-$B59)</f>
        <v>16241627.942935323</v>
      </c>
      <c r="F59" s="55">
        <f>(C59-B59)/B59</f>
        <v>-0.7394169354456438</v>
      </c>
      <c r="G59" s="55">
        <f t="shared" si="3"/>
        <v>0.7394169354456438</v>
      </c>
    </row>
    <row r="60" spans="1:7">
      <c r="A60" s="39">
        <v>2014</v>
      </c>
      <c r="B60" s="167">
        <f>VLOOKUP($A60,Database!$A$74:$J$137,10)</f>
        <v>2702397</v>
      </c>
      <c r="C60" s="52">
        <f t="shared" si="0"/>
        <v>13668324.486012325</v>
      </c>
      <c r="D60" s="54">
        <f t="shared" si="6"/>
        <v>10965927.486012325</v>
      </c>
      <c r="E60" s="52">
        <f>ABS(C60-$B60)</f>
        <v>10965927.486012325</v>
      </c>
      <c r="F60" s="55">
        <f>(C60-B60)/B60</f>
        <v>4.0578521534816403</v>
      </c>
      <c r="G60" s="55">
        <f t="shared" si="3"/>
        <v>4.0578521534816403</v>
      </c>
    </row>
    <row r="61" spans="1:7">
      <c r="A61" s="39">
        <v>2015</v>
      </c>
      <c r="B61" s="167"/>
      <c r="C61" s="52">
        <f t="shared" si="0"/>
        <v>8304403.7659591008</v>
      </c>
      <c r="D61" s="52"/>
      <c r="E61" s="52"/>
      <c r="G61" s="55"/>
    </row>
    <row r="62" spans="1:7">
      <c r="A62" s="39">
        <v>2016</v>
      </c>
      <c r="B62" s="156"/>
      <c r="C62" s="52"/>
      <c r="D62" s="52"/>
      <c r="E62" s="52"/>
      <c r="G62" s="55"/>
    </row>
    <row r="63" spans="1:7">
      <c r="A63" s="39"/>
      <c r="B63" s="156"/>
      <c r="C63" s="52"/>
      <c r="D63" s="52"/>
      <c r="E63" s="52"/>
      <c r="G63" s="55"/>
    </row>
    <row r="64" spans="1:7">
      <c r="A64" s="39"/>
      <c r="B64" s="156"/>
      <c r="C64" s="52"/>
      <c r="D64" s="52"/>
      <c r="E64" s="52"/>
      <c r="G64" s="55"/>
    </row>
    <row r="65" spans="1:9">
      <c r="A65" s="39"/>
      <c r="B65" s="175"/>
      <c r="C65" s="176"/>
      <c r="D65" s="176"/>
      <c r="E65" s="177"/>
      <c r="F65" s="41"/>
      <c r="G65" s="178"/>
      <c r="H65" s="41"/>
      <c r="I65" s="41"/>
    </row>
    <row r="66" spans="1:9">
      <c r="A66" s="36" t="s">
        <v>121</v>
      </c>
      <c r="B66" s="179">
        <f t="shared" ref="B66:G66" si="7">COUNT(B8:B65)</f>
        <v>53</v>
      </c>
      <c r="C66" s="179">
        <f t="shared" si="7"/>
        <v>53</v>
      </c>
      <c r="D66" s="179">
        <f t="shared" si="7"/>
        <v>51</v>
      </c>
      <c r="E66" s="179">
        <f t="shared" si="7"/>
        <v>52</v>
      </c>
      <c r="F66" s="179">
        <f t="shared" si="7"/>
        <v>51</v>
      </c>
      <c r="G66" s="179">
        <f t="shared" si="7"/>
        <v>51</v>
      </c>
      <c r="H66" s="41"/>
      <c r="I66" s="41"/>
    </row>
    <row r="67" spans="1:9" ht="23">
      <c r="A67" s="41" t="s">
        <v>46</v>
      </c>
      <c r="B67" s="177"/>
      <c r="C67" s="367">
        <f>VLOOKUP(Forecast_Year,A8:C65,3)</f>
        <v>0</v>
      </c>
      <c r="D67" s="177"/>
      <c r="E67" s="177"/>
      <c r="F67" s="177"/>
      <c r="G67" s="177"/>
      <c r="H67" s="41"/>
      <c r="I67" s="41"/>
    </row>
    <row r="68" spans="1:9">
      <c r="A68" s="41" t="s">
        <v>158</v>
      </c>
      <c r="B68" s="155"/>
      <c r="C68" s="155"/>
      <c r="D68" s="176">
        <f>SUM(D10:D65)</f>
        <v>-1177126.7074741349</v>
      </c>
      <c r="E68" s="155"/>
      <c r="F68" s="345">
        <f>SUM(F10:F65)</f>
        <v>42.795927129659276</v>
      </c>
      <c r="G68" s="155"/>
      <c r="H68" s="41"/>
      <c r="I68" s="41"/>
    </row>
    <row r="69" spans="1:9">
      <c r="A69" s="41" t="s">
        <v>56</v>
      </c>
      <c r="B69" s="177">
        <f t="shared" ref="B69:G69" si="8">AVERAGE(B8:B65)</f>
        <v>7307170.2754667597</v>
      </c>
      <c r="C69" s="177">
        <f t="shared" si="8"/>
        <v>7316154.4086457202</v>
      </c>
      <c r="D69" s="177">
        <f t="shared" si="8"/>
        <v>-23080.915832826173</v>
      </c>
      <c r="E69" s="190">
        <f t="shared" si="8"/>
        <v>4159395.3235414498</v>
      </c>
      <c r="F69" s="178">
        <f t="shared" si="8"/>
        <v>0.83913582607175052</v>
      </c>
      <c r="G69" s="166">
        <f t="shared" si="8"/>
        <v>1.1814329911551615</v>
      </c>
      <c r="H69" s="41"/>
      <c r="I69" s="41"/>
    </row>
    <row r="70" spans="1:9">
      <c r="A70" s="41" t="s">
        <v>141</v>
      </c>
      <c r="B70" s="177">
        <f t="shared" ref="B70:G70" si="9">MEDIAN(B8:B65)</f>
        <v>5233149</v>
      </c>
      <c r="C70" s="177">
        <f t="shared" si="9"/>
        <v>5984731.0593046993</v>
      </c>
      <c r="D70" s="177">
        <f t="shared" si="9"/>
        <v>107559.87399850786</v>
      </c>
      <c r="E70" s="177">
        <f t="shared" si="9"/>
        <v>2872477.5207732893</v>
      </c>
      <c r="F70" s="178">
        <f t="shared" si="9"/>
        <v>2.7403210071865452E-2</v>
      </c>
      <c r="G70" s="178">
        <f t="shared" si="9"/>
        <v>0.40872788678051564</v>
      </c>
      <c r="H70" s="41"/>
      <c r="I70" s="41"/>
    </row>
    <row r="71" spans="1:9">
      <c r="A71" s="41" t="s">
        <v>156</v>
      </c>
      <c r="B71" s="177">
        <f t="shared" ref="B71:G71" si="10">MIN(B8:B65)</f>
        <v>695963</v>
      </c>
      <c r="C71" s="177">
        <f t="shared" si="10"/>
        <v>2324694.7098222687</v>
      </c>
      <c r="D71" s="177">
        <f t="shared" si="10"/>
        <v>-16241627.942935323</v>
      </c>
      <c r="E71" s="177">
        <f t="shared" si="10"/>
        <v>2.1353966994211078</v>
      </c>
      <c r="F71" s="178">
        <f t="shared" si="10"/>
        <v>-0.77041158963060918</v>
      </c>
      <c r="G71" s="178">
        <f t="shared" si="10"/>
        <v>4.8538464342579958E-7</v>
      </c>
      <c r="H71" s="41"/>
      <c r="I71" s="41"/>
    </row>
    <row r="72" spans="1:9">
      <c r="A72" s="41" t="s">
        <v>157</v>
      </c>
      <c r="B72" s="177">
        <f t="shared" ref="B72:G72" si="11">MAX(B8:B65)</f>
        <v>21965453</v>
      </c>
      <c r="C72" s="177">
        <f t="shared" si="11"/>
        <v>18699584.370586086</v>
      </c>
      <c r="D72" s="177">
        <f t="shared" si="11"/>
        <v>13135627.370586086</v>
      </c>
      <c r="E72" s="177">
        <f t="shared" si="11"/>
        <v>16241627.942935323</v>
      </c>
      <c r="F72" s="178">
        <f t="shared" si="11"/>
        <v>7.9786954972278519</v>
      </c>
      <c r="G72" s="178">
        <f t="shared" si="11"/>
        <v>7.9786954972278519</v>
      </c>
      <c r="H72" s="41"/>
      <c r="I72" s="41"/>
    </row>
    <row r="73" spans="1:9">
      <c r="A73" s="45" t="s">
        <v>119</v>
      </c>
      <c r="B73" s="180">
        <f t="shared" ref="B73:G73" si="12">STDEV(B8:B65)</f>
        <v>5702441.7840149077</v>
      </c>
      <c r="C73" s="180">
        <f t="shared" si="12"/>
        <v>4030532.0865175743</v>
      </c>
      <c r="D73" s="180">
        <f t="shared" si="12"/>
        <v>5751856.9791929973</v>
      </c>
      <c r="E73" s="180">
        <f t="shared" si="12"/>
        <v>3857865.0278140414</v>
      </c>
      <c r="F73" s="181">
        <f t="shared" si="12"/>
        <v>1.9881260396277645</v>
      </c>
      <c r="G73" s="181">
        <f t="shared" si="12"/>
        <v>1.8019926392450698</v>
      </c>
      <c r="H73" s="41"/>
      <c r="I73" s="41"/>
    </row>
    <row r="74" spans="1:9">
      <c r="A74" s="41"/>
      <c r="B74" s="41"/>
      <c r="C74" s="41"/>
      <c r="D74" s="41"/>
      <c r="E74" s="41"/>
      <c r="F74" s="41"/>
      <c r="G74" s="41"/>
      <c r="H74" s="41"/>
      <c r="I74" s="41"/>
    </row>
    <row r="75" spans="1:9">
      <c r="A75" s="41"/>
      <c r="B75" s="41"/>
      <c r="C75" s="41"/>
      <c r="D75" s="41"/>
      <c r="E75" s="41"/>
      <c r="F75" s="41"/>
      <c r="G75" s="41"/>
      <c r="H75" s="41"/>
      <c r="I75" s="41"/>
    </row>
  </sheetData>
  <phoneticPr fontId="30" type="noConversion"/>
  <pageMargins left="1" right="1" top="1" bottom="1" header="0.5" footer="0.5"/>
  <pageSetup scale="49" orientation="landscape"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
  <sheetViews>
    <sheetView workbookViewId="0"/>
  </sheetViews>
  <sheetFormatPr baseColWidth="10" defaultColWidth="8.7109375" defaultRowHeight="16"/>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20</vt:i4>
      </vt:variant>
      <vt:variant>
        <vt:lpstr>Charts</vt:lpstr>
      </vt:variant>
      <vt:variant>
        <vt:i4>1</vt:i4>
      </vt:variant>
      <vt:variant>
        <vt:lpstr>Named Ranges</vt:lpstr>
      </vt:variant>
      <vt:variant>
        <vt:i4>25</vt:i4>
      </vt:variant>
    </vt:vector>
  </HeadingPairs>
  <TitlesOfParts>
    <vt:vector size="46" baseType="lpstr">
      <vt:lpstr>Read_Me</vt:lpstr>
      <vt:lpstr>Database</vt:lpstr>
      <vt:lpstr>Forecasts_Sum_2018</vt:lpstr>
      <vt:lpstr>Forecasts_Sum_Odd</vt:lpstr>
      <vt:lpstr>Lag1_Exp_smooth_Total Run Odd</vt:lpstr>
      <vt:lpstr>Esc-Return_Regression</vt:lpstr>
      <vt:lpstr>Regression_Performance</vt:lpstr>
      <vt:lpstr>Regression_Jackknife</vt:lpstr>
      <vt:lpstr>MeanRuns_EvenOrOdd</vt:lpstr>
      <vt:lpstr>Mean_TotalRun_Performance</vt:lpstr>
      <vt:lpstr>Mean_Harvest_Performance</vt:lpstr>
      <vt:lpstr>Lag1_Exp_smooth_Total Run Even</vt:lpstr>
      <vt:lpstr>Performance Lag1_Even</vt:lpstr>
      <vt:lpstr>Exp_smoothing_w_damping_Total R</vt:lpstr>
      <vt:lpstr>Exp_smoothing damp_Tot odd</vt:lpstr>
      <vt:lpstr>Exp_smoothing damp_Tot_even</vt:lpstr>
      <vt:lpstr>Lag1_Exp_smoothing_Harvest</vt:lpstr>
      <vt:lpstr>RegOut</vt:lpstr>
      <vt:lpstr>Lag1_Exp_smoothing_Total Run</vt:lpstr>
      <vt:lpstr>Sheet1</vt:lpstr>
      <vt:lpstr>Chart3</vt:lpstr>
      <vt:lpstr>AllYrs</vt:lpstr>
      <vt:lpstr>FirstYR</vt:lpstr>
      <vt:lpstr>Forecast_Year</vt:lpstr>
      <vt:lpstr>MainRegion</vt:lpstr>
      <vt:lpstr>MSEAll</vt:lpstr>
      <vt:lpstr>MSEcalcAll</vt:lpstr>
      <vt:lpstr>MSEcalcL1O</vt:lpstr>
      <vt:lpstr>MSEL1O</vt:lpstr>
      <vt:lpstr>PartOne</vt:lpstr>
      <vt:lpstr>PartTwo</vt:lpstr>
      <vt:lpstr>Forecasts_Sum_2018!Print_Area</vt:lpstr>
      <vt:lpstr>Forecasts_Sum_Odd!Print_Area</vt:lpstr>
      <vt:lpstr>'Lag1_Exp_smooth_Total Run Odd'!Print_Area</vt:lpstr>
      <vt:lpstr>'Lag1_Exp_smoothing_Total Run'!Print_Area</vt:lpstr>
      <vt:lpstr>ROut</vt:lpstr>
      <vt:lpstr>Rslts2All</vt:lpstr>
      <vt:lpstr>Rslts2L1O</vt:lpstr>
      <vt:lpstr>RsltsAll</vt:lpstr>
      <vt:lpstr>RsltsL1O</vt:lpstr>
      <vt:lpstr>XRangeAll</vt:lpstr>
      <vt:lpstr>XRangeL1O</vt:lpstr>
      <vt:lpstr>YestAll</vt:lpstr>
      <vt:lpstr>YestL1O</vt:lpstr>
      <vt:lpstr>YRangeAll</vt:lpstr>
      <vt:lpstr>YRangeL1O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Forecast of PWS wild pink salmon</dc:title>
  <dc:creator>Steve Moffitt</dc:creator>
  <dc:description>Created by JW??</dc:description>
  <cp:lastModifiedBy>Jan Ohlberger</cp:lastModifiedBy>
  <cp:lastPrinted>2017-04-12T00:02:57Z</cp:lastPrinted>
  <dcterms:created xsi:type="dcterms:W3CDTF">1998-11-24T20:35:54Z</dcterms:created>
  <dcterms:modified xsi:type="dcterms:W3CDTF">2019-11-27T18:20:35Z</dcterms:modified>
</cp:coreProperties>
</file>